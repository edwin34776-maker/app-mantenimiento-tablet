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MANTENIMIENTO\Downloads\MANTENIMIENTO\"/>
    </mc:Choice>
  </mc:AlternateContent>
  <xr:revisionPtr revIDLastSave="0" documentId="13_ncr:1_{D24B76CE-DF61-4838-BF19-4852BC9C7A9E}" xr6:coauthVersionLast="47" xr6:coauthVersionMax="47" xr10:uidLastSave="{00000000-0000-0000-0000-000000000000}"/>
  <bookViews>
    <workbookView xWindow="-108" yWindow="-108" windowWidth="23256" windowHeight="12456" xr2:uid="{00000000-000D-0000-FFFF-FFFF00000000}"/>
  </bookViews>
  <sheets>
    <sheet name="Inicial" sheetId="1" r:id="rId1"/>
    <sheet name="TABLA MAQUINAS" sheetId="4" r:id="rId2"/>
    <sheet name="A imprimir" sheetId="3" r:id="rId3"/>
    <sheet name="Hoja2" sheetId="6" r:id="rId4"/>
  </sheets>
  <externalReferences>
    <externalReference r:id="rId5"/>
  </externalReferences>
  <definedNames>
    <definedName name="_xlnm.Print_Area" localSheetId="2">'A imprimir'!$A$1:$E$1766</definedName>
    <definedName name="_xlnm.Print_Titles" localSheetId="2">'A imprimir'!$13:$15</definedName>
  </definedNames>
  <calcPr calcId="191028"/>
  <pivotCaches>
    <pivotCache cacheId="0" r:id="rId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V2" i="1" l="1"/>
  <c r="X411" i="1"/>
  <c r="W411" i="1"/>
  <c r="V411" i="1"/>
  <c r="X410" i="1"/>
  <c r="W410" i="1"/>
  <c r="V410" i="1"/>
  <c r="X409" i="1"/>
  <c r="W409" i="1"/>
  <c r="V409" i="1"/>
  <c r="X408" i="1"/>
  <c r="W408" i="1"/>
  <c r="V408" i="1"/>
  <c r="X407" i="1"/>
  <c r="W407" i="1"/>
  <c r="V407" i="1"/>
  <c r="X406" i="1"/>
  <c r="W406" i="1"/>
  <c r="V406" i="1"/>
  <c r="X405" i="1"/>
  <c r="W405" i="1"/>
  <c r="V405" i="1"/>
  <c r="X404" i="1"/>
  <c r="W404" i="1"/>
  <c r="V404" i="1"/>
  <c r="X403" i="1"/>
  <c r="W403" i="1"/>
  <c r="V403" i="1"/>
  <c r="X402" i="1"/>
  <c r="W402" i="1"/>
  <c r="V402" i="1"/>
  <c r="X401" i="1"/>
  <c r="W401" i="1"/>
  <c r="V401" i="1"/>
  <c r="X400" i="1"/>
  <c r="W400" i="1"/>
  <c r="V400" i="1"/>
  <c r="X399" i="1"/>
  <c r="W399" i="1"/>
  <c r="V399" i="1"/>
  <c r="X398" i="1"/>
  <c r="W398" i="1"/>
  <c r="V398" i="1"/>
  <c r="X397" i="1"/>
  <c r="W397" i="1"/>
  <c r="V397" i="1"/>
  <c r="X396" i="1"/>
  <c r="W396" i="1"/>
  <c r="V396" i="1"/>
  <c r="X395" i="1"/>
  <c r="W395" i="1"/>
  <c r="V395" i="1"/>
  <c r="X394" i="1"/>
  <c r="W394" i="1"/>
  <c r="V394" i="1"/>
  <c r="X393" i="1"/>
  <c r="W393" i="1"/>
  <c r="V393" i="1"/>
  <c r="X392" i="1"/>
  <c r="W392" i="1"/>
  <c r="V392" i="1"/>
  <c r="X391" i="1"/>
  <c r="W391" i="1"/>
  <c r="V391" i="1"/>
  <c r="X390" i="1"/>
  <c r="W390" i="1"/>
  <c r="V390" i="1"/>
  <c r="X389" i="1"/>
  <c r="W389" i="1"/>
  <c r="V389" i="1"/>
  <c r="X388" i="1"/>
  <c r="W388" i="1"/>
  <c r="V388" i="1"/>
  <c r="X387" i="1"/>
  <c r="W387" i="1"/>
  <c r="V387" i="1"/>
  <c r="X386" i="1"/>
  <c r="W386" i="1"/>
  <c r="V386" i="1"/>
  <c r="X385" i="1"/>
  <c r="W385" i="1"/>
  <c r="V385" i="1"/>
  <c r="X384" i="1"/>
  <c r="W384" i="1"/>
  <c r="V384" i="1"/>
  <c r="X383" i="1"/>
  <c r="W383" i="1"/>
  <c r="V383" i="1"/>
  <c r="X382" i="1"/>
  <c r="W382" i="1"/>
  <c r="V382" i="1"/>
  <c r="X381" i="1"/>
  <c r="W381" i="1"/>
  <c r="V381" i="1"/>
  <c r="X380" i="1"/>
  <c r="W380" i="1"/>
  <c r="V380" i="1"/>
  <c r="X379" i="1"/>
  <c r="W379" i="1"/>
  <c r="V379" i="1"/>
  <c r="X378" i="1"/>
  <c r="W378" i="1"/>
  <c r="V378" i="1"/>
  <c r="X377" i="1"/>
  <c r="W377" i="1"/>
  <c r="V377" i="1"/>
  <c r="X376" i="1"/>
  <c r="W376" i="1"/>
  <c r="V376" i="1"/>
  <c r="X375" i="1"/>
  <c r="W375" i="1"/>
  <c r="V375" i="1"/>
  <c r="X374" i="1"/>
  <c r="W374" i="1"/>
  <c r="V374" i="1"/>
  <c r="X373" i="1"/>
  <c r="W373" i="1"/>
  <c r="V373" i="1"/>
  <c r="X372" i="1"/>
  <c r="W372" i="1"/>
  <c r="V372" i="1"/>
  <c r="X371" i="1"/>
  <c r="W371" i="1"/>
  <c r="V371" i="1"/>
  <c r="X370" i="1"/>
  <c r="W370" i="1"/>
  <c r="V370" i="1"/>
  <c r="X369" i="1"/>
  <c r="W369" i="1"/>
  <c r="V369" i="1"/>
  <c r="X368" i="1"/>
  <c r="W368" i="1"/>
  <c r="V368" i="1"/>
  <c r="X367" i="1"/>
  <c r="W367" i="1"/>
  <c r="V367" i="1"/>
  <c r="X366" i="1"/>
  <c r="W366" i="1"/>
  <c r="V366" i="1"/>
  <c r="X365" i="1"/>
  <c r="W365" i="1"/>
  <c r="V365" i="1"/>
  <c r="X364" i="1"/>
  <c r="W364" i="1"/>
  <c r="V364" i="1"/>
  <c r="X363" i="1"/>
  <c r="W363" i="1"/>
  <c r="V363" i="1"/>
  <c r="X362" i="1"/>
  <c r="W362" i="1"/>
  <c r="V362" i="1"/>
  <c r="X361" i="1"/>
  <c r="W361" i="1"/>
  <c r="V361" i="1"/>
  <c r="X360" i="1"/>
  <c r="W360" i="1"/>
  <c r="V360" i="1"/>
  <c r="X359" i="1"/>
  <c r="W359" i="1"/>
  <c r="V359" i="1"/>
  <c r="X358" i="1"/>
  <c r="W358" i="1"/>
  <c r="V358" i="1"/>
  <c r="X357" i="1"/>
  <c r="W357" i="1"/>
  <c r="V357" i="1"/>
  <c r="X356" i="1"/>
  <c r="W356" i="1"/>
  <c r="V356" i="1"/>
  <c r="X355" i="1"/>
  <c r="W355" i="1"/>
  <c r="V355" i="1"/>
  <c r="X354" i="1"/>
  <c r="W354" i="1"/>
  <c r="V354" i="1"/>
  <c r="X353" i="1"/>
  <c r="W353" i="1"/>
  <c r="V353" i="1"/>
  <c r="X352" i="1"/>
  <c r="W352" i="1"/>
  <c r="V352" i="1"/>
  <c r="X351" i="1"/>
  <c r="W351" i="1"/>
  <c r="V351" i="1"/>
  <c r="X350" i="1"/>
  <c r="W350" i="1"/>
  <c r="V350" i="1"/>
  <c r="X349" i="1"/>
  <c r="W349" i="1"/>
  <c r="V349" i="1"/>
  <c r="X348" i="1"/>
  <c r="W348" i="1"/>
  <c r="V348" i="1"/>
  <c r="X347" i="1"/>
  <c r="W347" i="1"/>
  <c r="V347" i="1"/>
  <c r="X346" i="1"/>
  <c r="W346" i="1"/>
  <c r="V346" i="1"/>
  <c r="X345" i="1"/>
  <c r="W345" i="1"/>
  <c r="V345" i="1"/>
  <c r="X344" i="1"/>
  <c r="W344" i="1"/>
  <c r="V344" i="1"/>
  <c r="X343" i="1"/>
  <c r="W343" i="1"/>
  <c r="V343" i="1"/>
  <c r="X342" i="1"/>
  <c r="W342" i="1"/>
  <c r="V342" i="1"/>
  <c r="X341" i="1"/>
  <c r="W341" i="1"/>
  <c r="V341" i="1"/>
  <c r="X340" i="1"/>
  <c r="W340" i="1"/>
  <c r="V340" i="1"/>
  <c r="X339" i="1"/>
  <c r="W339" i="1"/>
  <c r="V339" i="1"/>
  <c r="X338" i="1"/>
  <c r="W338" i="1"/>
  <c r="V338" i="1"/>
  <c r="X337" i="1"/>
  <c r="W337" i="1"/>
  <c r="V337" i="1"/>
  <c r="X336" i="1"/>
  <c r="W336" i="1"/>
  <c r="V336" i="1"/>
  <c r="X335" i="1"/>
  <c r="W335" i="1"/>
  <c r="V335" i="1"/>
  <c r="X334" i="1"/>
  <c r="W334" i="1"/>
  <c r="V334" i="1"/>
  <c r="X333" i="1"/>
  <c r="W333" i="1"/>
  <c r="V333" i="1"/>
  <c r="X332" i="1"/>
  <c r="W332" i="1"/>
  <c r="V332" i="1"/>
  <c r="X331" i="1"/>
  <c r="W331" i="1"/>
  <c r="V331" i="1"/>
  <c r="X330" i="1"/>
  <c r="W330" i="1"/>
  <c r="V330" i="1"/>
  <c r="X329" i="1"/>
  <c r="W329" i="1"/>
  <c r="V329" i="1"/>
  <c r="X328" i="1"/>
  <c r="W328" i="1"/>
  <c r="V328" i="1"/>
  <c r="X327" i="1"/>
  <c r="W327" i="1"/>
  <c r="V327" i="1"/>
  <c r="X326" i="1"/>
  <c r="W326" i="1"/>
  <c r="V326" i="1"/>
  <c r="X325" i="1"/>
  <c r="W325" i="1"/>
  <c r="V325" i="1"/>
  <c r="X324" i="1"/>
  <c r="W324" i="1"/>
  <c r="V324" i="1"/>
  <c r="X323" i="1"/>
  <c r="W323" i="1"/>
  <c r="V323" i="1"/>
  <c r="X322" i="1"/>
  <c r="W322" i="1"/>
  <c r="V322" i="1"/>
  <c r="X321" i="1"/>
  <c r="W321" i="1"/>
  <c r="V321" i="1"/>
  <c r="X320" i="1"/>
  <c r="W320" i="1"/>
  <c r="V320" i="1"/>
  <c r="X319" i="1"/>
  <c r="W319" i="1"/>
  <c r="V319" i="1"/>
  <c r="X318" i="1"/>
  <c r="W318" i="1"/>
  <c r="V318" i="1"/>
  <c r="X317" i="1"/>
  <c r="W317" i="1"/>
  <c r="V317" i="1"/>
  <c r="X316" i="1"/>
  <c r="W316" i="1"/>
  <c r="V316" i="1"/>
  <c r="X315" i="1"/>
  <c r="W315" i="1"/>
  <c r="V315" i="1"/>
  <c r="X314" i="1"/>
  <c r="W314" i="1"/>
  <c r="V314" i="1"/>
  <c r="X313" i="1"/>
  <c r="W313" i="1"/>
  <c r="V313" i="1"/>
  <c r="X312" i="1"/>
  <c r="W312" i="1"/>
  <c r="V312" i="1"/>
  <c r="X311" i="1"/>
  <c r="W311" i="1"/>
  <c r="V311" i="1"/>
  <c r="X310" i="1"/>
  <c r="W310" i="1"/>
  <c r="V310" i="1"/>
  <c r="X309" i="1"/>
  <c r="W309" i="1"/>
  <c r="V309" i="1"/>
  <c r="X308" i="1"/>
  <c r="W308" i="1"/>
  <c r="V308" i="1"/>
  <c r="X307" i="1"/>
  <c r="W307" i="1"/>
  <c r="V307" i="1"/>
  <c r="X306" i="1"/>
  <c r="W306" i="1"/>
  <c r="V306" i="1"/>
  <c r="X305" i="1"/>
  <c r="W305" i="1"/>
  <c r="V305" i="1"/>
  <c r="X304" i="1"/>
  <c r="W304" i="1"/>
  <c r="V304" i="1"/>
  <c r="X303" i="1"/>
  <c r="W303" i="1"/>
  <c r="V303" i="1"/>
  <c r="X302" i="1"/>
  <c r="W302" i="1"/>
  <c r="V302" i="1"/>
  <c r="X301" i="1"/>
  <c r="W301" i="1"/>
  <c r="V301" i="1"/>
  <c r="X300" i="1"/>
  <c r="W300" i="1"/>
  <c r="V300" i="1"/>
  <c r="X299" i="1"/>
  <c r="W299" i="1"/>
  <c r="V299" i="1"/>
  <c r="X298" i="1"/>
  <c r="W298" i="1"/>
  <c r="V298" i="1"/>
  <c r="X297" i="1"/>
  <c r="W297" i="1"/>
  <c r="V297" i="1"/>
  <c r="X296" i="1"/>
  <c r="W296" i="1"/>
  <c r="V296" i="1"/>
  <c r="X295" i="1"/>
  <c r="W295" i="1"/>
  <c r="V295" i="1"/>
  <c r="X294" i="1"/>
  <c r="W294" i="1"/>
  <c r="V294" i="1"/>
  <c r="X293" i="1"/>
  <c r="W293" i="1"/>
  <c r="V293" i="1"/>
  <c r="X292" i="1"/>
  <c r="W292" i="1"/>
  <c r="V292" i="1"/>
  <c r="X291" i="1"/>
  <c r="W291" i="1"/>
  <c r="V291" i="1"/>
  <c r="X290" i="1"/>
  <c r="W290" i="1"/>
  <c r="V290" i="1"/>
  <c r="X289" i="1"/>
  <c r="W289" i="1"/>
  <c r="V289" i="1"/>
  <c r="X288" i="1"/>
  <c r="W288" i="1"/>
  <c r="V288" i="1"/>
  <c r="X287" i="1"/>
  <c r="W287" i="1"/>
  <c r="V287" i="1"/>
  <c r="X286" i="1"/>
  <c r="W286" i="1"/>
  <c r="V286" i="1"/>
  <c r="X285" i="1"/>
  <c r="W285" i="1"/>
  <c r="V285" i="1"/>
  <c r="X284" i="1"/>
  <c r="W284" i="1"/>
  <c r="V284" i="1"/>
  <c r="X283" i="1"/>
  <c r="W283" i="1"/>
  <c r="V283" i="1"/>
  <c r="X282" i="1"/>
  <c r="W282" i="1"/>
  <c r="V282" i="1"/>
  <c r="X281" i="1"/>
  <c r="W281" i="1"/>
  <c r="V281" i="1"/>
  <c r="X280" i="1"/>
  <c r="W280" i="1"/>
  <c r="V280" i="1"/>
  <c r="X279" i="1"/>
  <c r="W279" i="1"/>
  <c r="V279" i="1"/>
  <c r="X278" i="1"/>
  <c r="W278" i="1"/>
  <c r="V278" i="1"/>
  <c r="X277" i="1"/>
  <c r="W277" i="1"/>
  <c r="V277" i="1"/>
  <c r="X276" i="1"/>
  <c r="W276" i="1"/>
  <c r="V276" i="1"/>
  <c r="X275" i="1"/>
  <c r="W275" i="1"/>
  <c r="V275" i="1"/>
  <c r="X274" i="1"/>
  <c r="W274" i="1"/>
  <c r="V274" i="1"/>
  <c r="X273" i="1"/>
  <c r="W273" i="1"/>
  <c r="V273" i="1"/>
  <c r="X272" i="1"/>
  <c r="W272" i="1"/>
  <c r="V272" i="1"/>
  <c r="X271" i="1"/>
  <c r="W271" i="1"/>
  <c r="V271" i="1"/>
  <c r="X270" i="1"/>
  <c r="W270" i="1"/>
  <c r="V270" i="1"/>
  <c r="X269" i="1"/>
  <c r="W269" i="1"/>
  <c r="V269" i="1"/>
  <c r="X268" i="1"/>
  <c r="W268" i="1"/>
  <c r="V268" i="1"/>
  <c r="X267" i="1"/>
  <c r="W267" i="1"/>
  <c r="V267" i="1"/>
  <c r="X266" i="1"/>
  <c r="W266" i="1"/>
  <c r="V266" i="1"/>
  <c r="X265" i="1"/>
  <c r="W265" i="1"/>
  <c r="V265" i="1"/>
  <c r="X264" i="1"/>
  <c r="W264" i="1"/>
  <c r="V264" i="1"/>
  <c r="X263" i="1"/>
  <c r="W263" i="1"/>
  <c r="V263" i="1"/>
  <c r="X262" i="1"/>
  <c r="W262" i="1"/>
  <c r="V262" i="1"/>
  <c r="X261" i="1"/>
  <c r="W261" i="1"/>
  <c r="V261" i="1"/>
  <c r="X260" i="1"/>
  <c r="W260" i="1"/>
  <c r="V260" i="1"/>
  <c r="X259" i="1"/>
  <c r="W259" i="1"/>
  <c r="V259" i="1"/>
  <c r="X258" i="1"/>
  <c r="W258" i="1"/>
  <c r="V258" i="1"/>
  <c r="X257" i="1"/>
  <c r="W257" i="1"/>
  <c r="V257" i="1"/>
  <c r="X256" i="1"/>
  <c r="W256" i="1"/>
  <c r="V256" i="1"/>
  <c r="X255" i="1"/>
  <c r="W255" i="1"/>
  <c r="V255" i="1"/>
  <c r="X254" i="1"/>
  <c r="W254" i="1"/>
  <c r="V254" i="1"/>
  <c r="X253" i="1"/>
  <c r="W253" i="1"/>
  <c r="V253" i="1"/>
  <c r="X252" i="1"/>
  <c r="W252" i="1"/>
  <c r="V252" i="1"/>
  <c r="X251" i="1"/>
  <c r="W251" i="1"/>
  <c r="V251" i="1"/>
  <c r="X250" i="1"/>
  <c r="W250" i="1"/>
  <c r="V250" i="1"/>
  <c r="X249" i="1"/>
  <c r="W249" i="1"/>
  <c r="V249" i="1"/>
  <c r="X248" i="1"/>
  <c r="W248" i="1"/>
  <c r="V248" i="1"/>
  <c r="X247" i="1"/>
  <c r="W247" i="1"/>
  <c r="V247" i="1"/>
  <c r="X246" i="1"/>
  <c r="W246" i="1"/>
  <c r="V246" i="1"/>
  <c r="X245" i="1"/>
  <c r="W245" i="1"/>
  <c r="V245" i="1"/>
  <c r="X244" i="1"/>
  <c r="W244" i="1"/>
  <c r="V244" i="1"/>
  <c r="X243" i="1"/>
  <c r="W243" i="1"/>
  <c r="V243" i="1"/>
  <c r="X242" i="1"/>
  <c r="W242" i="1"/>
  <c r="V242" i="1"/>
  <c r="X241" i="1"/>
  <c r="W241" i="1"/>
  <c r="V241" i="1"/>
  <c r="X240" i="1"/>
  <c r="W240" i="1"/>
  <c r="V240" i="1"/>
  <c r="X239" i="1"/>
  <c r="W239" i="1"/>
  <c r="V239" i="1"/>
  <c r="X238" i="1"/>
  <c r="W238" i="1"/>
  <c r="V238" i="1"/>
  <c r="X237" i="1"/>
  <c r="W237" i="1"/>
  <c r="V237" i="1"/>
  <c r="X236" i="1"/>
  <c r="W236" i="1"/>
  <c r="V236" i="1"/>
  <c r="X235" i="1"/>
  <c r="W235" i="1"/>
  <c r="V235" i="1"/>
  <c r="X234" i="1"/>
  <c r="W234" i="1"/>
  <c r="V234" i="1"/>
  <c r="X233" i="1"/>
  <c r="W233" i="1"/>
  <c r="V233" i="1"/>
  <c r="X232" i="1"/>
  <c r="W232" i="1"/>
  <c r="V232" i="1"/>
  <c r="X231" i="1"/>
  <c r="W231" i="1"/>
  <c r="V231" i="1"/>
  <c r="X230" i="1"/>
  <c r="W230" i="1"/>
  <c r="V230" i="1"/>
  <c r="X229" i="1"/>
  <c r="W229" i="1"/>
  <c r="V229" i="1"/>
  <c r="X228" i="1"/>
  <c r="W228" i="1"/>
  <c r="V228" i="1"/>
  <c r="X227" i="1"/>
  <c r="W227" i="1"/>
  <c r="V227" i="1"/>
  <c r="X226" i="1"/>
  <c r="W226" i="1"/>
  <c r="V226" i="1"/>
  <c r="X225" i="1"/>
  <c r="W225" i="1"/>
  <c r="V225" i="1"/>
  <c r="X224" i="1"/>
  <c r="W224" i="1"/>
  <c r="V224" i="1"/>
  <c r="X223" i="1"/>
  <c r="W223" i="1"/>
  <c r="V223" i="1"/>
  <c r="X222" i="1"/>
  <c r="W222" i="1"/>
  <c r="V222" i="1"/>
  <c r="X221" i="1"/>
  <c r="W221" i="1"/>
  <c r="V221" i="1"/>
  <c r="X220" i="1"/>
  <c r="W220" i="1"/>
  <c r="V220" i="1"/>
  <c r="X219" i="1"/>
  <c r="W219" i="1"/>
  <c r="V219" i="1"/>
  <c r="X218" i="1"/>
  <c r="W218" i="1"/>
  <c r="V218" i="1"/>
  <c r="X217" i="1"/>
  <c r="W217" i="1"/>
  <c r="V217" i="1"/>
  <c r="X216" i="1"/>
  <c r="W216" i="1"/>
  <c r="V216" i="1"/>
  <c r="X215" i="1"/>
  <c r="W215" i="1"/>
  <c r="V215" i="1"/>
  <c r="X214" i="1"/>
  <c r="W214" i="1"/>
  <c r="V214" i="1"/>
  <c r="X213" i="1"/>
  <c r="W213" i="1"/>
  <c r="V213" i="1"/>
  <c r="X212" i="1"/>
  <c r="W212" i="1"/>
  <c r="V212" i="1"/>
  <c r="X211" i="1"/>
  <c r="W211" i="1"/>
  <c r="V211" i="1"/>
  <c r="X210" i="1"/>
  <c r="W210" i="1"/>
  <c r="V210" i="1"/>
  <c r="X209" i="1"/>
  <c r="W209" i="1"/>
  <c r="V209" i="1"/>
  <c r="X208" i="1"/>
  <c r="W208" i="1"/>
  <c r="V208" i="1"/>
  <c r="X207" i="1"/>
  <c r="W207" i="1"/>
  <c r="V207" i="1"/>
  <c r="X206" i="1"/>
  <c r="W206" i="1"/>
  <c r="V206" i="1"/>
  <c r="X205" i="1"/>
  <c r="W205" i="1"/>
  <c r="V205" i="1"/>
  <c r="X204" i="1"/>
  <c r="W204" i="1"/>
  <c r="V204" i="1"/>
  <c r="X203" i="1"/>
  <c r="W203" i="1"/>
  <c r="V203" i="1"/>
  <c r="X202" i="1"/>
  <c r="W202" i="1"/>
  <c r="V202" i="1"/>
  <c r="X201" i="1"/>
  <c r="W201" i="1"/>
  <c r="V201" i="1"/>
  <c r="X200" i="1"/>
  <c r="W200" i="1"/>
  <c r="V200" i="1"/>
  <c r="X199" i="1"/>
  <c r="W199" i="1"/>
  <c r="V199" i="1"/>
  <c r="X198" i="1"/>
  <c r="W198" i="1"/>
  <c r="V198" i="1"/>
  <c r="X197" i="1"/>
  <c r="W197" i="1"/>
  <c r="V197" i="1"/>
  <c r="X196" i="1"/>
  <c r="W196" i="1"/>
  <c r="V196" i="1"/>
  <c r="X195" i="1"/>
  <c r="W195" i="1"/>
  <c r="V195" i="1"/>
  <c r="X194" i="1"/>
  <c r="W194" i="1"/>
  <c r="V194" i="1"/>
  <c r="X193" i="1"/>
  <c r="W193" i="1"/>
  <c r="V193" i="1"/>
  <c r="X192" i="1"/>
  <c r="W192" i="1"/>
  <c r="V192" i="1"/>
  <c r="X191" i="1"/>
  <c r="W191" i="1"/>
  <c r="V191" i="1"/>
  <c r="X190" i="1"/>
  <c r="W190" i="1"/>
  <c r="V190" i="1"/>
  <c r="X189" i="1"/>
  <c r="W189" i="1"/>
  <c r="V189" i="1"/>
  <c r="X188" i="1"/>
  <c r="W188" i="1"/>
  <c r="V188" i="1"/>
  <c r="X187" i="1"/>
  <c r="W187" i="1"/>
  <c r="V187" i="1"/>
  <c r="X186" i="1"/>
  <c r="W186" i="1"/>
  <c r="V186" i="1"/>
  <c r="X185" i="1"/>
  <c r="W185" i="1"/>
  <c r="V185" i="1"/>
  <c r="X184" i="1"/>
  <c r="W184" i="1"/>
  <c r="V184" i="1"/>
  <c r="X183" i="1"/>
  <c r="W183" i="1"/>
  <c r="V183" i="1"/>
  <c r="X182" i="1"/>
  <c r="W182" i="1"/>
  <c r="V182" i="1"/>
  <c r="X181" i="1"/>
  <c r="W181" i="1"/>
  <c r="V181" i="1"/>
  <c r="X180" i="1"/>
  <c r="W180" i="1"/>
  <c r="V180" i="1"/>
  <c r="X179" i="1"/>
  <c r="W179" i="1"/>
  <c r="V179" i="1"/>
  <c r="X178" i="1"/>
  <c r="W178" i="1"/>
  <c r="V178" i="1"/>
  <c r="X177" i="1"/>
  <c r="W177" i="1"/>
  <c r="V177" i="1"/>
  <c r="X176" i="1"/>
  <c r="W176" i="1"/>
  <c r="V176" i="1"/>
  <c r="X175" i="1"/>
  <c r="W175" i="1"/>
  <c r="V175" i="1"/>
  <c r="X174" i="1"/>
  <c r="W174" i="1"/>
  <c r="V174" i="1"/>
  <c r="X173" i="1"/>
  <c r="W173" i="1"/>
  <c r="V173" i="1"/>
  <c r="X172" i="1"/>
  <c r="W172" i="1"/>
  <c r="V172" i="1"/>
  <c r="X171" i="1"/>
  <c r="W171" i="1"/>
  <c r="V171" i="1"/>
  <c r="X170" i="1"/>
  <c r="W170" i="1"/>
  <c r="V170" i="1"/>
  <c r="X169" i="1"/>
  <c r="W169" i="1"/>
  <c r="V169" i="1"/>
  <c r="X168" i="1"/>
  <c r="W168" i="1"/>
  <c r="V168" i="1"/>
  <c r="X167" i="1"/>
  <c r="W167" i="1"/>
  <c r="V167" i="1"/>
  <c r="X166" i="1"/>
  <c r="W166" i="1"/>
  <c r="V166" i="1"/>
  <c r="X165" i="1"/>
  <c r="W165" i="1"/>
  <c r="V165" i="1"/>
  <c r="X164" i="1"/>
  <c r="W164" i="1"/>
  <c r="V164" i="1"/>
  <c r="X163" i="1"/>
  <c r="W163" i="1"/>
  <c r="V163" i="1"/>
  <c r="X162" i="1"/>
  <c r="W162" i="1"/>
  <c r="V162" i="1"/>
  <c r="X161" i="1"/>
  <c r="W161" i="1"/>
  <c r="V161" i="1"/>
  <c r="X160" i="1"/>
  <c r="W160" i="1"/>
  <c r="V160" i="1"/>
  <c r="X159" i="1"/>
  <c r="W159" i="1"/>
  <c r="V159" i="1"/>
  <c r="X158" i="1"/>
  <c r="W158" i="1"/>
  <c r="V158" i="1"/>
  <c r="X157" i="1"/>
  <c r="W157" i="1"/>
  <c r="V157" i="1"/>
  <c r="X156" i="1"/>
  <c r="W156" i="1"/>
  <c r="V156" i="1"/>
  <c r="X155" i="1"/>
  <c r="W155" i="1"/>
  <c r="V155" i="1"/>
  <c r="X154" i="1"/>
  <c r="W154" i="1"/>
  <c r="V154" i="1"/>
  <c r="X153" i="1"/>
  <c r="W153" i="1"/>
  <c r="V153" i="1"/>
  <c r="X152" i="1"/>
  <c r="W152" i="1"/>
  <c r="V152" i="1"/>
  <c r="X151" i="1"/>
  <c r="W151" i="1"/>
  <c r="V151" i="1"/>
  <c r="X150" i="1"/>
  <c r="W150" i="1"/>
  <c r="V150" i="1"/>
  <c r="X149" i="1"/>
  <c r="W149" i="1"/>
  <c r="V149" i="1"/>
  <c r="X148" i="1"/>
  <c r="W148" i="1"/>
  <c r="V148" i="1"/>
  <c r="X147" i="1"/>
  <c r="W147" i="1"/>
  <c r="V147" i="1"/>
  <c r="X146" i="1"/>
  <c r="W146" i="1"/>
  <c r="V146" i="1"/>
  <c r="X145" i="1"/>
  <c r="W145" i="1"/>
  <c r="V145" i="1"/>
  <c r="X144" i="1"/>
  <c r="W144" i="1"/>
  <c r="V144" i="1"/>
  <c r="X143" i="1"/>
  <c r="W143" i="1"/>
  <c r="V143" i="1"/>
  <c r="X142" i="1"/>
  <c r="W142" i="1"/>
  <c r="V142" i="1"/>
  <c r="X141" i="1"/>
  <c r="W141" i="1"/>
  <c r="V141" i="1"/>
  <c r="X140" i="1"/>
  <c r="W140" i="1"/>
  <c r="V140" i="1"/>
  <c r="X139" i="1"/>
  <c r="W139" i="1"/>
  <c r="V139" i="1"/>
  <c r="X138" i="1"/>
  <c r="W138" i="1"/>
  <c r="V138" i="1"/>
  <c r="X137" i="1"/>
  <c r="W137" i="1"/>
  <c r="V137" i="1"/>
  <c r="X136" i="1"/>
  <c r="W136" i="1"/>
  <c r="V136" i="1"/>
  <c r="X135" i="1"/>
  <c r="W135" i="1"/>
  <c r="V135" i="1"/>
  <c r="X134" i="1"/>
  <c r="W134" i="1"/>
  <c r="V134" i="1"/>
  <c r="X133" i="1"/>
  <c r="W133" i="1"/>
  <c r="V133" i="1"/>
  <c r="X132" i="1"/>
  <c r="W132" i="1"/>
  <c r="V132" i="1"/>
  <c r="X131" i="1"/>
  <c r="W131" i="1"/>
  <c r="V131" i="1"/>
  <c r="X130" i="1"/>
  <c r="W130" i="1"/>
  <c r="V130" i="1"/>
  <c r="X129" i="1"/>
  <c r="W129" i="1"/>
  <c r="V129" i="1"/>
  <c r="X128" i="1"/>
  <c r="W128" i="1"/>
  <c r="V128" i="1"/>
  <c r="X127" i="1"/>
  <c r="W127" i="1"/>
  <c r="V127" i="1"/>
  <c r="X126" i="1"/>
  <c r="W126" i="1"/>
  <c r="V126" i="1"/>
  <c r="X125" i="1"/>
  <c r="W125" i="1"/>
  <c r="V125" i="1"/>
  <c r="X124" i="1"/>
  <c r="W124" i="1"/>
  <c r="V124" i="1"/>
  <c r="X123" i="1"/>
  <c r="W123" i="1"/>
  <c r="V123" i="1"/>
  <c r="X122" i="1"/>
  <c r="W122" i="1"/>
  <c r="V122" i="1"/>
  <c r="X121" i="1"/>
  <c r="W121" i="1"/>
  <c r="V121" i="1"/>
  <c r="X120" i="1"/>
  <c r="W120" i="1"/>
  <c r="V120" i="1"/>
  <c r="X119" i="1"/>
  <c r="W119" i="1"/>
  <c r="V119" i="1"/>
  <c r="X118" i="1"/>
  <c r="W118" i="1"/>
  <c r="V118" i="1"/>
  <c r="X117" i="1"/>
  <c r="W117" i="1"/>
  <c r="V117" i="1"/>
  <c r="X116" i="1"/>
  <c r="W116" i="1"/>
  <c r="V116" i="1"/>
  <c r="X115" i="1"/>
  <c r="W115" i="1"/>
  <c r="V115" i="1"/>
  <c r="X114" i="1"/>
  <c r="W114" i="1"/>
  <c r="V114" i="1"/>
  <c r="X113" i="1"/>
  <c r="W113" i="1"/>
  <c r="V113" i="1"/>
  <c r="X112" i="1"/>
  <c r="W112" i="1"/>
  <c r="V112" i="1"/>
  <c r="X111" i="1"/>
  <c r="W111" i="1"/>
  <c r="V111" i="1"/>
  <c r="X110" i="1"/>
  <c r="W110" i="1"/>
  <c r="V110" i="1"/>
  <c r="X109" i="1"/>
  <c r="W109" i="1"/>
  <c r="V109" i="1"/>
  <c r="X108" i="1"/>
  <c r="W108" i="1"/>
  <c r="V108" i="1"/>
  <c r="X107" i="1"/>
  <c r="W107" i="1"/>
  <c r="V107" i="1"/>
  <c r="X106" i="1"/>
  <c r="W106" i="1"/>
  <c r="V106" i="1"/>
  <c r="X105" i="1"/>
  <c r="W105" i="1"/>
  <c r="V105" i="1"/>
  <c r="X104" i="1"/>
  <c r="W104" i="1"/>
  <c r="V104" i="1"/>
  <c r="X103" i="1"/>
  <c r="W103" i="1"/>
  <c r="V103" i="1"/>
  <c r="X102" i="1"/>
  <c r="W102" i="1"/>
  <c r="V102" i="1"/>
  <c r="X101" i="1"/>
  <c r="W101" i="1"/>
  <c r="V101" i="1"/>
  <c r="X100" i="1"/>
  <c r="W100" i="1"/>
  <c r="V100" i="1"/>
  <c r="X99" i="1"/>
  <c r="W99" i="1"/>
  <c r="V99" i="1"/>
  <c r="X98" i="1"/>
  <c r="W98" i="1"/>
  <c r="V98" i="1"/>
  <c r="X97" i="1"/>
  <c r="W97" i="1"/>
  <c r="V97" i="1"/>
  <c r="X96" i="1"/>
  <c r="W96" i="1"/>
  <c r="V96" i="1"/>
  <c r="X95" i="1"/>
  <c r="W95" i="1"/>
  <c r="V95" i="1"/>
  <c r="X94" i="1"/>
  <c r="W94" i="1"/>
  <c r="V94" i="1"/>
  <c r="X93" i="1"/>
  <c r="W93" i="1"/>
  <c r="V93" i="1"/>
  <c r="X92" i="1"/>
  <c r="W92" i="1"/>
  <c r="V92" i="1"/>
  <c r="X91" i="1"/>
  <c r="W91" i="1"/>
  <c r="V91" i="1"/>
  <c r="X90" i="1"/>
  <c r="W90" i="1"/>
  <c r="V90" i="1"/>
  <c r="X89" i="1"/>
  <c r="W89" i="1"/>
  <c r="V89" i="1"/>
  <c r="X88" i="1"/>
  <c r="W88" i="1"/>
  <c r="V88" i="1"/>
  <c r="X87" i="1"/>
  <c r="W87" i="1"/>
  <c r="V87" i="1"/>
  <c r="X86" i="1"/>
  <c r="W86" i="1"/>
  <c r="V86" i="1"/>
  <c r="X85" i="1"/>
  <c r="W85" i="1"/>
  <c r="V85" i="1"/>
  <c r="X84" i="1"/>
  <c r="W84" i="1"/>
  <c r="V84" i="1"/>
  <c r="X83" i="1"/>
  <c r="W83" i="1"/>
  <c r="V83" i="1"/>
  <c r="X82" i="1"/>
  <c r="W82" i="1"/>
  <c r="V82" i="1"/>
  <c r="X81" i="1"/>
  <c r="W81" i="1"/>
  <c r="V81" i="1"/>
  <c r="X80" i="1"/>
  <c r="W80" i="1"/>
  <c r="V80" i="1"/>
  <c r="X79" i="1"/>
  <c r="W79" i="1"/>
  <c r="V79" i="1"/>
  <c r="X78" i="1"/>
  <c r="W78" i="1"/>
  <c r="V78" i="1"/>
  <c r="X77" i="1"/>
  <c r="W77" i="1"/>
  <c r="V77" i="1"/>
  <c r="X76" i="1"/>
  <c r="W76" i="1"/>
  <c r="V76" i="1"/>
  <c r="X75" i="1"/>
  <c r="W75" i="1"/>
  <c r="V75" i="1"/>
  <c r="X74" i="1"/>
  <c r="W74" i="1"/>
  <c r="V74" i="1"/>
  <c r="X73" i="1"/>
  <c r="W73" i="1"/>
  <c r="V73" i="1"/>
  <c r="X72" i="1"/>
  <c r="W72" i="1"/>
  <c r="V72" i="1"/>
  <c r="X71" i="1"/>
  <c r="W71" i="1"/>
  <c r="V71" i="1"/>
  <c r="X70" i="1"/>
  <c r="W70" i="1"/>
  <c r="V70" i="1"/>
  <c r="X69" i="1"/>
  <c r="W69" i="1"/>
  <c r="V69" i="1"/>
  <c r="X68" i="1"/>
  <c r="W68" i="1"/>
  <c r="V68" i="1"/>
  <c r="X67" i="1"/>
  <c r="W67" i="1"/>
  <c r="V67" i="1"/>
  <c r="X66" i="1"/>
  <c r="W66" i="1"/>
  <c r="V66" i="1"/>
  <c r="X65" i="1"/>
  <c r="W65" i="1"/>
  <c r="V65" i="1"/>
  <c r="X64" i="1"/>
  <c r="W64" i="1"/>
  <c r="V64" i="1"/>
  <c r="X63" i="1"/>
  <c r="W63" i="1"/>
  <c r="V63" i="1"/>
  <c r="X62" i="1"/>
  <c r="W62" i="1"/>
  <c r="V62" i="1"/>
  <c r="X61" i="1"/>
  <c r="W61" i="1"/>
  <c r="V61" i="1"/>
  <c r="X60" i="1"/>
  <c r="W60" i="1"/>
  <c r="V60" i="1"/>
  <c r="X59" i="1"/>
  <c r="W59" i="1"/>
  <c r="V59" i="1"/>
  <c r="X58" i="1"/>
  <c r="W58" i="1"/>
  <c r="V58" i="1"/>
  <c r="X57" i="1"/>
  <c r="W57" i="1"/>
  <c r="V57" i="1"/>
  <c r="X56" i="1"/>
  <c r="W56" i="1"/>
  <c r="V56" i="1"/>
  <c r="X55" i="1"/>
  <c r="W55" i="1"/>
  <c r="V55" i="1"/>
  <c r="X54" i="1"/>
  <c r="W54" i="1"/>
  <c r="V54" i="1"/>
  <c r="X53" i="1"/>
  <c r="W53" i="1"/>
  <c r="V53" i="1"/>
  <c r="X52" i="1"/>
  <c r="W52" i="1"/>
  <c r="V52" i="1"/>
  <c r="X51" i="1"/>
  <c r="W51" i="1"/>
  <c r="V51" i="1"/>
  <c r="X50" i="1"/>
  <c r="W50" i="1"/>
  <c r="V50" i="1"/>
  <c r="X49" i="1"/>
  <c r="W49" i="1"/>
  <c r="V49" i="1"/>
  <c r="X48" i="1"/>
  <c r="W48" i="1"/>
  <c r="V48" i="1"/>
  <c r="X47" i="1"/>
  <c r="W47" i="1"/>
  <c r="V47" i="1"/>
  <c r="X46" i="1"/>
  <c r="W46" i="1"/>
  <c r="V46" i="1"/>
  <c r="X45" i="1"/>
  <c r="W45" i="1"/>
  <c r="V45" i="1"/>
  <c r="X44" i="1"/>
  <c r="W44" i="1"/>
  <c r="V44" i="1"/>
  <c r="X43" i="1"/>
  <c r="W43" i="1"/>
  <c r="V43" i="1"/>
  <c r="X42" i="1"/>
  <c r="W42" i="1"/>
  <c r="V42" i="1"/>
  <c r="X41" i="1"/>
  <c r="W41" i="1"/>
  <c r="V41" i="1"/>
  <c r="X40" i="1"/>
  <c r="W40" i="1"/>
  <c r="V40" i="1"/>
  <c r="X39" i="1"/>
  <c r="W39" i="1"/>
  <c r="V39" i="1"/>
  <c r="X38" i="1"/>
  <c r="W38" i="1"/>
  <c r="V38" i="1"/>
  <c r="X37" i="1"/>
  <c r="W37" i="1"/>
  <c r="V37" i="1"/>
  <c r="X36" i="1"/>
  <c r="W36" i="1"/>
  <c r="V36" i="1"/>
  <c r="X35" i="1"/>
  <c r="W35" i="1"/>
  <c r="V35" i="1"/>
  <c r="X34" i="1"/>
  <c r="W34" i="1"/>
  <c r="V34" i="1"/>
  <c r="X33" i="1"/>
  <c r="W33" i="1"/>
  <c r="V33" i="1"/>
  <c r="X32" i="1"/>
  <c r="W32" i="1"/>
  <c r="V32" i="1"/>
  <c r="X31" i="1"/>
  <c r="W31" i="1"/>
  <c r="V31" i="1"/>
  <c r="X30" i="1"/>
  <c r="W30" i="1"/>
  <c r="V30" i="1"/>
  <c r="X29" i="1"/>
  <c r="W29" i="1"/>
  <c r="V29" i="1"/>
  <c r="X28" i="1"/>
  <c r="W28" i="1"/>
  <c r="V28" i="1"/>
  <c r="X27" i="1"/>
  <c r="W27" i="1"/>
  <c r="V27" i="1"/>
  <c r="X26" i="1"/>
  <c r="W26" i="1"/>
  <c r="V26" i="1"/>
  <c r="X25" i="1"/>
  <c r="W25" i="1"/>
  <c r="V25" i="1"/>
  <c r="X24" i="1"/>
  <c r="W24" i="1"/>
  <c r="V24" i="1"/>
  <c r="X23" i="1"/>
  <c r="W23" i="1"/>
  <c r="V23" i="1"/>
  <c r="X22" i="1"/>
  <c r="W22" i="1"/>
  <c r="V22" i="1"/>
  <c r="X21" i="1"/>
  <c r="W21" i="1"/>
  <c r="V21" i="1"/>
  <c r="X20" i="1"/>
  <c r="W20" i="1"/>
  <c r="V20" i="1"/>
  <c r="X19" i="1"/>
  <c r="W19" i="1"/>
  <c r="V19" i="1"/>
  <c r="X18" i="1"/>
  <c r="W18" i="1"/>
  <c r="V18" i="1"/>
  <c r="X17" i="1"/>
  <c r="W17" i="1"/>
  <c r="V17" i="1"/>
  <c r="X16" i="1"/>
  <c r="W16" i="1"/>
  <c r="V16" i="1"/>
  <c r="X15" i="1"/>
  <c r="W15" i="1"/>
  <c r="V15" i="1"/>
  <c r="X14" i="1"/>
  <c r="W14" i="1"/>
  <c r="V14" i="1"/>
  <c r="X13" i="1"/>
  <c r="W13" i="1"/>
  <c r="V13" i="1"/>
  <c r="X12" i="1"/>
  <c r="W12" i="1"/>
  <c r="V12" i="1"/>
  <c r="X11" i="1"/>
  <c r="W11" i="1"/>
  <c r="V11" i="1"/>
  <c r="X10" i="1"/>
  <c r="W10" i="1"/>
  <c r="V10" i="1"/>
  <c r="X9" i="1"/>
  <c r="W9" i="1"/>
  <c r="V9" i="1"/>
  <c r="X8" i="1"/>
  <c r="W8" i="1"/>
  <c r="V8" i="1"/>
  <c r="X7" i="1"/>
  <c r="W7" i="1"/>
  <c r="V7" i="1"/>
  <c r="X6" i="1"/>
  <c r="W6" i="1"/>
  <c r="V6" i="1"/>
  <c r="X5" i="1"/>
  <c r="W5" i="1"/>
  <c r="V5" i="1"/>
  <c r="X4" i="1"/>
  <c r="W4" i="1"/>
  <c r="V4" i="1"/>
  <c r="X3" i="1"/>
  <c r="W3" i="1"/>
  <c r="V3" i="1"/>
  <c r="W2" i="1"/>
  <c r="X2" i="1"/>
  <c r="B8" i="3" l="1"/>
  <c r="B6" i="3" l="1"/>
  <c r="J3" i="3"/>
</calcChain>
</file>

<file path=xl/sharedStrings.xml><?xml version="1.0" encoding="utf-8"?>
<sst xmlns="http://schemas.openxmlformats.org/spreadsheetml/2006/main" count="7609" uniqueCount="1468">
  <si>
    <t>UN</t>
  </si>
  <si>
    <t>ID OT</t>
  </si>
  <si>
    <t>Tipo de OT</t>
  </si>
  <si>
    <t>Descripción de procedimiento</t>
  </si>
  <si>
    <t>Procedimiento</t>
  </si>
  <si>
    <t>Actividades</t>
  </si>
  <si>
    <t>ID Activo</t>
  </si>
  <si>
    <t>Equipo</t>
  </si>
  <si>
    <t>Nodo</t>
  </si>
  <si>
    <t>Fech generación</t>
  </si>
  <si>
    <t>Fech aprobación</t>
  </si>
  <si>
    <t>ID</t>
  </si>
  <si>
    <t>Nombre</t>
  </si>
  <si>
    <t>Horas</t>
  </si>
  <si>
    <t>ID Tipo Localiz</t>
  </si>
  <si>
    <t>Estado OT</t>
  </si>
  <si>
    <t>Encargado</t>
  </si>
  <si>
    <t>Hora Inicio</t>
  </si>
  <si>
    <t>Hora Fin</t>
  </si>
  <si>
    <t>Motivo</t>
  </si>
  <si>
    <t>Auditado</t>
  </si>
  <si>
    <t>Ubicación</t>
  </si>
  <si>
    <t>Especialidad</t>
  </si>
  <si>
    <t>Maquina</t>
  </si>
  <si>
    <t>AJM01</t>
  </si>
  <si>
    <t>00392368</t>
  </si>
  <si>
    <t>Preventivo</t>
  </si>
  <si>
    <t>VERIFICACION TACOGENERADOR O ENCODER</t>
  </si>
  <si>
    <t>ELE-FB-001-M</t>
  </si>
  <si>
    <t>Ajustar conexiones y verificacion de estado del cableado.</t>
  </si>
  <si>
    <t>000000003346</t>
  </si>
  <si>
    <t>MOTOR HERRAMIENTAS PLACA INF F</t>
  </si>
  <si>
    <t>PRETF45-EF01ME01</t>
  </si>
  <si>
    <t>1073170379</t>
  </si>
  <si>
    <t>Luis Alvaro Rivera Santos</t>
  </si>
  <si>
    <t>Y</t>
  </si>
  <si>
    <t>Cerrada</t>
  </si>
  <si>
    <t xml:space="preserve">Revision a el tacogenerador o encoder </t>
  </si>
  <si>
    <t>Ninguna</t>
  </si>
  <si>
    <t>Ajustar fijación</t>
  </si>
  <si>
    <t>000000003345</t>
  </si>
  <si>
    <t>MOTOR PLUG PLACA SUP FORMADO</t>
  </si>
  <si>
    <t>PRETF45-EF01ME02</t>
  </si>
  <si>
    <t>000000003343</t>
  </si>
  <si>
    <t>SERVOMOTOR ARRASTRE DE LÁMINA</t>
  </si>
  <si>
    <t>PRETF45-EF01ME03</t>
  </si>
  <si>
    <t>VERIFICACIÓN GENERAL Y LIMPIEZA MOTOR ELE</t>
  </si>
  <si>
    <t>ELE-MG-001-M</t>
  </si>
  <si>
    <t>Ajuste conexiones de la bornera</t>
  </si>
  <si>
    <t>000000004064</t>
  </si>
  <si>
    <t>MOTOR LEVANTAMIENTO SIST APILA</t>
  </si>
  <si>
    <t>PRETF45-AP01ME01</t>
  </si>
  <si>
    <t xml:space="preserve">Revision general y limpieza del motor electrico </t>
  </si>
  <si>
    <t>Ajuste tornillos de fijación</t>
  </si>
  <si>
    <t>Realice limpieza externa</t>
  </si>
  <si>
    <t>Realizar limpieza obligatoria a los filtros de el motor</t>
  </si>
  <si>
    <t>Verificar el estado de la ventaviola o ventilador</t>
  </si>
  <si>
    <t>Verificar el estado del cable de la acometida</t>
  </si>
  <si>
    <t>Verificar estado de pintura</t>
  </si>
  <si>
    <t>000000003335</t>
  </si>
  <si>
    <t>MOTOREDUCTOR DESEMBOBINADOR</t>
  </si>
  <si>
    <t>PRETF45-DE01ME01</t>
  </si>
  <si>
    <t>000000003338</t>
  </si>
  <si>
    <t>MOTOREDUCTOR ROD PRECALENTADOR</t>
  </si>
  <si>
    <t>PRETF45-HE01ME01</t>
  </si>
  <si>
    <t>REVISION PANEL DE CONEXIONES TABLERO ELE</t>
  </si>
  <si>
    <t>ELE-MG-002-M</t>
  </si>
  <si>
    <t>Ajustar conexiones</t>
  </si>
  <si>
    <t>000000003350</t>
  </si>
  <si>
    <t>CAJA DE PASO APILADOR SISTEMA</t>
  </si>
  <si>
    <t>PRETF45-AP01TE01</t>
  </si>
  <si>
    <t>Inspeccion del panel de conexiones del tablero electrico</t>
  </si>
  <si>
    <t xml:space="preserve">Realizar limpieza interna general al tablero Organizar todo el cableado que este por fuera de las canaletas o guias </t>
  </si>
  <si>
    <t>Revisar estado de cableado</t>
  </si>
  <si>
    <t>Revisar estado de rotulación</t>
  </si>
  <si>
    <t>Verficar existencia de planos eléctricos</t>
  </si>
  <si>
    <t>Verificación de puestas a tierra del tablero</t>
  </si>
  <si>
    <t>Verificar correcto funcionamiento de mecanismo de cierre de la(s) puerta(s) y/o tapa(s) del tablero Cambiar o corregir si se requiere</t>
  </si>
  <si>
    <t>Verificar estado de elementos de control, mando e indicación</t>
  </si>
  <si>
    <t>Verificar estado de empaquetaduras para sello hermetico del tablero Cambiar o corregir si se requiere</t>
  </si>
  <si>
    <t>Verificar que todas las acometidas del tablero tengan instalado correctamente su conduit, conectores y accesorios Cambiar o corregir si se requiere</t>
  </si>
  <si>
    <t>000000004010</t>
  </si>
  <si>
    <t>CAJA DE CONEX PLACA INF FORM</t>
  </si>
  <si>
    <t>PRETF45-EF01TE01</t>
  </si>
  <si>
    <t>000000004031</t>
  </si>
  <si>
    <t>CAJA PASO AUX PLACA INF FORMAD</t>
  </si>
  <si>
    <t>PRETF45-EF01TE02</t>
  </si>
  <si>
    <t>000000003337</t>
  </si>
  <si>
    <t>TABLERO ELECTRICO PRECALENTA</t>
  </si>
  <si>
    <t>PRETF45-HE01TE01</t>
  </si>
  <si>
    <t>000000003987</t>
  </si>
  <si>
    <t>BORNEA CONEX TAB AUX PRECALENT</t>
  </si>
  <si>
    <t>PRETF45-HE01TE02</t>
  </si>
  <si>
    <t>000000003341</t>
  </si>
  <si>
    <t>TABLERO ELECTRICO HORNO</t>
  </si>
  <si>
    <t>PRETF45-HE02TE01</t>
  </si>
  <si>
    <t>000000003342</t>
  </si>
  <si>
    <t>TABLERO DE CONTROL PRINCIPAL</t>
  </si>
  <si>
    <t>PRETF45-TE01</t>
  </si>
  <si>
    <t>REVISION ELEMENTOS DE PROTECCIÓN SOBRECORRIENTE</t>
  </si>
  <si>
    <t>ELE-MG-003-M</t>
  </si>
  <si>
    <t>Verificar correcto estado y funcionamiento de elementos de proteccion por sobrecorriente (disyuntores, breakers, fusibles, etc) Activar y desactivar el interruptor varias veces para asegurarse de que el mecanismo este libre Cuando aplique, realizar prueba de disparo con el boton Push-To-Trip, si el interruptor no se dispara o si no se rearma, cambiar por uno nuevo</t>
  </si>
  <si>
    <t xml:space="preserve">Verificacion de elementos de proteccion para sobrecorriente </t>
  </si>
  <si>
    <t>REVISIÓN DE VENTILADORES TABLEROS ELE</t>
  </si>
  <si>
    <t>ELE-MG-005-M</t>
  </si>
  <si>
    <t>Cambiar filtros y limpiar rejillas de ventilación</t>
  </si>
  <si>
    <t xml:space="preserve">Verificacion del etado de los ventiladores de tableros electricos </t>
  </si>
  <si>
    <t>Verificar correcto funcionamiento de ventiladores</t>
  </si>
  <si>
    <t>REVISAR ESTADO DE COMPONENTES ELECTRONICOS</t>
  </si>
  <si>
    <t>ELE-MG-006-M</t>
  </si>
  <si>
    <t>Revisión estado de componetes si hay rotura remplazar</t>
  </si>
  <si>
    <t xml:space="preserve">Inspeccion del estado de componentes electronicos </t>
  </si>
  <si>
    <t>Verificar que no se encuentre sulfatado las conexiones</t>
  </si>
  <si>
    <t>LIMPIEZA TRANSFORMADOR TABLERO ELE</t>
  </si>
  <si>
    <t>ELE-MG-007-M</t>
  </si>
  <si>
    <t xml:space="preserve">Limpieza del tanque acumulador </t>
  </si>
  <si>
    <t>Realizar limpieza al transformador</t>
  </si>
  <si>
    <t xml:space="preserve">Inspeccion y limpieza del transformador de tablero eletrico </t>
  </si>
  <si>
    <t>REVISAR TOMAS Y CLAVIJAS TABLERO ELE</t>
  </si>
  <si>
    <t>ELE-MG-008-M</t>
  </si>
  <si>
    <t xml:space="preserve">Inspecionar el estado de tomas y clavijas del tablero eletrico </t>
  </si>
  <si>
    <t>Realizar limpieza</t>
  </si>
  <si>
    <t>Revisar estado de tomas y clavijas, si senecuntra deterioradas remplazar</t>
  </si>
  <si>
    <t>REVISION VARIADOR TABLERO ELE</t>
  </si>
  <si>
    <t>ELE-MG-009-M</t>
  </si>
  <si>
    <t>Ajustar todas las conexiones del variador Cuando aplique, instalar el terminal adecuado a los cables que no lo tengan</t>
  </si>
  <si>
    <t xml:space="preserve">Verificacion del variador del tablero electrico </t>
  </si>
  <si>
    <t>Realizar limpieza de ventiladores Verificar que se encuentren en bueno estado y funcionales Reemplazar en caso que se requiera</t>
  </si>
  <si>
    <t>Realizar limpieza interna general al variador</t>
  </si>
  <si>
    <t>Verificar en el historial de alarmas si el variador presenta algun falla importante relacionada con componentes internos deteriorados, perdiendo vida util o mal funcinamiento Reportar condicion para gestionar correcion</t>
  </si>
  <si>
    <t>Verificar parametros del variador que concuerden con las caracteristicas tecnicas del motor</t>
  </si>
  <si>
    <t>Verificar si la parametrizacion del variador es diferente al ultimo backup Realizar un nuevo backup de la parametrizacion si se requiere</t>
  </si>
  <si>
    <t>REVISION PLC</t>
  </si>
  <si>
    <t>ELE-MG-010-M</t>
  </si>
  <si>
    <t>Medición de la bateria del PLC Reemplazar si se requiere</t>
  </si>
  <si>
    <t>Verificar la programacion del PLC</t>
  </si>
  <si>
    <t>Verificar si el programa de PLC es diferente al ultimo backup Realizar un nuevo backup del programa si se requiere</t>
  </si>
  <si>
    <t>FUENTES DE CONTROL TABLERO ELE</t>
  </si>
  <si>
    <t>ELE-MG-011-M</t>
  </si>
  <si>
    <t>Realizar Medición</t>
  </si>
  <si>
    <t xml:space="preserve">Revision de fuentes de control de tablero electrico </t>
  </si>
  <si>
    <t>Verificar estado y correcto funcionamiento de las fuentes reguladas</t>
  </si>
  <si>
    <t>PANTALLA TABLERO ELE</t>
  </si>
  <si>
    <t>ELE-MG-013-M</t>
  </si>
  <si>
    <t>Verificar que la calibración de touch sea la correcta</t>
  </si>
  <si>
    <t xml:space="preserve">Revision de pantalla de tablero electrico </t>
  </si>
  <si>
    <t>Verificar que la menbrana tenga todas sus teclas activas</t>
  </si>
  <si>
    <t>INSPECCIÓN SISTEMA REF PLACAS MOLDE</t>
  </si>
  <si>
    <t>ELE-MG-019-M</t>
  </si>
  <si>
    <t>verificar estado rotametros y sensores de flujo</t>
  </si>
  <si>
    <t>000000004143</t>
  </si>
  <si>
    <t>REFRIGERACION</t>
  </si>
  <si>
    <t>PRETF45-SR01</t>
  </si>
  <si>
    <t xml:space="preserve">Verificacion e inspeccion del sistema de refrigeracion de placas molde </t>
  </si>
  <si>
    <t>INSPECCIÓN GENERAL TRANSFORMADOR</t>
  </si>
  <si>
    <t>ELE-MG-029-M</t>
  </si>
  <si>
    <t>000000004227</t>
  </si>
  <si>
    <t>TRANSFORMADOR</t>
  </si>
  <si>
    <t>PRETF45-TR01</t>
  </si>
  <si>
    <t xml:space="preserve">Revision genral del transformador </t>
  </si>
  <si>
    <t>inpeccion visual de cable a tierra</t>
  </si>
  <si>
    <t>toma de amperaje cable a tierra</t>
  </si>
  <si>
    <t>toma de temperatura y registre el valor</t>
  </si>
  <si>
    <t>VERIFICACION TABLET</t>
  </si>
  <si>
    <t>ELE-MG-031-M</t>
  </si>
  <si>
    <t>Realizar borrado de cache</t>
  </si>
  <si>
    <t>000000004207</t>
  </si>
  <si>
    <t>TABLET</t>
  </si>
  <si>
    <t>PRETF45-TB01</t>
  </si>
  <si>
    <t xml:space="preserve">Revision del buen funcioamiento de la Tablet </t>
  </si>
  <si>
    <t>Realizar limpieza a base de carga</t>
  </si>
  <si>
    <t>verifcar estado de cargador y conexión</t>
  </si>
  <si>
    <t>verificar conexiones de red</t>
  </si>
  <si>
    <t>VERIFICAR AIRE ACONDICIONADO</t>
  </si>
  <si>
    <t>ELE-MG-032-M</t>
  </si>
  <si>
    <t>000000003960</t>
  </si>
  <si>
    <t>AIRE ACONDICIONADO TABLERO E</t>
  </si>
  <si>
    <t>PRETF45-HE01TE01AA01</t>
  </si>
  <si>
    <t xml:space="preserve">Verificacion del aire acondicionado </t>
  </si>
  <si>
    <t>Inspección moto ventiladores</t>
  </si>
  <si>
    <t>Verificar correcto funcionamiento del aire acondicionado</t>
  </si>
  <si>
    <t>Verificar estado de los filtros</t>
  </si>
  <si>
    <t>000000003949</t>
  </si>
  <si>
    <t>AIRE ACOND  TABLER0 PRINCIPAL</t>
  </si>
  <si>
    <t>PRETF45-TE01AA01</t>
  </si>
  <si>
    <t>VERIFICACIÓN HORNO TERFMOFORMADORA</t>
  </si>
  <si>
    <t>ELE-MG-039-M</t>
  </si>
  <si>
    <t>000000003340</t>
  </si>
  <si>
    <t>HORNO</t>
  </si>
  <si>
    <t>PRETF45-HE02</t>
  </si>
  <si>
    <t xml:space="preserve">Revision e inspeccion del horno de la termofomadora </t>
  </si>
  <si>
    <t>Aplique limpiador de partes eléctricas contactores</t>
  </si>
  <si>
    <t>Compare las mediciones efectuadas de resistencias  con respecto  a las nominales del equipo</t>
  </si>
  <si>
    <t>Compare las mediciones efectuadas de resistencias  con respecto  a las nominales del equipo.</t>
  </si>
  <si>
    <t>Compruebe que no exista tensión entre las líneas de alimentación  aguas abajo del breaker usando el voltímetro</t>
  </si>
  <si>
    <t>Diligencie el formato de inspección de resistencias  respectivo</t>
  </si>
  <si>
    <t>Diligencie el formato de inspección de resistencias  respectivo.</t>
  </si>
  <si>
    <t>En casos donde el error permitido sea mayor, suelte la tapa donde se encuentran las conexiones eléctricas de la zona respectiva para verificar falsos contactos, cortocircuitos, puentes sueltos, cables con aislamientos deteriorados  o resistencias abierta</t>
  </si>
  <si>
    <t>Revisar estado y correcto funcionamiento de las fotoceldas, resistencias  y termocuplas del horno</t>
  </si>
  <si>
    <t>Una vez encontrado la causa de la desviación en el valor de la resistencia repita la medición en la zona corregida y anótela como observación encontrada</t>
  </si>
  <si>
    <t>Una vez encontrado la causa de la desviación en el valor de la resistencia repita la medición en la zona corregida y anótela como observación encontrada.</t>
  </si>
  <si>
    <t>Una vez terminadas las mediciones suelte las tapas del horno e inspeccione el estado de los cables, aisladores, terminales, arandelas de soporte de las resistencias, confirmar correcto funcionamiento</t>
  </si>
  <si>
    <t>Una vez terminadas las mediciones suelte las tapas del horno e inspeccione el estado de los cables, aisladores, terminales, arandelas de soporte de las resistencias, confirmar correcto funcionamiento.</t>
  </si>
  <si>
    <t>Verificación de corazas y tapas del horno, deben tener la tornilleria completa</t>
  </si>
  <si>
    <t>INSPECCIÓN SISTEMA SELLADO</t>
  </si>
  <si>
    <t>ELE-MG-043-M</t>
  </si>
  <si>
    <t>Revisar el estado de empaque siliconado, realizar cambio de ser necesario</t>
  </si>
  <si>
    <t>000000004160</t>
  </si>
  <si>
    <t>SELLADORA PEDAL MECÁNICA</t>
  </si>
  <si>
    <t>PRETF45-SP01</t>
  </si>
  <si>
    <t xml:space="preserve">Revision del funcionamiento del sistema de sellado </t>
  </si>
  <si>
    <t>Revisar paro de emergencia</t>
  </si>
  <si>
    <t>Revision alimentación principal</t>
  </si>
  <si>
    <t>Verificar correcto funcionamiento de micro de seguridad</t>
  </si>
  <si>
    <t>Verificar correcto funcionamiento de pulsadores</t>
  </si>
  <si>
    <t>inspeccionar estado del teflón, cambiar teflon de ser necesario</t>
  </si>
  <si>
    <t>VERIFICAR AIRE ACONDICIONADO AGUA</t>
  </si>
  <si>
    <t>ELE-MG-047-M</t>
  </si>
  <si>
    <t>Inspeccionar intercambiadores de calor, que no posean incrustaciones y estan funcionales</t>
  </si>
  <si>
    <t xml:space="preserve">Inspeccion del aire acondionado agua </t>
  </si>
  <si>
    <t>Inspección de magueras y racores de entrada cde agua</t>
  </si>
  <si>
    <t>Verificar ausencia de fugas</t>
  </si>
  <si>
    <t>REVISON DE SENSORES LOOP</t>
  </si>
  <si>
    <t>ELE-MG-056-M</t>
  </si>
  <si>
    <t>Realizar limpieza y ajuste de conexiones en sensores loop de lamina</t>
  </si>
  <si>
    <t>000000003334</t>
  </si>
  <si>
    <t>DESEMBOBINADOR</t>
  </si>
  <si>
    <t>PRETF45-DE01</t>
  </si>
  <si>
    <t xml:space="preserve">Revision del funcionamiento de los sensores LOOP </t>
  </si>
  <si>
    <t>INSPECCIÓN NEUMATICA HORNO FORMADORA</t>
  </si>
  <si>
    <t>ELE-MG-057-M</t>
  </si>
  <si>
    <t>Verificar posición de cierre del horno</t>
  </si>
  <si>
    <t xml:space="preserve">Verificacion general neumatica de horno formadora </t>
  </si>
  <si>
    <t>Verificar sensor de loop de lamina</t>
  </si>
  <si>
    <t>VERIFICACION DE SENSORES</t>
  </si>
  <si>
    <t>ELE-MG-059-M</t>
  </si>
  <si>
    <t>Revisar sensores parada de rodillos precalentadores, garantizar su operatividad.</t>
  </si>
  <si>
    <t>000000003336</t>
  </si>
  <si>
    <t>PRECALENTADOR LAMINA</t>
  </si>
  <si>
    <t>PRETF45-HE01</t>
  </si>
  <si>
    <t xml:space="preserve">Ajuste e inspeccion de los sensores </t>
  </si>
  <si>
    <t>Verificar espejos reflectivos piramidales</t>
  </si>
  <si>
    <t>VERIFICACIÓN HORNO PRECALENTADOR</t>
  </si>
  <si>
    <t>ELE-MG-060-M</t>
  </si>
  <si>
    <t xml:space="preserve">Revision y ajuste de los parametros del horno precalentador </t>
  </si>
  <si>
    <t>VERIFICACION HERRAMIENTA DE FORMADO</t>
  </si>
  <si>
    <t>ELE-MG-061-M</t>
  </si>
  <si>
    <t>Ajuste de conexiones</t>
  </si>
  <si>
    <t>000000003339</t>
  </si>
  <si>
    <t>ESTACION DE FORMADO</t>
  </si>
  <si>
    <t>PRETF45-EF01</t>
  </si>
  <si>
    <t xml:space="preserve">Inspeccion de la herramienta de formado </t>
  </si>
  <si>
    <t>Verificar estado sensor de  posicionamiento</t>
  </si>
  <si>
    <t>verificación del estado y ruteo del cableado</t>
  </si>
  <si>
    <t>VERIFICACION SISTEMA EYECTOR</t>
  </si>
  <si>
    <t>ELE-MG-062-M</t>
  </si>
  <si>
    <t>Verificación de estado de sensores</t>
  </si>
  <si>
    <t xml:space="preserve">Ajuste y revision del funcionamiento del sistema eyector </t>
  </si>
  <si>
    <t>verificación de estado de eléctrovalvula</t>
  </si>
  <si>
    <t>INSPECCION VALVULAS APILADOR</t>
  </si>
  <si>
    <t>ELE-MG-063-M</t>
  </si>
  <si>
    <t>verificar estado de sensores y valvulas de posicionamiento del apilador</t>
  </si>
  <si>
    <t>000000003348</t>
  </si>
  <si>
    <t>SISTEMA DE APILADO</t>
  </si>
  <si>
    <t>PRETF45-AP01</t>
  </si>
  <si>
    <t xml:space="preserve">Verificacion del estado de las valvulas apilador </t>
  </si>
  <si>
    <t>INSPECCIÓN NEUMATICA DESEMBOBINADORES</t>
  </si>
  <si>
    <t>ELE-NE-004-M</t>
  </si>
  <si>
    <t>Verifiacr el funcionamiento de las válvulas neumáticas</t>
  </si>
  <si>
    <t xml:space="preserve">Inspeccion del funcionamiento de zona nuematica de los desembobinadores </t>
  </si>
  <si>
    <t>PREDICTIVO VIBRACIONES MOTOR ELE</t>
  </si>
  <si>
    <t>ELE-PD-001-M</t>
  </si>
  <si>
    <t>Realizar programación y ejecución para medición de vibraciones</t>
  </si>
  <si>
    <t xml:space="preserve">Se realiza mantenimiento predictivo de vibracion en motores electricos </t>
  </si>
  <si>
    <t>PREDICTIVO ESTETOSCOPIO</t>
  </si>
  <si>
    <t>ELE-PD-003-M</t>
  </si>
  <si>
    <t>En caso de escuchar ruidos anormales, reportar al supervisor de mtto</t>
  </si>
  <si>
    <t xml:space="preserve">Se realiza mantenimiento predictivo con estetoscopio </t>
  </si>
  <si>
    <t>Generar una SOT para corrección en preventivo por estado</t>
  </si>
  <si>
    <t>00392367</t>
  </si>
  <si>
    <t>VERIFICAR FUGAS, NIVELAR ACEITE</t>
  </si>
  <si>
    <t>LUB-OI-001-M</t>
  </si>
  <si>
    <t>Adicionar aceite si es necesario</t>
  </si>
  <si>
    <t>000000003349</t>
  </si>
  <si>
    <t>REDUCTOR APILADOR SISTEMA</t>
  </si>
  <si>
    <t>PRETF45-AP01RD01</t>
  </si>
  <si>
    <t>80428442</t>
  </si>
  <si>
    <t>Wilson Abdon Quevedo Pastor</t>
  </si>
  <si>
    <t>Inspeccion de las fugas y nivelacion del aceite</t>
  </si>
  <si>
    <t>Verificar nivel de aceite</t>
  </si>
  <si>
    <t>000000004113</t>
  </si>
  <si>
    <t>REDUCTOR EMBOBINADOR DE SCRAP</t>
  </si>
  <si>
    <t>PRETF45-EB01RD01</t>
  </si>
  <si>
    <t>000000004124</t>
  </si>
  <si>
    <t>REDUCTOR PLACA INF FORMADO</t>
  </si>
  <si>
    <t>PRETF45-EF01RD01</t>
  </si>
  <si>
    <t>000000004134</t>
  </si>
  <si>
    <t>REDUC TAB AUX PRECALENTADOR</t>
  </si>
  <si>
    <t>PRETF45-HE01RD01</t>
  </si>
  <si>
    <t>REVISAR ESTADO DEL ACOPLE MOTOR</t>
  </si>
  <si>
    <t>MEC-AC-003-M</t>
  </si>
  <si>
    <t>Ajustar tornillos de la manzana</t>
  </si>
  <si>
    <t xml:space="preserve">Verificacion del estado del acople del motor </t>
  </si>
  <si>
    <t>Revisar estado del acople</t>
  </si>
  <si>
    <t>Verificar estado de cuña y cuñero del motor y el acople</t>
  </si>
  <si>
    <t>Verificar estado de eje del motor</t>
  </si>
  <si>
    <t>REVISION ACOPLE</t>
  </si>
  <si>
    <t>MEC-AC-004-M</t>
  </si>
  <si>
    <t>Inspección acople araña (Manzanas y cuñas), cambiar si es necesario</t>
  </si>
  <si>
    <t xml:space="preserve">Inspeccion del acople </t>
  </si>
  <si>
    <t>verifique estado de tornilleria de las manzanas del acople</t>
  </si>
  <si>
    <t>verifique estado del acople</t>
  </si>
  <si>
    <t>VERIFICACIÓN RODILLOS HALADORES DESEMB</t>
  </si>
  <si>
    <t>MEC-IC-001-M</t>
  </si>
  <si>
    <t>Revisar vulcanizado si aplica de los rodillos y limpieza de los componetes que tengan contacto con la lamina</t>
  </si>
  <si>
    <t xml:space="preserve">Revision de rodillos haladores desembobinadores </t>
  </si>
  <si>
    <t>INSPECCIÓN RODILLOS  DESEMBOBINADORES</t>
  </si>
  <si>
    <t>MEC-MG-064-M</t>
  </si>
  <si>
    <t>Revisar paralelismo del rodillo pisadores con respecto al rodillos de conductor</t>
  </si>
  <si>
    <t xml:space="preserve">Revision de los rodillos desembobinadores </t>
  </si>
  <si>
    <t>Revisión del vucanizado de lo rodillos.</t>
  </si>
  <si>
    <t>ALINEACION RODILLOS PISADORES PRECALENTADOR</t>
  </si>
  <si>
    <t>MEC-MG-065-M</t>
  </si>
  <si>
    <t>Revisar estado de ruedas en teflon y oring</t>
  </si>
  <si>
    <t xml:space="preserve">Se realiza alineacion y calibracion de rodillos pisadores precalentador </t>
  </si>
  <si>
    <t>Verificar parlelismo del sistema pisador</t>
  </si>
  <si>
    <t>Verificar ruedas de rodillo</t>
  </si>
  <si>
    <t>VERIFICACIÓN TRASPORTE LAMINA</t>
  </si>
  <si>
    <t>MEC-MG-066-M</t>
  </si>
  <si>
    <t>Revisar cilindros de apertura y cierre de rieles</t>
  </si>
  <si>
    <t xml:space="preserve">Revision y verificar el buen funcionamieto del trasnporte de lamina </t>
  </si>
  <si>
    <t>Revisar ejes de apertura y cierre de rieles</t>
  </si>
  <si>
    <t>Revisar estado de correa y poleas de la transmisión de la cadena de arrastre y realizar alineación poleas</t>
  </si>
  <si>
    <t>Revisión guia entrada lamina</t>
  </si>
  <si>
    <t>Revisión rodillos conducidos (Locos)</t>
  </si>
  <si>
    <t>Verificar ajuste del rodamiento del piñón del eje estriado de la cadena</t>
  </si>
  <si>
    <t>Verificar elongación y tension  de las cadenas de material, medir elongación</t>
  </si>
  <si>
    <t>Verificar estado de piñones de las cadenas de arrastre, alinear y ajustar tornillos</t>
  </si>
  <si>
    <t>Verificar estado de rieles, revisar que no exista material entre ellos.</t>
  </si>
  <si>
    <t>INSPECCIÓN SISTEMA REF PLACAS</t>
  </si>
  <si>
    <t>MEC-MG-067-M</t>
  </si>
  <si>
    <t>Inspección de acople rapido de manguera, verificar que no presente fugas</t>
  </si>
  <si>
    <t xml:space="preserve">Revision del sistema de refrigeracion de placas </t>
  </si>
  <si>
    <t>Inspección estado de flujometro, garantizar que no presente fuga o rotura</t>
  </si>
  <si>
    <t>Inspección y cambio de ser necesario del filtro de entrada</t>
  </si>
  <si>
    <t>MEC-MG-068-M</t>
  </si>
  <si>
    <t>Revisar tornilleria y anclaje del cilindro, realizar cambio si se requiere.</t>
  </si>
  <si>
    <t>INSPECCION SISTEMA DE LUBRICACION</t>
  </si>
  <si>
    <t>MEC-MG-069-M</t>
  </si>
  <si>
    <t>Inspeccion de racores y mangueras, correfir fugas si se requiere.</t>
  </si>
  <si>
    <t xml:space="preserve">Revision y verificacion del funcionamiento del sistema de lubricacion </t>
  </si>
  <si>
    <t>Revisar estado y correcto funcionamiento del sistema de lubricación automático.</t>
  </si>
  <si>
    <t>INSPECCION PLACA SUPERIOR</t>
  </si>
  <si>
    <t>MEC-MG-070-M</t>
  </si>
  <si>
    <t>Inspección y alineación correa polea</t>
  </si>
  <si>
    <t>Revision del movimiento de la placa superior</t>
  </si>
  <si>
    <t>Inspección y lubricación tornillo recirculante</t>
  </si>
  <si>
    <t>Lubricación manual puntos fijos de la maquina</t>
  </si>
  <si>
    <t>Verificación de  mecanismo de moviento de la placa (cadena y piñones)</t>
  </si>
  <si>
    <t>INSPECCION ACOPLE PLACA SUPERIOR</t>
  </si>
  <si>
    <t>MEC-MG-071-M</t>
  </si>
  <si>
    <t>Inspección y acople (cuña, cuñero y manzana</t>
  </si>
  <si>
    <t xml:space="preserve">Verificacion general del acople de la placa </t>
  </si>
  <si>
    <t>INSPECCION GENERAL, CALIBRACION  PLACA INFERIOR</t>
  </si>
  <si>
    <t>MEC-MG-072-M</t>
  </si>
  <si>
    <t>Revisión tornillos de hombro, arandelas concavas, bujes y guias laterales</t>
  </si>
  <si>
    <t xml:space="preserve">Revsion genral y calibracion de la placa inferior </t>
  </si>
  <si>
    <t>Verificar paralelismo entre placas</t>
  </si>
  <si>
    <t>INSPECCION Y CALIBRACION  PLACA INFERIOR</t>
  </si>
  <si>
    <t>MEC-MG-073-M</t>
  </si>
  <si>
    <t>Revisón sistema acodado (Brazos pasadores y rodamientos)</t>
  </si>
  <si>
    <t xml:space="preserve">Revision y calibracion de placa inferior </t>
  </si>
  <si>
    <t>revisión del sistema de moviento manual, anclaje y eje.</t>
  </si>
  <si>
    <t>REVISAR ESTADO DEL ACOPLE RODILLO</t>
  </si>
  <si>
    <t>MEC-MG-078-M</t>
  </si>
  <si>
    <t>Verificar el estado de acople del  rodillo</t>
  </si>
  <si>
    <t>INSPECCION RODAMIENTOS LINEALES APILADOR</t>
  </si>
  <si>
    <t>MEC-MG-090-M</t>
  </si>
  <si>
    <t>inspeccion del estado de los rodamiento lineales, realizar cambio si se requiere</t>
  </si>
  <si>
    <t xml:space="preserve">Revision de los rodamientos lineales apilador </t>
  </si>
  <si>
    <t>revisar riles guias del rodamiento</t>
  </si>
  <si>
    <t>INSPECCION EMBOBINADOR DE SCRAP</t>
  </si>
  <si>
    <t>MEC-MG-091-M</t>
  </si>
  <si>
    <t xml:space="preserve">Inspeccionar el estado de las paletas del rodillo antigiro </t>
  </si>
  <si>
    <t>000000003347</t>
  </si>
  <si>
    <t>EMBOBINADOR SCRAP</t>
  </si>
  <si>
    <t>PRETF45-EB01</t>
  </si>
  <si>
    <t xml:space="preserve">Verificacion del funcionamiento del embobinador de Scrap </t>
  </si>
  <si>
    <t>Nivelar aceite del vaso de lubricación (Festo)</t>
  </si>
  <si>
    <t>Reguladro de paso, verificar que no presente fugas</t>
  </si>
  <si>
    <t>Revisar vaso de lubricación, que no presente fujas</t>
  </si>
  <si>
    <t>inspeccion valvula de corte, verificar estado si se requiere realizar cambio</t>
  </si>
  <si>
    <t>revisar ajuste y rodamiento anti giro</t>
  </si>
  <si>
    <t>revisar estado del manometro</t>
  </si>
  <si>
    <t>INSPECCION NEUMATICA EMBOBINADOR DE SCRAP</t>
  </si>
  <si>
    <t>MEC-MG-092-M</t>
  </si>
  <si>
    <t>Realizar inspeccion de racores y mangueras</t>
  </si>
  <si>
    <t xml:space="preserve">Verificacion nuematica del embobinador de scrap </t>
  </si>
  <si>
    <t>Revisar válvula de paso</t>
  </si>
  <si>
    <t>INSPECCION MOTOR NEUMATICO</t>
  </si>
  <si>
    <t>MEC-MG-094-M</t>
  </si>
  <si>
    <t xml:space="preserve">Garantizar que no existan fugas en el motor, realizar cambio de kit de reparación si se requiere </t>
  </si>
  <si>
    <t>000000004071</t>
  </si>
  <si>
    <t>MOTOR NEUMATICO EMB SCRAP</t>
  </si>
  <si>
    <t>PRETF45-EB01MN01</t>
  </si>
  <si>
    <t xml:space="preserve">Revision general del motor neumatica </t>
  </si>
  <si>
    <t>revisar mangueras y racores, garantizar hermeticidad del sistema</t>
  </si>
  <si>
    <t>INSPECCIÓN  DESEMBOBINADORES RODHE</t>
  </si>
  <si>
    <t>MEC-NE-006-M</t>
  </si>
  <si>
    <t>Revisar correcto funcionamiento de los manometros</t>
  </si>
  <si>
    <t xml:space="preserve">Revision del funcionamiento de los desembobinadores RODHE </t>
  </si>
  <si>
    <t>Verificar ausencia de fugas de aire en el sistema neumático</t>
  </si>
  <si>
    <t>Verificar correcto funcionamiento de actuadores neumaticos</t>
  </si>
  <si>
    <t>Verificar estado de mangueras y racores neumáticas</t>
  </si>
  <si>
    <t>INSPECCIÓN GENERAL NEUMATICA PRECALENTADOR</t>
  </si>
  <si>
    <t>MEC-NE-007-M</t>
  </si>
  <si>
    <t xml:space="preserve">Verficacacion general neumatica del precalentador </t>
  </si>
  <si>
    <t>INSPECCIÓN NEUMATICA HORNO</t>
  </si>
  <si>
    <t>MEC-NE-008-M</t>
  </si>
  <si>
    <t>Corregir fugas de aire</t>
  </si>
  <si>
    <t xml:space="preserve">Verificacion neumatica del horno </t>
  </si>
  <si>
    <t>Revisar estado y correcto funcionamiento en los actuadores de desplazamiento</t>
  </si>
  <si>
    <t>INSPECCION NEUMATICA ESTACIÓN DE FORMADO</t>
  </si>
  <si>
    <t>MEC-NE-009-M</t>
  </si>
  <si>
    <t>Revisar estado de los cilindros neumáticos, mangueras, racores, válvulas y unidad de mantenimiento.</t>
  </si>
  <si>
    <t xml:space="preserve">Verificacion neumatica de la estacion de formado </t>
  </si>
  <si>
    <t>Revisar estado de mangueras, racores y acoples.</t>
  </si>
  <si>
    <t>Revisar pivotes o sistema de fijación</t>
  </si>
  <si>
    <t>Verificar funcionamiento de cilindros neumáticos</t>
  </si>
  <si>
    <t>INSPECCION NEUMATICA APILADOR</t>
  </si>
  <si>
    <t>MEC-NE-011-M</t>
  </si>
  <si>
    <t>Revisar estado de los cilindros neumáticos.</t>
  </si>
  <si>
    <t xml:space="preserve">Verificacion neumatica del apilador </t>
  </si>
  <si>
    <t>INSPECCION SISTEMA NEUMATICO</t>
  </si>
  <si>
    <t>MEC-NE-012-M</t>
  </si>
  <si>
    <t>Recuperar nivel de aceite de la unidad de mantenimiento</t>
  </si>
  <si>
    <t>000000003351</t>
  </si>
  <si>
    <t>SISTEMA NEUMATICO</t>
  </si>
  <si>
    <t>PRETF45-SN01</t>
  </si>
  <si>
    <t xml:space="preserve">Verificacion del estado del sistema nuematico </t>
  </si>
  <si>
    <t>Revisar estado y buen funcionamiento unidad de mantenimiento</t>
  </si>
  <si>
    <t>INSPECCION GENERAL REDUCTOR</t>
  </si>
  <si>
    <t>MEC-RD-001-M</t>
  </si>
  <si>
    <t>Inspeccionar visualmente el reductor para verificar que no exista fractura estructural, corrosion/soltura/desgaste en carcaza, base, brida o pernos de sujecion Cambiar o corregir en caso que se requiera</t>
  </si>
  <si>
    <t xml:space="preserve">Revision y verificacion general del reductor </t>
  </si>
  <si>
    <t>Realizar inspección verificando ausencia de fugas por retenedores, tapones y otros</t>
  </si>
  <si>
    <t>Verificar alineación motor, acople y reductor</t>
  </si>
  <si>
    <t>VERIFICAR ESTADO DE CORREAS Y POLEAS</t>
  </si>
  <si>
    <t>MEC-TM-001-M</t>
  </si>
  <si>
    <t>Realizar alineación de poleas</t>
  </si>
  <si>
    <t xml:space="preserve">Calibracion y revision de las correas y poleas </t>
  </si>
  <si>
    <t>Verificar estado de correas y poleas</t>
  </si>
  <si>
    <t>INSPECCIÓN GENERAL TRANSMISIÓN</t>
  </si>
  <si>
    <t>MEC-TM-003-M</t>
  </si>
  <si>
    <t>Ajustar tensor</t>
  </si>
  <si>
    <t xml:space="preserve">Verificacion del funcionamiento genral de la transmision </t>
  </si>
  <si>
    <t>Lubricar cadena con aceite</t>
  </si>
  <si>
    <t>Lubricar chumaceras</t>
  </si>
  <si>
    <t>Re torqueo de los tornillos o prisioneros de sujeción de piñoneria y tensión cadena</t>
  </si>
  <si>
    <t>Realizar alineación piñones</t>
  </si>
  <si>
    <t>Revisar estado y elongación de cadena</t>
  </si>
  <si>
    <t>INSPECCIÓN GENERAL TRANSMISIÓN SECUNDARIA</t>
  </si>
  <si>
    <t>MEC-TM-008-M</t>
  </si>
  <si>
    <t xml:space="preserve">Revision general de la transmision secundaria </t>
  </si>
  <si>
    <t>revisar cuñas y cuñero</t>
  </si>
  <si>
    <t>INSPECCION DE TRASMISION RODILLOS PRECALENTADORES</t>
  </si>
  <si>
    <t>MEC-TM-009-M</t>
  </si>
  <si>
    <t>Realizar limpieza y lubricación en la cadena</t>
  </si>
  <si>
    <t xml:space="preserve">Revision de transmision de rodillos precalentadores </t>
  </si>
  <si>
    <t>Revisar alineación de los piñones</t>
  </si>
  <si>
    <t>Revisar elongación en la cadena</t>
  </si>
  <si>
    <t>Nodo Árbol</t>
  </si>
  <si>
    <t>Descripción</t>
  </si>
  <si>
    <t xml:space="preserve">Nodo </t>
  </si>
  <si>
    <t>PRETF40-DE01</t>
  </si>
  <si>
    <t>RIGTF41</t>
  </si>
  <si>
    <t>TERMOFORMADORA omg41</t>
  </si>
  <si>
    <t>PRETF40-HE01</t>
  </si>
  <si>
    <t>PRECALENTADOR</t>
  </si>
  <si>
    <t>PRETF34</t>
  </si>
  <si>
    <t>TERMO GN</t>
  </si>
  <si>
    <t>PRETF40-EF01</t>
  </si>
  <si>
    <t>PRETF40-HE02</t>
  </si>
  <si>
    <t>PRETF40-TE01</t>
  </si>
  <si>
    <t>TABLERO DE CONTROL</t>
  </si>
  <si>
    <t>PRETF40-SN01</t>
  </si>
  <si>
    <t>PRETF40-EB01</t>
  </si>
  <si>
    <t>EMBOBINADOR DE SCRAP</t>
  </si>
  <si>
    <t>PRETF40-AP01</t>
  </si>
  <si>
    <t>APILADOR</t>
  </si>
  <si>
    <t>PRETF40-SR01</t>
  </si>
  <si>
    <t>PRETF40-TB01</t>
  </si>
  <si>
    <t>PRETF40-TR01</t>
  </si>
  <si>
    <t>TRANSFORMADO</t>
  </si>
  <si>
    <t>ESPTF13-DE01</t>
  </si>
  <si>
    <t>ESPTF13-FM01</t>
  </si>
  <si>
    <t>FORMADORA</t>
  </si>
  <si>
    <t>ESPTF13-HF01</t>
  </si>
  <si>
    <t>ESTRUCTURA HORNO</t>
  </si>
  <si>
    <t>ESPTF13-ML01</t>
  </si>
  <si>
    <t>CUERPO MOLINO</t>
  </si>
  <si>
    <t>ESPTF13-TE01</t>
  </si>
  <si>
    <t>TABLERO DRIVE TABLERO PRINCIPA</t>
  </si>
  <si>
    <t>ESPTF13-TE02</t>
  </si>
  <si>
    <t>DISPLAY MICROPHASER</t>
  </si>
  <si>
    <t>ESPTF13-TQ01</t>
  </si>
  <si>
    <t xml:space="preserve">TROQUELADORA </t>
  </si>
  <si>
    <t>ESPTF13-SP02</t>
  </si>
  <si>
    <t>CUERPO MAC DUE SELL PRE</t>
  </si>
  <si>
    <t>ESPTF13-TB01</t>
  </si>
  <si>
    <t>TANEE01-CB01</t>
  </si>
  <si>
    <t>CUERPO CAMBIA MALLAS EXT 4,5</t>
  </si>
  <si>
    <t>TANEE01-EX01</t>
  </si>
  <si>
    <t>BARRIL EXTRUSION EXT 4,5</t>
  </si>
  <si>
    <t>TANEE01-EX02</t>
  </si>
  <si>
    <t>BARRIL EXTRUSIÓN  EXT 6</t>
  </si>
  <si>
    <t>TANEE01-MX01</t>
  </si>
  <si>
    <t>CUERPO MOLDE MOLDE SIS  MOLD</t>
  </si>
  <si>
    <t>TANEE01-RE01</t>
  </si>
  <si>
    <t>RODILLO A Y B RODILLOS SIS  EM</t>
  </si>
  <si>
    <t>TANEE01-RE02</t>
  </si>
  <si>
    <t>RODILLO C Y D RODILLOS SIS  EM</t>
  </si>
  <si>
    <t>TANEE01-RH01</t>
  </si>
  <si>
    <t>RODILLOS CAUCHO RODILLOS SIS</t>
  </si>
  <si>
    <t>TANEE01-SA01</t>
  </si>
  <si>
    <t>SISTEMA DOSIFICACION</t>
  </si>
  <si>
    <t>TANEE01-SG01</t>
  </si>
  <si>
    <t>SISTEMA INYECCION SIS INY  BUT</t>
  </si>
  <si>
    <t>TANEE01-ST01</t>
  </si>
  <si>
    <t>SISTEMA SIS  TRAN  MAT</t>
  </si>
  <si>
    <t>PRETF34-DE01</t>
  </si>
  <si>
    <t>PRETF34-TE02</t>
  </si>
  <si>
    <t>TABLERO DE CONTROL-DISPLAY 2</t>
  </si>
  <si>
    <t>PRETF34-EF01</t>
  </si>
  <si>
    <t>ESTACION DE FORMADO TERMOFORMA</t>
  </si>
  <si>
    <t>PRETF34-EB01</t>
  </si>
  <si>
    <t>PRETF34-TE01</t>
  </si>
  <si>
    <t>TABLERO DE FUERZA</t>
  </si>
  <si>
    <t>PRETF34-BS01</t>
  </si>
  <si>
    <t>BANDEJA DE SALIDA BANDEJA DE S</t>
  </si>
  <si>
    <t>PRETF34-SR01</t>
  </si>
  <si>
    <t>LINEA DE REFRIGERACION LINEA D</t>
  </si>
  <si>
    <t>PRETF34-HF01</t>
  </si>
  <si>
    <t>PLACA CALENTADORA  TERMOFORMAD</t>
  </si>
  <si>
    <t>PRETF34-RH01</t>
  </si>
  <si>
    <t>RODILLO HALADOR ENTRADA LAMINA</t>
  </si>
  <si>
    <t>PRETF34-RH02</t>
  </si>
  <si>
    <t>SISTEMA HALADOR</t>
  </si>
  <si>
    <t>PRETF34-SN01</t>
  </si>
  <si>
    <t>SISTEMA NEUMATICO  TERMOFORMAD</t>
  </si>
  <si>
    <t>PRETF34-TB01</t>
  </si>
  <si>
    <t>IMPID04-IM01</t>
  </si>
  <si>
    <t>IMPRESORA MULTICOLOR</t>
  </si>
  <si>
    <t>DESEA01-ES01</t>
  </si>
  <si>
    <t>ELECTRIC PALLET TRUCK  01</t>
  </si>
  <si>
    <t>DESEA01-ES02</t>
  </si>
  <si>
    <t>ELECTRIC PALLET TRUCK  02</t>
  </si>
  <si>
    <t>DESEA01-ES03</t>
  </si>
  <si>
    <t>ELECTRIC PALLET TRUCK  03</t>
  </si>
  <si>
    <t>DESEA01-ES04</t>
  </si>
  <si>
    <t>ELECTRIC PALLET TRUCK  04</t>
  </si>
  <si>
    <t>DESEA01-ES05</t>
  </si>
  <si>
    <t>ELECTRIC PALLET TRUCK  05</t>
  </si>
  <si>
    <t>DESEA01-ES06</t>
  </si>
  <si>
    <t>ELECTRIC PALLET TRUCK  06</t>
  </si>
  <si>
    <t>DESEA01-ES07</t>
  </si>
  <si>
    <t>ELECTRIC PALLET TRUCK  07</t>
  </si>
  <si>
    <t>DESEA01-ES08</t>
  </si>
  <si>
    <t>ELECTRIC PALLET TRUCK  08</t>
  </si>
  <si>
    <t>DESEA01-ES09</t>
  </si>
  <si>
    <t>ELECTRIC PALLET TRUCK  09</t>
  </si>
  <si>
    <t>DESEA01-ES10</t>
  </si>
  <si>
    <t>ELECTRIC PALLET TRUCK  10</t>
  </si>
  <si>
    <t>DESEA01-MG03</t>
  </si>
  <si>
    <t>MONTACARGAS TRILATERAL TRI-01</t>
  </si>
  <si>
    <t>DESEA01-MG04</t>
  </si>
  <si>
    <t>MONTACARGAS TRILATERAL TRI-02</t>
  </si>
  <si>
    <t>DESEA01-MG05</t>
  </si>
  <si>
    <t>MONTACARGAS TRILATERAL TRI-03</t>
  </si>
  <si>
    <t>DESEA01-MG06</t>
  </si>
  <si>
    <t>MONTACARGAS TRILATERAL TRI-04</t>
  </si>
  <si>
    <t>DESEA01-MG07</t>
  </si>
  <si>
    <t>MONTACARGAS TRILATERAL TRI-05</t>
  </si>
  <si>
    <t>DESEA01-MG08</t>
  </si>
  <si>
    <t>MONTACARGAS TRILATERAL TRI-06</t>
  </si>
  <si>
    <t>DESEA01-MG09</t>
  </si>
  <si>
    <t>MONTACARGAS TRILATERAL TRI-07</t>
  </si>
  <si>
    <t>DESEA01-MG10</t>
  </si>
  <si>
    <t>MONTACARGAS TRILATERAL TRI-08</t>
  </si>
  <si>
    <t>DESEA01-MG11</t>
  </si>
  <si>
    <t>MONTACARGAS TRILATERAL TRI-09</t>
  </si>
  <si>
    <t>DESEA01-MG12</t>
  </si>
  <si>
    <t>MONTACARGAS TRILATERAL TRI-10</t>
  </si>
  <si>
    <t>DESEA01-MG13</t>
  </si>
  <si>
    <t>MONTACARGAS TRILATERAL TRI-11</t>
  </si>
  <si>
    <t>DESEA01-MG14</t>
  </si>
  <si>
    <t>MONTACARGAS TRILATERAL TRI-12</t>
  </si>
  <si>
    <t>DESEA01-MG15</t>
  </si>
  <si>
    <t>MONTACARGAS TRILATERAL TRI-13</t>
  </si>
  <si>
    <t>DESEA01-MG16</t>
  </si>
  <si>
    <t>MONTACARGAS TRILATERAL TRI 14</t>
  </si>
  <si>
    <t>RIGTF01-EX01</t>
  </si>
  <si>
    <t>EXTRUSORA CENTRAL EXT PRIN</t>
  </si>
  <si>
    <t>RIGTF01-CB01</t>
  </si>
  <si>
    <t>CAMBIAMALLAS EXT PRIN</t>
  </si>
  <si>
    <t>RIGTF01-TR01</t>
  </si>
  <si>
    <t>TRANSFORMADOR PRINCIPAL</t>
  </si>
  <si>
    <t>RIGTF01-EX02</t>
  </si>
  <si>
    <t>EXTRUSORA LATERAL B EXT LATERA</t>
  </si>
  <si>
    <t>RIGTF01-EX03</t>
  </si>
  <si>
    <t>EXTRUSORA LATERAL C EXT AUX C</t>
  </si>
  <si>
    <t>RIGTF01-EX04</t>
  </si>
  <si>
    <t>EXTRUSORA LATERAL D EXT AUX D</t>
  </si>
  <si>
    <t>RIGTF01-FM01</t>
  </si>
  <si>
    <t>TERMO FORMADORA</t>
  </si>
  <si>
    <t>RIGTF01-HF01</t>
  </si>
  <si>
    <t>ELECTRICO HORNO</t>
  </si>
  <si>
    <t>RIGTF01-ML01</t>
  </si>
  <si>
    <t>PRINCIPAL MOLINO</t>
  </si>
  <si>
    <t>RIGTF01-MX01</t>
  </si>
  <si>
    <t>MOLDE EXTRUSION</t>
  </si>
  <si>
    <t>RIGTF01-RB01</t>
  </si>
  <si>
    <t>REBORDEADORA DE VASOS</t>
  </si>
  <si>
    <t>RIGTF01-RH01</t>
  </si>
  <si>
    <t>RODILLOS HALADORES ROD LAMI</t>
  </si>
  <si>
    <t>RIGTF01-RL01</t>
  </si>
  <si>
    <t>RODILLOS LAMINADORES ROD LAMI</t>
  </si>
  <si>
    <t>RIGTF01-SA01</t>
  </si>
  <si>
    <t>MAGUIRE SIST. ALIM.</t>
  </si>
  <si>
    <t>RIGTF01-SA02</t>
  </si>
  <si>
    <t>EXTRUDER LATERAL B SIST. ALIM.</t>
  </si>
  <si>
    <t>RIGTF01-SA03</t>
  </si>
  <si>
    <t>SIST. ALIM.-EXTRUDER LATERAL C</t>
  </si>
  <si>
    <t>RIGTF01-SA04</t>
  </si>
  <si>
    <t>SIST. ALIM.-EXTRUDER LATERAL D</t>
  </si>
  <si>
    <t>RIGTF01-EE01</t>
  </si>
  <si>
    <t>EMPACADORA RENNCO1</t>
  </si>
  <si>
    <t>RIGTF01-EE02</t>
  </si>
  <si>
    <t>EMPACADORA RENNCO2</t>
  </si>
  <si>
    <t>RIGTF01-TE01</t>
  </si>
  <si>
    <t>TABLERO FUERZA ELECTRICO</t>
  </si>
  <si>
    <t>RIGTF01-TE03</t>
  </si>
  <si>
    <t>MICROPHASER</t>
  </si>
  <si>
    <t>RIGTF01-TQ01</t>
  </si>
  <si>
    <t>TROQUELADORA</t>
  </si>
  <si>
    <t>RIGTF01-TB01</t>
  </si>
  <si>
    <t>RIGTF01-EE03</t>
  </si>
  <si>
    <t>EMPACADORA NAS</t>
  </si>
  <si>
    <t>RIGTF01-RB02</t>
  </si>
  <si>
    <t>ESPTF04-DE01</t>
  </si>
  <si>
    <t>ESPTF04-FM01</t>
  </si>
  <si>
    <t>ESPTF04-HF01</t>
  </si>
  <si>
    <t>HORNO ELECTRICO HORNO</t>
  </si>
  <si>
    <t>ESPTF04-ML01</t>
  </si>
  <si>
    <t>MOLINO</t>
  </si>
  <si>
    <t>ESPTF04-TE01</t>
  </si>
  <si>
    <t>TABLERO FUERZA</t>
  </si>
  <si>
    <t>ESPTF04-TE02</t>
  </si>
  <si>
    <t>ESPTF04-TQ01</t>
  </si>
  <si>
    <t>ESPTF04-TB01</t>
  </si>
  <si>
    <t>CEXEL01-BM01</t>
  </si>
  <si>
    <t>BOMBA MELT PUMP</t>
  </si>
  <si>
    <t>CEXEL01-EX01</t>
  </si>
  <si>
    <t>EXTRUDER 01</t>
  </si>
  <si>
    <t>CEXEL01-EX02</t>
  </si>
  <si>
    <t>EXTRUDER 14</t>
  </si>
  <si>
    <t>CEXEL01-EX03</t>
  </si>
  <si>
    <t>EXTRUDER 21</t>
  </si>
  <si>
    <t>CEXEL01-EX04</t>
  </si>
  <si>
    <t>EXTRUDER 28</t>
  </si>
  <si>
    <t>CEXEL01-GL01</t>
  </si>
  <si>
    <t>GUILLOTINA SPEEDEX</t>
  </si>
  <si>
    <t>CEXEL01-ML02</t>
  </si>
  <si>
    <t>MOLINO TIRAS</t>
  </si>
  <si>
    <t>CEXEL01-ML01</t>
  </si>
  <si>
    <t>MOLINO MPG</t>
  </si>
  <si>
    <t>CEXEL01-RH01</t>
  </si>
  <si>
    <t>RODILLOS HALADORES</t>
  </si>
  <si>
    <t>CEXEL01-RL01</t>
  </si>
  <si>
    <t>RODILLOS LAMINADORES</t>
  </si>
  <si>
    <t>CEXEL01-SA01</t>
  </si>
  <si>
    <t>SIST. ALIMENTACIÓN EXTRUDER 01</t>
  </si>
  <si>
    <t>CEXEL01-SA02</t>
  </si>
  <si>
    <t>SIST. ALIMENTACIÓN EXTRUDER 14</t>
  </si>
  <si>
    <t>CEXEL01-SA03</t>
  </si>
  <si>
    <t>SIST. ALIMENTACIÓN EXTRUDER 21</t>
  </si>
  <si>
    <t>CEXEL01-SH01</t>
  </si>
  <si>
    <t>SIST. HIDRAULICO CAMBIAMALLAS</t>
  </si>
  <si>
    <t>CEXEL01-SM01</t>
  </si>
  <si>
    <t>SECADOR CONAIR</t>
  </si>
  <si>
    <t>CEXEL01-TE01</t>
  </si>
  <si>
    <t>PANEL DE CONTROL PRINCIPAL</t>
  </si>
  <si>
    <t>CEXEL01-RE01</t>
  </si>
  <si>
    <t>RODILLOS EMBOBINADORES</t>
  </si>
  <si>
    <t>CEXEL01-TB01</t>
  </si>
  <si>
    <t>CEXEL01-CB02</t>
  </si>
  <si>
    <t>CAMBIA MALLAS KCH-4,5</t>
  </si>
  <si>
    <t>APILADOR APILADOR SISTEMA DE A</t>
  </si>
  <si>
    <t>RIGST01-BW01</t>
  </si>
  <si>
    <t>SOPLADOR SILO INTERMEDIO RIG.</t>
  </si>
  <si>
    <t>RIGST01-BW02</t>
  </si>
  <si>
    <t>SUCCIONADOR A RIGIDOS</t>
  </si>
  <si>
    <t>RIGST01-BW03</t>
  </si>
  <si>
    <t>SUCCIONADOR B RIGIDOS 2</t>
  </si>
  <si>
    <t>RIGST01-BW04</t>
  </si>
  <si>
    <t>SOPLADOR MOLIDO RIG. LYLE</t>
  </si>
  <si>
    <t>RIGST01-BW05</t>
  </si>
  <si>
    <t>SOPLADOR PET MOLIDO LYLE</t>
  </si>
  <si>
    <t>RIGST01-BW06</t>
  </si>
  <si>
    <t>SUCCIONAD. B RIG.2 PREMIER MOL</t>
  </si>
  <si>
    <t>RIGST01-BW07</t>
  </si>
  <si>
    <t>SOPLADOR SILOS SYCSA(VOLCADOR)</t>
  </si>
  <si>
    <t>RIGST01-SO01</t>
  </si>
  <si>
    <t>SILO INTERM. HPPS VIRGEN RIG.</t>
  </si>
  <si>
    <t>RIGST01-SO02</t>
  </si>
  <si>
    <t>SILO HIPS VIRG. RIG.(TF01/2/3)</t>
  </si>
  <si>
    <t>RIGST01-SO03</t>
  </si>
  <si>
    <t>SILO HPPS MOL. RIG(TF01/2/3)</t>
  </si>
  <si>
    <t>RIGST01-SO04</t>
  </si>
  <si>
    <t>SILOS HPPS DE LINEA 22</t>
  </si>
  <si>
    <t>RIGST01-SO05</t>
  </si>
  <si>
    <t>SILOS HPPS DE LINEA 23</t>
  </si>
  <si>
    <t>RIGST01-TP01</t>
  </si>
  <si>
    <t>PANEL CONTROL SISTEMA NUCOM</t>
  </si>
  <si>
    <t>ESPST01-BW01</t>
  </si>
  <si>
    <t>SOPLADOR SISTEMA MOLIDO AA</t>
  </si>
  <si>
    <t>ESPST01-BW02</t>
  </si>
  <si>
    <t>SOPLADOR SISTEMA MOLIDO B</t>
  </si>
  <si>
    <t>ESPST01-BW03</t>
  </si>
  <si>
    <t>SOPLADOR SISTEMA MOLIDO C</t>
  </si>
  <si>
    <t>ESPST01-BW04</t>
  </si>
  <si>
    <t>SOPLADOR SISTEMA MOLIDO D</t>
  </si>
  <si>
    <t>ESPST01-BW05</t>
  </si>
  <si>
    <t>SOPLADOR SISTEMA MOLIDO E</t>
  </si>
  <si>
    <t>ESPST01-ST01</t>
  </si>
  <si>
    <t>SISTEMA A DE MOLIDO</t>
  </si>
  <si>
    <t>ESPST01-ST02</t>
  </si>
  <si>
    <t>SISTEMA B DE MOLIDO</t>
  </si>
  <si>
    <t>ESPST01-ST03</t>
  </si>
  <si>
    <t>SISTEMA C DE MOLIDO</t>
  </si>
  <si>
    <t>ESPST01-ST04</t>
  </si>
  <si>
    <t>SISTEMA D DE MOLIDO</t>
  </si>
  <si>
    <t>ESPST01-ST05</t>
  </si>
  <si>
    <t>SISTEMA E DE MOLIDO</t>
  </si>
  <si>
    <t>ESPST01-TP01</t>
  </si>
  <si>
    <t>TABLERO CNTRL SISTEMAS A-D</t>
  </si>
  <si>
    <t>ESPST01-TP02</t>
  </si>
  <si>
    <t>TABLERO DE CONTROL SISTEMA E</t>
  </si>
  <si>
    <t>ESPST01-ST07</t>
  </si>
  <si>
    <t>SISTEMA G DE MOLIDO</t>
  </si>
  <si>
    <t>ESPST01-BW06</t>
  </si>
  <si>
    <t>SOPLADOR SISTEMA MOLIDO F</t>
  </si>
  <si>
    <t>PRETF32-DE01</t>
  </si>
  <si>
    <t>PRETF32-EF01</t>
  </si>
  <si>
    <t>TERMOFORMADORA</t>
  </si>
  <si>
    <t>PRETF32-TE01</t>
  </si>
  <si>
    <t>PRETF32-HF01</t>
  </si>
  <si>
    <t>HORNO ELECTRICO</t>
  </si>
  <si>
    <t>PRETF32-AP01</t>
  </si>
  <si>
    <t>PRETF32-EB01</t>
  </si>
  <si>
    <t>PRETF32-SN01</t>
  </si>
  <si>
    <t>PRETF32-TR01</t>
  </si>
  <si>
    <t>PRETF35-DE01</t>
  </si>
  <si>
    <t>PRETF35-EF01</t>
  </si>
  <si>
    <t>PRETF35-HF01</t>
  </si>
  <si>
    <t>PRETF35-TE01</t>
  </si>
  <si>
    <t>PRETF35-TE02</t>
  </si>
  <si>
    <t>PRETF35-EB01</t>
  </si>
  <si>
    <t>PRETF35-BS01</t>
  </si>
  <si>
    <t>PRETF35-SR01</t>
  </si>
  <si>
    <t>PRETF35-RH01</t>
  </si>
  <si>
    <t>PRETF35-RH02</t>
  </si>
  <si>
    <t>PRETF35-SN01</t>
  </si>
  <si>
    <t>PRETF35-TB01</t>
  </si>
  <si>
    <t>UTLSC01-SC01</t>
  </si>
  <si>
    <t>RED DE AGUA DE CONSUMO</t>
  </si>
  <si>
    <t>SISTEMA AGUA CONSUMO ALAMOS</t>
  </si>
  <si>
    <t>UTLSD01-BE01</t>
  </si>
  <si>
    <t>BOMBA TIPO TURBINA IZQ.</t>
  </si>
  <si>
    <t>UTLSD01-BE02</t>
  </si>
  <si>
    <t>BOMBA TIPO TURBINA DER.</t>
  </si>
  <si>
    <t>UTLSD01-BG01</t>
  </si>
  <si>
    <t>BOMBA JOCKEY</t>
  </si>
  <si>
    <t>UTLSD01-SD01</t>
  </si>
  <si>
    <t>RED DE AGUA CONTRA INCENDIOS</t>
  </si>
  <si>
    <t>SIST.CONTRAINCENDIO ALAMOS</t>
  </si>
  <si>
    <t>UTLSD01-TE01</t>
  </si>
  <si>
    <t>TABLERO DE CONTROL BOMBAS</t>
  </si>
  <si>
    <t>TABLERO NOTIFIER</t>
  </si>
  <si>
    <t>UTLSE01-BC01</t>
  </si>
  <si>
    <t>BCO COND INYECCION-TRAFO 220 V</t>
  </si>
  <si>
    <t>BCO. CONDENSAD.-TABLERO P/PAL</t>
  </si>
  <si>
    <t>UTLSE01-BC02</t>
  </si>
  <si>
    <t>BCO COND INYECCION-TRFO 460 V</t>
  </si>
  <si>
    <t>BCO. CONDENSAD.-TERMOFORMADO</t>
  </si>
  <si>
    <t>UTLSE01-BC03</t>
  </si>
  <si>
    <t>BCO. CONDENSAD.-TANDEM 1</t>
  </si>
  <si>
    <t>UTLSE01-BC04</t>
  </si>
  <si>
    <t>BCO. CONDENSAD.-TANDEM 2</t>
  </si>
  <si>
    <t>UTLSE01-BC05</t>
  </si>
  <si>
    <t>BCO. CONDENSAD.-TERMO ESPUMADO</t>
  </si>
  <si>
    <t>UTLSE01-SE01</t>
  </si>
  <si>
    <t>RED ELECTRICA DE FUEZA</t>
  </si>
  <si>
    <t>SISTEMA ELEC. FUERZA ALAMOS</t>
  </si>
  <si>
    <t>UTLSI01-BG01</t>
  </si>
  <si>
    <t>BOMBA BAT-0 (CHILLER Y EREMA)</t>
  </si>
  <si>
    <t>BOMBA IZQ.-SIST. TORRES ENFR.</t>
  </si>
  <si>
    <t>UTLSI01-BG02</t>
  </si>
  <si>
    <t>BOMBA BAT-1 (CHILLER Y EREMA)</t>
  </si>
  <si>
    <t>BOMBA DER.-SIST. TORRES ENFR.</t>
  </si>
  <si>
    <t>UTLSI01-BG03</t>
  </si>
  <si>
    <t>BOMBA BAT-2 (CHILLER)</t>
  </si>
  <si>
    <t>BOMBA IZQ.-SIST. CHILLER</t>
  </si>
  <si>
    <t>UTLSI01-BG04</t>
  </si>
  <si>
    <t>BOMBA BAT-3 (EXTRUSION)</t>
  </si>
  <si>
    <t>BOMBA DER.-SIST.CHILLER</t>
  </si>
  <si>
    <t>UTLSI01-BG05</t>
  </si>
  <si>
    <t>BOMBA AGUA INDUSTRIAL 1 (IZQ.)</t>
  </si>
  <si>
    <t>BOMBA BAT-4 (EXTRUSION)</t>
  </si>
  <si>
    <t>UTLSI01-BG06</t>
  </si>
  <si>
    <t>BOMBA AGUA IND. 2 (DER.)</t>
  </si>
  <si>
    <t>BOMBA BAT-5 (MEZCLADOR)</t>
  </si>
  <si>
    <t>UTLSI01-SI01</t>
  </si>
  <si>
    <t>RED DE AGUA INDUSTRIAL</t>
  </si>
  <si>
    <t>SISTEMA AGUA IND. ALAMOS</t>
  </si>
  <si>
    <t>UTLSI01-TA01</t>
  </si>
  <si>
    <t>TANQUE DE AGUA DE TORRES</t>
  </si>
  <si>
    <t>UTLSI01-TF01</t>
  </si>
  <si>
    <t>TORRE DE ENFRIAMIENTO 1</t>
  </si>
  <si>
    <t>TORRE ENFR. 1 (LADO PASILLO)</t>
  </si>
  <si>
    <t>UTLSI01-TF02</t>
  </si>
  <si>
    <t>TORRE DE ENFRIAMIENTO 2</t>
  </si>
  <si>
    <t>TORRE ENFR. 2 (LADO BOMBAS)</t>
  </si>
  <si>
    <t>UTLSI01-TF03</t>
  </si>
  <si>
    <t>TORRE ENFR. PROTEC</t>
  </si>
  <si>
    <t>UTLSX01-CA01</t>
  </si>
  <si>
    <t>COMPRESOR 1 (SSR)</t>
  </si>
  <si>
    <t>UTLSX01-CA02</t>
  </si>
  <si>
    <t>COMPRESOR 2 (SSR)</t>
  </si>
  <si>
    <t>UTLSX01-CA03</t>
  </si>
  <si>
    <t>COMPRESOR 3 (SSR)</t>
  </si>
  <si>
    <t>COMPRESOR 3 (SULLAIR)</t>
  </si>
  <si>
    <t>UTLSX01-CA04</t>
  </si>
  <si>
    <t>COMPRESOR 4 (SSR)</t>
  </si>
  <si>
    <t>UTLSX01-CA05</t>
  </si>
  <si>
    <t>COMPRESOR 9 (SSRE-FX150)</t>
  </si>
  <si>
    <t>UTLSX01-CA06</t>
  </si>
  <si>
    <t>COMPRESOR 6  R110IU-A125</t>
  </si>
  <si>
    <t>UTLSX01-SQ01</t>
  </si>
  <si>
    <t>SECADOR DE AIRE TZB2700-EMS</t>
  </si>
  <si>
    <t>UTLSX01-SQ02</t>
  </si>
  <si>
    <t>SECADOR DE AIRE TZ500-EMS</t>
  </si>
  <si>
    <t>UTLSX01-SX01</t>
  </si>
  <si>
    <t>RED DE AIRE COMPRIMIDO</t>
  </si>
  <si>
    <t>SISTEMA DE AIRE ALAMOS</t>
  </si>
  <si>
    <t>UTLSX01-CA07</t>
  </si>
  <si>
    <t>COMPRESOR 7  SSR</t>
  </si>
  <si>
    <t>UTLSI01-CH03</t>
  </si>
  <si>
    <t>CHILLER TRANE RTHC</t>
  </si>
  <si>
    <t>UTLSX01-SQ03</t>
  </si>
  <si>
    <t>SECADOR DE AIRE HB 1200</t>
  </si>
  <si>
    <t>UTLSE01-TR01</t>
  </si>
  <si>
    <t>TRANSFORM. 34,5KV/460/233V  T1</t>
  </si>
  <si>
    <t>UTLSE01-TR02</t>
  </si>
  <si>
    <t>TRANSFORM. 34,5KV/460/266V. T2</t>
  </si>
  <si>
    <t>UTLSE01-TR03</t>
  </si>
  <si>
    <t>TRANSFORM. 34,5KV/460/266V  T3</t>
  </si>
  <si>
    <t>UTLSE01-TGD01</t>
  </si>
  <si>
    <t>TABLERO DE FUERZA 01</t>
  </si>
  <si>
    <t>UTLSE01-TGD02</t>
  </si>
  <si>
    <t>TABLERO DE FUERZA 02</t>
  </si>
  <si>
    <t>UTLSE01-TGD03</t>
  </si>
  <si>
    <t>TABLERO DE FUERZA 03</t>
  </si>
  <si>
    <t>UTLSD01-SC01</t>
  </si>
  <si>
    <t>SISTEM. CONTROL RED CONTRA INC</t>
  </si>
  <si>
    <t>UTLSX01-CA08</t>
  </si>
  <si>
    <t>COMPRESOR ATLAS COPCO</t>
  </si>
  <si>
    <t>UTLSX01-CA10</t>
  </si>
  <si>
    <t>COMPRESOR R 90-160 IV</t>
  </si>
  <si>
    <t>UTLSX01-CA12</t>
  </si>
  <si>
    <t>COMPRESOR DE ALTA</t>
  </si>
  <si>
    <t>UTLSI01-CH05</t>
  </si>
  <si>
    <t>CHILLER TRANE RTHD</t>
  </si>
  <si>
    <t>UTLSI01-CH06</t>
  </si>
  <si>
    <t>CHILLER TRANE RTHD OPTIMUS</t>
  </si>
  <si>
    <t>UTLSE01-TR04</t>
  </si>
  <si>
    <t>TRANSFORMADOR 34.5 KW/440 VOL</t>
  </si>
  <si>
    <t>UTLSX01-CA11</t>
  </si>
  <si>
    <t>COMPRESOR RS 185I</t>
  </si>
  <si>
    <t>UTLSX01-SQ04</t>
  </si>
  <si>
    <t>SECADOR DE AIRE D6800INA</t>
  </si>
  <si>
    <t>PRETF39-DE01</t>
  </si>
  <si>
    <t>PRETF39-SN01</t>
  </si>
  <si>
    <t>PRETF39-HE02</t>
  </si>
  <si>
    <t>PRETF39-EB01</t>
  </si>
  <si>
    <t>PRETF39-TE01</t>
  </si>
  <si>
    <t>PRETF39-EF01</t>
  </si>
  <si>
    <t>PRETF39-AP01</t>
  </si>
  <si>
    <t>PRETF39-HE01</t>
  </si>
  <si>
    <t>PRETF39-SR01</t>
  </si>
  <si>
    <t>PRETF39-TB01</t>
  </si>
  <si>
    <t>PRETF39-TR01</t>
  </si>
  <si>
    <t>ESPTF11-DE01</t>
  </si>
  <si>
    <t>ESPTF11-FM01</t>
  </si>
  <si>
    <t>ESPTF11-HF01</t>
  </si>
  <si>
    <t>ESPTF11-ML01</t>
  </si>
  <si>
    <t>ESPTF11-TE01</t>
  </si>
  <si>
    <t>ESPTF11-TE02</t>
  </si>
  <si>
    <t>ESPTF11-TQ01</t>
  </si>
  <si>
    <t>ESPTF11-TB01</t>
  </si>
  <si>
    <t>TANEE03-CB01</t>
  </si>
  <si>
    <t>TANEE03-EX01</t>
  </si>
  <si>
    <t>TANEE03-EX02</t>
  </si>
  <si>
    <t>TANEE03-MX01</t>
  </si>
  <si>
    <t>TANEE03-RE01</t>
  </si>
  <si>
    <t>TANEE03-RE02</t>
  </si>
  <si>
    <t>TANEE03-RH01</t>
  </si>
  <si>
    <t>TANEE03-SA01</t>
  </si>
  <si>
    <t>SISTEMA ALIMENTACIÓN SIS  DOSI</t>
  </si>
  <si>
    <t>TANEE03-SG01</t>
  </si>
  <si>
    <t>TANEE03-ST01</t>
  </si>
  <si>
    <t>RIGTF42-DE01</t>
  </si>
  <si>
    <t>RIGTF42-HF01</t>
  </si>
  <si>
    <t>RIGTF42-FM01</t>
  </si>
  <si>
    <t>RIGTF42-TQ01</t>
  </si>
  <si>
    <t>TROQUEL</t>
  </si>
  <si>
    <t>RIGTF42-EB01</t>
  </si>
  <si>
    <t>RIGTF42-SP01</t>
  </si>
  <si>
    <t>SELLADORA PEDAL</t>
  </si>
  <si>
    <t>RIGTF42-PF01</t>
  </si>
  <si>
    <t>PERFORADOR SUP</t>
  </si>
  <si>
    <t>RIGTF42-ML01</t>
  </si>
  <si>
    <t>MOLINO + ACTUADOR</t>
  </si>
  <si>
    <t>RIGTF42-AL01</t>
  </si>
  <si>
    <t>ARRASTRE LAMINA</t>
  </si>
  <si>
    <t>RIGTF42-AP01</t>
  </si>
  <si>
    <t>APILADOR SUP + CORREA POLEA</t>
  </si>
  <si>
    <t>RIGTF42-AP02</t>
  </si>
  <si>
    <t>APILADOR INT</t>
  </si>
  <si>
    <t>RIGTF42-AP03</t>
  </si>
  <si>
    <t>APILADOR INF</t>
  </si>
  <si>
    <t>RIGTF42-PF02</t>
  </si>
  <si>
    <t>PERFORADOR INF</t>
  </si>
  <si>
    <t>RIGTF42-RA01</t>
  </si>
  <si>
    <t>ROBOT VENTOSAS</t>
  </si>
  <si>
    <t>RIGTF42-TB01</t>
  </si>
  <si>
    <t>RIGTF42-TL01</t>
  </si>
  <si>
    <t>TRASLATOR</t>
  </si>
  <si>
    <t>RIGTF03-FM01</t>
  </si>
  <si>
    <t>RIGTF03-HF01</t>
  </si>
  <si>
    <t>RIGTF03-ML01</t>
  </si>
  <si>
    <t>MOLINO PRINCIPAL</t>
  </si>
  <si>
    <t>RIGTF03-EE01</t>
  </si>
  <si>
    <t>EMPACADORA RENNCO</t>
  </si>
  <si>
    <t>RIGTF03-TE02</t>
  </si>
  <si>
    <t>RIGTF03-TE01</t>
  </si>
  <si>
    <t>MICROPHASER  CTRL ELE FOR</t>
  </si>
  <si>
    <t>RIGTF03-TQ01</t>
  </si>
  <si>
    <t>RIGTF03-TB01</t>
  </si>
  <si>
    <t>RIGTF03-DE01</t>
  </si>
  <si>
    <t>PRETF49-BS01</t>
  </si>
  <si>
    <t>BANDEJA DE SALIDA</t>
  </si>
  <si>
    <t>PRETF49-TE02</t>
  </si>
  <si>
    <t>PRETF49-TE01</t>
  </si>
  <si>
    <t>PRETF49-TB01</t>
  </si>
  <si>
    <t>PRETF49-SR01</t>
  </si>
  <si>
    <t>LINEA DE REFRIGERACION</t>
  </si>
  <si>
    <t>PRETF49-SN01</t>
  </si>
  <si>
    <t>PRETF49-RH02</t>
  </si>
  <si>
    <t>PRETF49-RH01</t>
  </si>
  <si>
    <t>PRETF49-HF01</t>
  </si>
  <si>
    <t>PRETF49-EF01</t>
  </si>
  <si>
    <t>PRETF49-EB01</t>
  </si>
  <si>
    <t>PRETF49-DE01</t>
  </si>
  <si>
    <t>ESPTF10-DE01</t>
  </si>
  <si>
    <t>ESPTF10-EX01</t>
  </si>
  <si>
    <t>EXTRUSORA WELEX</t>
  </si>
  <si>
    <t>ESPTF10-FM01</t>
  </si>
  <si>
    <t>ESPTF10-HF01</t>
  </si>
  <si>
    <t>ESPTF10-ML01</t>
  </si>
  <si>
    <t>ESPTF10-MX01</t>
  </si>
  <si>
    <t>MOLDE DE EXTRUSION-EXTRUSORA</t>
  </si>
  <si>
    <t>ESPTF10-RH01</t>
  </si>
  <si>
    <t>ESPTF10-RL01</t>
  </si>
  <si>
    <t>ESPTF10-TE01</t>
  </si>
  <si>
    <t>ESPTF10-TE02</t>
  </si>
  <si>
    <t>ESPTF10-TQ01</t>
  </si>
  <si>
    <t>ESPTF10-TB01</t>
  </si>
  <si>
    <t>RIGTF41-DE01</t>
  </si>
  <si>
    <t>RIGTF41-HF01</t>
  </si>
  <si>
    <t>RIGTF41-FM01</t>
  </si>
  <si>
    <t>RIGTF41-TQ01</t>
  </si>
  <si>
    <t>RIGTF41-EB01</t>
  </si>
  <si>
    <t>RIGTF41-SP01</t>
  </si>
  <si>
    <t>RIGTF41-PF01</t>
  </si>
  <si>
    <t>RIGTF41-ML01</t>
  </si>
  <si>
    <t>RIGTF41-AL01</t>
  </si>
  <si>
    <t>RIGTF41-AP01</t>
  </si>
  <si>
    <t>RIGTF41-AP02</t>
  </si>
  <si>
    <t>RIGTF41-AP03</t>
  </si>
  <si>
    <t>RIGTF41-PF02</t>
  </si>
  <si>
    <t>RIGTF41-RA01</t>
  </si>
  <si>
    <t>RIGTF41-TB01</t>
  </si>
  <si>
    <t>ESPTF12-DE01</t>
  </si>
  <si>
    <t>EXTRUCTURA DESBOBINADOR</t>
  </si>
  <si>
    <t>ESPTF12-FM01</t>
  </si>
  <si>
    <t>FORMADORA FORMADORA FORM</t>
  </si>
  <si>
    <t>ESPTF12-HF01</t>
  </si>
  <si>
    <t>ESTRUCTURA HORNO HORN</t>
  </si>
  <si>
    <t>ESPTF12-ML01</t>
  </si>
  <si>
    <t>ESPTF12-TE01</t>
  </si>
  <si>
    <t>TABLERO DRIVE TABLERO ELEC</t>
  </si>
  <si>
    <t>ESPTF12-TE02</t>
  </si>
  <si>
    <t>DISPLAY MICROPHASER  CTRL ELE</t>
  </si>
  <si>
    <t>ESPTF12-TQ01</t>
  </si>
  <si>
    <t>CUERPO TROQUELADORA</t>
  </si>
  <si>
    <t>ESPTF12-SP02</t>
  </si>
  <si>
    <t>ESPTF12-TB01</t>
  </si>
  <si>
    <t>PRETF26-DE01</t>
  </si>
  <si>
    <t>PRETF26-EF01</t>
  </si>
  <si>
    <t>PRETF26-TE01</t>
  </si>
  <si>
    <t>PRETF26-BS01</t>
  </si>
  <si>
    <t>PRETF26-EB01</t>
  </si>
  <si>
    <t>PRETF26-SR01</t>
  </si>
  <si>
    <t>PRETF26-HF01</t>
  </si>
  <si>
    <t>PRETF26-RH01</t>
  </si>
  <si>
    <t>PRETF26-RH02</t>
  </si>
  <si>
    <t>PRETF26-SN01</t>
  </si>
  <si>
    <t>PRETF26-TE02</t>
  </si>
  <si>
    <t>EXPEP01-KB01</t>
  </si>
  <si>
    <t>KREYENBORG</t>
  </si>
  <si>
    <t>ESPTF14-DE01</t>
  </si>
  <si>
    <t>ESPTF14-FM01</t>
  </si>
  <si>
    <t>ESPTF14-HF01</t>
  </si>
  <si>
    <t>ESPTF14-ML01</t>
  </si>
  <si>
    <t>ESPTF14-SP01</t>
  </si>
  <si>
    <t>HUGO BECK</t>
  </si>
  <si>
    <t>ESPTF14-TE01</t>
  </si>
  <si>
    <t>ESPTF14-TE02</t>
  </si>
  <si>
    <t>COMPUTADOR</t>
  </si>
  <si>
    <t>ESPTF14-TQ01</t>
  </si>
  <si>
    <t>ESPTF14-TQ02</t>
  </si>
  <si>
    <t>ESPTF14-SR01</t>
  </si>
  <si>
    <t>FRIGEL</t>
  </si>
  <si>
    <t>ESPTF14-TB01</t>
  </si>
  <si>
    <t>RIGTF20-CH01</t>
  </si>
  <si>
    <t>CHILLER</t>
  </si>
  <si>
    <t>RIGTF20-DE01</t>
  </si>
  <si>
    <t>RIGTF20-FM01</t>
  </si>
  <si>
    <t>RIGTF20-HF01</t>
  </si>
  <si>
    <t>RIGTF20-ML01</t>
  </si>
  <si>
    <t>RIGEX03-EX01</t>
  </si>
  <si>
    <t>RIGEX03-CB01</t>
  </si>
  <si>
    <t>RIGEX03-TR01</t>
  </si>
  <si>
    <t>RIGEX03-EX02</t>
  </si>
  <si>
    <t>EXTRUSORA LATERAL EXT LATERAL</t>
  </si>
  <si>
    <t>RIGEX03-MX01</t>
  </si>
  <si>
    <t>MOLDE</t>
  </si>
  <si>
    <t>RIGEX03-RH01</t>
  </si>
  <si>
    <t>RIGEX03-RL01</t>
  </si>
  <si>
    <t>RIGEX03-SA01</t>
  </si>
  <si>
    <t>RIGEX03-SA02</t>
  </si>
  <si>
    <t>SIST. ALIM. EXT LATERAL SIST.</t>
  </si>
  <si>
    <t>RIGEX03-TE01</t>
  </si>
  <si>
    <t>COMPUTADOR COMPUTADOR PANEL DE</t>
  </si>
  <si>
    <t>RIGEX03-ML01</t>
  </si>
  <si>
    <t>MOLINO ROD LAMI</t>
  </si>
  <si>
    <t>RIGEX03-RE01</t>
  </si>
  <si>
    <t>RODILLOS EMBOBINADOR A ROD EMB</t>
  </si>
  <si>
    <t>RIGEX03-RE02</t>
  </si>
  <si>
    <t>RODILLOS EMBOBINADOR B ROD EMB</t>
  </si>
  <si>
    <t>IMPID05-IM01</t>
  </si>
  <si>
    <t>IMPRESORA VAN DAM 520</t>
  </si>
  <si>
    <t>IMPID05-TE01</t>
  </si>
  <si>
    <t>TABLERO ELECTRICO DE FUERZA</t>
  </si>
  <si>
    <t>PRETF31-DE01</t>
  </si>
  <si>
    <t>PRETF31-EF01</t>
  </si>
  <si>
    <t>PRETF31-TE01</t>
  </si>
  <si>
    <t>PRETF31-HF01</t>
  </si>
  <si>
    <t>PRETF31-AP01</t>
  </si>
  <si>
    <t>PRETF31-EB01</t>
  </si>
  <si>
    <t>PRETF31-SN01</t>
  </si>
  <si>
    <t>PRETF31-TR01</t>
  </si>
  <si>
    <t>RIGTF02-CB01</t>
  </si>
  <si>
    <t>RIGTF02-TR01</t>
  </si>
  <si>
    <t>RIGTF02-EX02</t>
  </si>
  <si>
    <t>RIGTF02-FM01</t>
  </si>
  <si>
    <t>FORMADORA FORMADORA</t>
  </si>
  <si>
    <t>RIGTF02-HF01</t>
  </si>
  <si>
    <t>RIGTF02-ML01</t>
  </si>
  <si>
    <t>RIGTF02-MX01</t>
  </si>
  <si>
    <t>RIGTF02-RB01</t>
  </si>
  <si>
    <t>RIGTF02-RH01</t>
  </si>
  <si>
    <t>RODILLOS HALADORES RODILLOS HA</t>
  </si>
  <si>
    <t>RIGTF02-RL01</t>
  </si>
  <si>
    <t>RIGTF02-SA01</t>
  </si>
  <si>
    <t>RIGTF02-EX01</t>
  </si>
  <si>
    <t>EXTRUSORA CENTRAL</t>
  </si>
  <si>
    <t>RIGTF02-SA02</t>
  </si>
  <si>
    <t>EXT LATERAL B SIST. ALIM.</t>
  </si>
  <si>
    <t>RIGTF02-EE01</t>
  </si>
  <si>
    <t>RIGTF02-TE02</t>
  </si>
  <si>
    <t>TABLERO FUERZA TABLERO ELECTRI</t>
  </si>
  <si>
    <t>RIGTF02-TE01</t>
  </si>
  <si>
    <t>RIGTF02-TE03</t>
  </si>
  <si>
    <t>MICROPHASER MICROPHASER  CTRL</t>
  </si>
  <si>
    <t>RIGTF02-TQ01</t>
  </si>
  <si>
    <t>RIGTF02-EE02</t>
  </si>
  <si>
    <t>RIGTF02-RB02</t>
  </si>
  <si>
    <t>REBORDEADORA LR-2000-3</t>
  </si>
  <si>
    <t>RIGTF02-TB01</t>
  </si>
  <si>
    <t>RIGTF02-EE03</t>
  </si>
  <si>
    <t>EMPACADORA NAS2</t>
  </si>
  <si>
    <t>ESPTF16-DE01</t>
  </si>
  <si>
    <t>CUERPO DESEMBOBINADOR DESBOBIN</t>
  </si>
  <si>
    <t>ESPTF16-FM01</t>
  </si>
  <si>
    <t>ESPTF16-HF01</t>
  </si>
  <si>
    <t>ESPTF16-ML01</t>
  </si>
  <si>
    <t>ESPTF16-TE01</t>
  </si>
  <si>
    <t>TABLERO DRIVE TABLERO DE CONTR</t>
  </si>
  <si>
    <t>ESPTF16-TE02</t>
  </si>
  <si>
    <t>COMPUTADOR MICROPHASER  CTRL E</t>
  </si>
  <si>
    <t>ESPTF16-TQ01</t>
  </si>
  <si>
    <t>CUERPO TROQUELADORA TROQ</t>
  </si>
  <si>
    <t>ESPTF16-SP02</t>
  </si>
  <si>
    <t>MAC DUE MAC DUE SELL PRE</t>
  </si>
  <si>
    <t>ESPTF16-SP01</t>
  </si>
  <si>
    <t>SELLADORA VERTICAL SELLADORA V</t>
  </si>
  <si>
    <t>ESPTF16-TB01</t>
  </si>
  <si>
    <t>TANEE04-CB01</t>
  </si>
  <si>
    <t>TANEE04-EX01</t>
  </si>
  <si>
    <t>TANEE04-EX02</t>
  </si>
  <si>
    <t>TANEE04-MX01</t>
  </si>
  <si>
    <t>CUERPO MOLDE SIS  MOLD</t>
  </si>
  <si>
    <t>TANEE04-RE01</t>
  </si>
  <si>
    <t>RODILLO 1 Y 2 RODILLOS SIS  EM</t>
  </si>
  <si>
    <t>TANEE04-RE02</t>
  </si>
  <si>
    <t>RODILLO 3 Y 4 RODILLOS SIS  EM</t>
  </si>
  <si>
    <t>TANEE04-RH01</t>
  </si>
  <si>
    <t>TANEE04-SA01</t>
  </si>
  <si>
    <t>TANEE04-SG01</t>
  </si>
  <si>
    <t>TANEE04-UT01</t>
  </si>
  <si>
    <t>UNIDAD TEMPERATURA  BUDZAR UNI</t>
  </si>
  <si>
    <t>TANEE04-ST01</t>
  </si>
  <si>
    <t>PSOIY01-ME01</t>
  </si>
  <si>
    <t>MOTOR ELECTRICO</t>
  </si>
  <si>
    <t>PSOIY01-TE01</t>
  </si>
  <si>
    <t>TABLERO ELECTRICO</t>
  </si>
  <si>
    <t>PSOIY01-SN01</t>
  </si>
  <si>
    <t>PSOIY01-SH01</t>
  </si>
  <si>
    <t>SISTEMA HIDRAULICO</t>
  </si>
  <si>
    <t>PSOIY01-UN01</t>
  </si>
  <si>
    <t>UNIDAD DE INYECCION</t>
  </si>
  <si>
    <t>PSOIY01-CH01</t>
  </si>
  <si>
    <t>PSOIY01-SQ01</t>
  </si>
  <si>
    <t>SECADOR DE RESINA</t>
  </si>
  <si>
    <t>PSOIY01-DH01</t>
  </si>
  <si>
    <t>DESHUMIFICADOR DE CABINA</t>
  </si>
  <si>
    <t>EXPEP01-EX01</t>
  </si>
  <si>
    <t>EXTRUDER PRINCIPAL A</t>
  </si>
  <si>
    <t>EXPEP01-EX02</t>
  </si>
  <si>
    <t>EXTRUDER SECUNDARIO B</t>
  </si>
  <si>
    <t>EXPEP01-MX01</t>
  </si>
  <si>
    <t>EXPEP01-RH01</t>
  </si>
  <si>
    <t>RODILLOS HALADORES  RODILLO EM</t>
  </si>
  <si>
    <t>EXPEP01-RL01</t>
  </si>
  <si>
    <t>EXPEP01-SM01</t>
  </si>
  <si>
    <t>SECADOR A SECADOR A EXT PPAL</t>
  </si>
  <si>
    <t>EXPEP01-CZ01</t>
  </si>
  <si>
    <t>CRISTALIZADOR</t>
  </si>
  <si>
    <t>EXPEP01-SM02</t>
  </si>
  <si>
    <t>SECADOR EXTRUDER B</t>
  </si>
  <si>
    <t>EXPEP01-SM03</t>
  </si>
  <si>
    <t>SECADOR MTO A</t>
  </si>
  <si>
    <t>EXPEP01-SM04</t>
  </si>
  <si>
    <t>SECADOR MTO-EXTRUDER B</t>
  </si>
  <si>
    <t>EXPEP01-RE01</t>
  </si>
  <si>
    <t>RODILLO EMBOBINADOR</t>
  </si>
  <si>
    <t>EXPEP01-RL02</t>
  </si>
  <si>
    <t>RODILLOS LAMINADORES AUX</t>
  </si>
  <si>
    <t>EXPEP01-RS01</t>
  </si>
  <si>
    <t>RODILLO APLICACION SILICONA</t>
  </si>
  <si>
    <t>EXPEP01-TB01</t>
  </si>
  <si>
    <t>EXPEP01-TE01</t>
  </si>
  <si>
    <t>CONSOLA PRINCIPAL PC</t>
  </si>
  <si>
    <t>ESPTF06-DE01</t>
  </si>
  <si>
    <t>ESPTF06-GL01</t>
  </si>
  <si>
    <t>GUILLOTINA</t>
  </si>
  <si>
    <t>ESPTF06-HF01</t>
  </si>
  <si>
    <t>ESPTF06-TE01</t>
  </si>
  <si>
    <t>TABLERO PRINCIPAL</t>
  </si>
  <si>
    <t>ESPTF06-TQ01</t>
  </si>
  <si>
    <t>ESPTF06-TB01</t>
  </si>
  <si>
    <t>ESPTF06-SP01</t>
  </si>
  <si>
    <t>SELLADORA</t>
  </si>
  <si>
    <t>PRETF43-DE01</t>
  </si>
  <si>
    <t>PRETF43-HE01</t>
  </si>
  <si>
    <t>PRETF43-EF01</t>
  </si>
  <si>
    <t>PRETF43-HE02</t>
  </si>
  <si>
    <t>PRETF43-TE01</t>
  </si>
  <si>
    <t>PRETF43-EB01</t>
  </si>
  <si>
    <t>PRETF43-SN01</t>
  </si>
  <si>
    <t>PRETF43-AP01</t>
  </si>
  <si>
    <t>PRETF43-SR01</t>
  </si>
  <si>
    <t>PRETF43-TB01</t>
  </si>
  <si>
    <t>PRETF43-TR01</t>
  </si>
  <si>
    <t>MTPEA01-BL01</t>
  </si>
  <si>
    <t>BASCULA FAIRBANK SCALE IND-HR2</t>
  </si>
  <si>
    <t>MTPEA01-MG03</t>
  </si>
  <si>
    <t>MONTACARGA ORDERPICKER</t>
  </si>
  <si>
    <t>MTPEA01-MG04</t>
  </si>
  <si>
    <t>MONTACARGA ORDERPICKER   02</t>
  </si>
  <si>
    <t>PRETF46-DE01</t>
  </si>
  <si>
    <t>PRETF46-HE01</t>
  </si>
  <si>
    <t>PRETF46-EF01</t>
  </si>
  <si>
    <t>PRETF46-HE02</t>
  </si>
  <si>
    <t>PRETF46-TE01</t>
  </si>
  <si>
    <t>PRETF46-EB01</t>
  </si>
  <si>
    <t>PRETF46-AP01</t>
  </si>
  <si>
    <t>PRETF46-SN01</t>
  </si>
  <si>
    <t>PRETF46-SP01</t>
  </si>
  <si>
    <t>PRETF46-TB01</t>
  </si>
  <si>
    <t>PRETF46-TR01</t>
  </si>
  <si>
    <t>PRETF38-DE01</t>
  </si>
  <si>
    <t>PRETF38-HE01</t>
  </si>
  <si>
    <t>PRETF38-EF01</t>
  </si>
  <si>
    <t>PRETF38-HE02</t>
  </si>
  <si>
    <t>PRETF38-TE01</t>
  </si>
  <si>
    <t>PRETF38-SN01</t>
  </si>
  <si>
    <t>PRETF38-CH01</t>
  </si>
  <si>
    <t>CHILLER FRIGEL</t>
  </si>
  <si>
    <t>PRETF38-AP01</t>
  </si>
  <si>
    <t>PRETF38-EB01</t>
  </si>
  <si>
    <t>PRETF38-SR01</t>
  </si>
  <si>
    <t>PRETF38-SP01</t>
  </si>
  <si>
    <t>PRETF38-TB01</t>
  </si>
  <si>
    <t>PRETF38-TR01</t>
  </si>
  <si>
    <t>TANEE06-EX01</t>
  </si>
  <si>
    <t>BARRIL  EXTRUSION EXT PRIM</t>
  </si>
  <si>
    <t>TANEE06-EX02</t>
  </si>
  <si>
    <t>BARRIL  EXTRUSION EXT SEC</t>
  </si>
  <si>
    <t>TANEE06-CB01</t>
  </si>
  <si>
    <t>CUERPO CAMBIA MALLAS EXT PRIM</t>
  </si>
  <si>
    <t>TANEE06-UT01</t>
  </si>
  <si>
    <t>UNIDAD DE TEMPERATURA BUDZAR E</t>
  </si>
  <si>
    <t>TANEE06-RH01</t>
  </si>
  <si>
    <t>RODILLOS DE CAUCHO 1, 2, 3 Y 4</t>
  </si>
  <si>
    <t>TANEE06-RE01</t>
  </si>
  <si>
    <t>EMBOBINADOR A Y B RODILLOS SIS</t>
  </si>
  <si>
    <t>TANEE06-RE02</t>
  </si>
  <si>
    <t>RODILLOS EMBOBINADOR C Y D ROD</t>
  </si>
  <si>
    <t>TANEE06-SA01</t>
  </si>
  <si>
    <t>SISTEMA SIS  DOSI</t>
  </si>
  <si>
    <t>TANEE06-TE01</t>
  </si>
  <si>
    <t>COMPUTADOR CENTRAL PANEL CTRL</t>
  </si>
  <si>
    <t>TANEE06-SG01</t>
  </si>
  <si>
    <t>TANEE06-MX02</t>
  </si>
  <si>
    <t>TANEE06-ST01</t>
  </si>
  <si>
    <t>SISTEMA TRASPORTE SIS  TRAN  M</t>
  </si>
  <si>
    <t>PRETF36-DE01</t>
  </si>
  <si>
    <t>PRETF36-HF01</t>
  </si>
  <si>
    <t>PRETF36-EF01</t>
  </si>
  <si>
    <t>PRETF36-TE01</t>
  </si>
  <si>
    <t>PRETF36-TE02</t>
  </si>
  <si>
    <t>PRETF36-EB01</t>
  </si>
  <si>
    <t>PRETF36-BS01</t>
  </si>
  <si>
    <t>PRETF36-SR01</t>
  </si>
  <si>
    <t>PRETF36-RH01</t>
  </si>
  <si>
    <t>PRETF36-RH02</t>
  </si>
  <si>
    <t>PRETF36-SN01</t>
  </si>
  <si>
    <t>PRETF36-TB01</t>
  </si>
  <si>
    <t>RIGTF23-DE01</t>
  </si>
  <si>
    <t>RIGTF23-FM01</t>
  </si>
  <si>
    <t>TERMOFORMADORA LYLE</t>
  </si>
  <si>
    <t>RIGTF23-HF01</t>
  </si>
  <si>
    <t>RIGTF23-ML01</t>
  </si>
  <si>
    <t>RIGTF23-RB01</t>
  </si>
  <si>
    <t>REBORDEADORA VASOS BROWN LR200</t>
  </si>
  <si>
    <t>RIGTF23-SP01</t>
  </si>
  <si>
    <t>EMPACADORA RENNCO 1</t>
  </si>
  <si>
    <t>RIGTF23-SP02</t>
  </si>
  <si>
    <t>EMPACADORA RENNCO 2</t>
  </si>
  <si>
    <t>RIGTF23-SP03</t>
  </si>
  <si>
    <t>EMPACADORA RENNCO 3</t>
  </si>
  <si>
    <t>RIGTF23-SR01</t>
  </si>
  <si>
    <t>REFRIGERADOR AQUATHERM</t>
  </si>
  <si>
    <t>RIGTF23-TE01</t>
  </si>
  <si>
    <t>RIGTF23-TP01</t>
  </si>
  <si>
    <t>RIGTF23-TQ01</t>
  </si>
  <si>
    <t>ESPTF05-DE01</t>
  </si>
  <si>
    <t>ESPTF05-FM01</t>
  </si>
  <si>
    <t>ESPTF05-HF01</t>
  </si>
  <si>
    <t>ESPTF05-ML01</t>
  </si>
  <si>
    <t>ESPTF05-TE01</t>
  </si>
  <si>
    <t>ESPTF05-TE02</t>
  </si>
  <si>
    <t>ESPTF05-TQ01</t>
  </si>
  <si>
    <t>ESPTF05-TB01</t>
  </si>
  <si>
    <t>PRETF47-DE01</t>
  </si>
  <si>
    <t>PRETF47-HE01</t>
  </si>
  <si>
    <t>PRETF47-EF01</t>
  </si>
  <si>
    <t>PRETF47-HE02</t>
  </si>
  <si>
    <t>PRETF47-TE01</t>
  </si>
  <si>
    <t>PRETF47-EB01</t>
  </si>
  <si>
    <t>PRETF47-AP01</t>
  </si>
  <si>
    <t>PRETF47-SN01</t>
  </si>
  <si>
    <t>PRETF47-SR01</t>
  </si>
  <si>
    <t>PRETF47-SP01</t>
  </si>
  <si>
    <t>PRETF47-TB01</t>
  </si>
  <si>
    <t>PRETF47-TR01</t>
  </si>
  <si>
    <t>TANEE02-CB01</t>
  </si>
  <si>
    <t>TANEE02-EX01</t>
  </si>
  <si>
    <t>TANEE02-EX02</t>
  </si>
  <si>
    <t>TANEE02-MX01</t>
  </si>
  <si>
    <t>TANEE02-RE01</t>
  </si>
  <si>
    <t>TANEE02-RE02</t>
  </si>
  <si>
    <t>TANEE02-RH01</t>
  </si>
  <si>
    <t>TANEE02-SA01</t>
  </si>
  <si>
    <t>TANEE02-SG01</t>
  </si>
  <si>
    <t>TANEE02-ST01</t>
  </si>
  <si>
    <t>TANMA01-ML01</t>
  </si>
  <si>
    <t>MOLINO GRANUTEK</t>
  </si>
  <si>
    <t>TANMA01-ML02</t>
  </si>
  <si>
    <t>MOLINO CUMBERLAND</t>
  </si>
  <si>
    <t>ESPTF15-DE01</t>
  </si>
  <si>
    <t>ESPTF15-FM01</t>
  </si>
  <si>
    <t>ESPTF15-HF01</t>
  </si>
  <si>
    <t>ESPTF15-ML01</t>
  </si>
  <si>
    <t>ESPTF15-TE01</t>
  </si>
  <si>
    <t>ESPTF15-TE02</t>
  </si>
  <si>
    <t>ESPTF15-TQ01</t>
  </si>
  <si>
    <t>ESPTF15-SP01</t>
  </si>
  <si>
    <t>ESPTF15-TB01</t>
  </si>
  <si>
    <t>ESPTF15-SR01</t>
  </si>
  <si>
    <t>MTPEA01-MG01</t>
  </si>
  <si>
    <t>MONTACARGA NICHIYU</t>
  </si>
  <si>
    <t>MONTACARGAS TOYOTA</t>
  </si>
  <si>
    <t>FAIRBANK SCALE</t>
  </si>
  <si>
    <t>MONTACARGA ORDERPICKER  01</t>
  </si>
  <si>
    <t>MONTACARGA ORDERPICKER  02</t>
  </si>
  <si>
    <t>PRETF48-DE01</t>
  </si>
  <si>
    <t>PRETF48-HE01</t>
  </si>
  <si>
    <t>PRETF48-EF01</t>
  </si>
  <si>
    <t xml:space="preserve">ESTACION DE FORMADO </t>
  </si>
  <si>
    <t>PRETF48-HE02</t>
  </si>
  <si>
    <t>HORNO HORNO</t>
  </si>
  <si>
    <t>PRETF48-TE01</t>
  </si>
  <si>
    <t>TABLERO DE CONTROL PRINCIPAL T</t>
  </si>
  <si>
    <t>PRETF48-EB01</t>
  </si>
  <si>
    <t>PRETF48-AP01</t>
  </si>
  <si>
    <t xml:space="preserve">APILADOR </t>
  </si>
  <si>
    <t>PRETF48-SN01</t>
  </si>
  <si>
    <t>PRETF48-CH01</t>
  </si>
  <si>
    <t>CHILLER FRIGEL REFRIGERACION</t>
  </si>
  <si>
    <t>PRETF48-SR01</t>
  </si>
  <si>
    <t>PRETF48-TB01</t>
  </si>
  <si>
    <t>PRETF48-TR01</t>
  </si>
  <si>
    <t>TABLERO CONTROL</t>
  </si>
  <si>
    <t>RIGTF22-DE01</t>
  </si>
  <si>
    <t>RIGTF22-FM01</t>
  </si>
  <si>
    <t>RIGTF22-HF01</t>
  </si>
  <si>
    <t>RIGTF22-ML01</t>
  </si>
  <si>
    <t>RIGTF22-SR01</t>
  </si>
  <si>
    <t>RIGTF22-TE01</t>
  </si>
  <si>
    <t>RIGTF22-TP01</t>
  </si>
  <si>
    <t>RIGTF22-TQ01</t>
  </si>
  <si>
    <t>TANPL02-EX01</t>
  </si>
  <si>
    <t>EXTRUDER</t>
  </si>
  <si>
    <t>TANPL02-GR01</t>
  </si>
  <si>
    <t>GRANULADOR</t>
  </si>
  <si>
    <t>GRANULATOR</t>
  </si>
  <si>
    <t>TANPL02-TE01</t>
  </si>
  <si>
    <t>TANPL02-SA01</t>
  </si>
  <si>
    <t>SISTEMA ALIMENTACION</t>
  </si>
  <si>
    <t>PRETF44-DE01</t>
  </si>
  <si>
    <t>PRETF44-HE01</t>
  </si>
  <si>
    <t>PRETF44-HE02</t>
  </si>
  <si>
    <t>PRETF44-TE01</t>
  </si>
  <si>
    <t>PRETF44-EB01</t>
  </si>
  <si>
    <t>PRETF44-AP01</t>
  </si>
  <si>
    <t>PRETF44-EF01</t>
  </si>
  <si>
    <t>PRETF44-SN01</t>
  </si>
  <si>
    <t>PRETF44-SR01</t>
  </si>
  <si>
    <t>PRETF44-TB01</t>
  </si>
  <si>
    <t>IMPID02-IM01</t>
  </si>
  <si>
    <t>IMPRESORA VAN DAM 560</t>
  </si>
  <si>
    <t>IMPID02-IM01ME01</t>
  </si>
  <si>
    <t>MOTOR BATERIA 1</t>
  </si>
  <si>
    <t>IMPID02-IM01ME02</t>
  </si>
  <si>
    <t>MOTOR BATERIA 2</t>
  </si>
  <si>
    <t>IMPID02-IM01ME03</t>
  </si>
  <si>
    <t>MOTOR BATERIA 3</t>
  </si>
  <si>
    <t>IMPID02-IM01ME04</t>
  </si>
  <si>
    <t>MOTOR BATERIA 4</t>
  </si>
  <si>
    <t>IMPID02-IM01ME05</t>
  </si>
  <si>
    <t>MOTOR BATERIA 5</t>
  </si>
  <si>
    <t>IMPID02-IM01ME06</t>
  </si>
  <si>
    <t>MOTOR PRINCIPAL</t>
  </si>
  <si>
    <t>IMPID02-TE01</t>
  </si>
  <si>
    <t>IMPID02-TP01</t>
  </si>
  <si>
    <t>PANEL DE CONTROL</t>
  </si>
  <si>
    <t>PRETF24-DE01</t>
  </si>
  <si>
    <t>PRETF24-EF01</t>
  </si>
  <si>
    <t>PRETF24-TE01</t>
  </si>
  <si>
    <t>PRETF24-BS01</t>
  </si>
  <si>
    <t>PRETF24-EB01</t>
  </si>
  <si>
    <t>PRETF24-SR01</t>
  </si>
  <si>
    <t>PRETF24-HF01</t>
  </si>
  <si>
    <t>PRETF24-RH01</t>
  </si>
  <si>
    <t>PRETF24-RH02</t>
  </si>
  <si>
    <t>PRETF24-SN01</t>
  </si>
  <si>
    <t>PRETF24-TE02</t>
  </si>
  <si>
    <t>PRETF24-TB01</t>
  </si>
  <si>
    <t>PSOIY01</t>
  </si>
  <si>
    <t>INYECTORA AOKI</t>
  </si>
  <si>
    <t>ESPTF07-DE01</t>
  </si>
  <si>
    <t>ESPTF07-GL01</t>
  </si>
  <si>
    <t>ESPTF07-HF01</t>
  </si>
  <si>
    <t>ESPTF07-TE01</t>
  </si>
  <si>
    <t>ESPTF07-TQ01</t>
  </si>
  <si>
    <t>ESPTF07-TB01</t>
  </si>
  <si>
    <t>PRETF21-DE01</t>
  </si>
  <si>
    <t>PRETF21-EF01</t>
  </si>
  <si>
    <t>PRETF21-TE01</t>
  </si>
  <si>
    <t>PRETF21-BS01</t>
  </si>
  <si>
    <t>PRETF21-EB01</t>
  </si>
  <si>
    <t>PRETF21-SR01</t>
  </si>
  <si>
    <t>PRETF21-HF01</t>
  </si>
  <si>
    <t>PRETF21-RH01</t>
  </si>
  <si>
    <t>PRETF21-RH02</t>
  </si>
  <si>
    <t>PRETF21-SN01</t>
  </si>
  <si>
    <t>PRETF21-TE02</t>
  </si>
  <si>
    <t>PRETF21-TB01</t>
  </si>
  <si>
    <t>ESPST01-ST08</t>
  </si>
  <si>
    <t>SISTEMA F</t>
  </si>
  <si>
    <t>TANPL02</t>
  </si>
  <si>
    <t>PELETIZADORA</t>
  </si>
  <si>
    <t>PRETF37-EF01</t>
  </si>
  <si>
    <t>PRETF37-DE01</t>
  </si>
  <si>
    <t>PRETF37-TE01</t>
  </si>
  <si>
    <t>PRETF37-EB01</t>
  </si>
  <si>
    <t>PRETF37-SN01</t>
  </si>
  <si>
    <t>PRETF37-TR01</t>
  </si>
  <si>
    <t>PRETF37-HE02</t>
  </si>
  <si>
    <t>PRETF37-AP01</t>
  </si>
  <si>
    <t>PRETF37-SR01</t>
  </si>
  <si>
    <t>PRETF37-SP01</t>
  </si>
  <si>
    <t>PRETF37-TB01</t>
  </si>
  <si>
    <t>RIGTF17-TE01</t>
  </si>
  <si>
    <t>RIGTF17-TE02</t>
  </si>
  <si>
    <t>RIGTF17-TB01</t>
  </si>
  <si>
    <t>RIGTF17-HF01</t>
  </si>
  <si>
    <t>RIGTF17-FM01</t>
  </si>
  <si>
    <t>RIGTF17-TQ01</t>
  </si>
  <si>
    <t>RIGTF17-DE01</t>
  </si>
  <si>
    <t>RIGTF17-ML01</t>
  </si>
  <si>
    <t>TANEE01-TB01</t>
  </si>
  <si>
    <t>FADM11-02</t>
  </si>
  <si>
    <t>Fecha:</t>
  </si>
  <si>
    <t>Tiempo Programado</t>
  </si>
  <si>
    <t>08 HORAS</t>
  </si>
  <si>
    <t>Maquina:</t>
  </si>
  <si>
    <t>Responsables</t>
  </si>
  <si>
    <t>ELE</t>
  </si>
  <si>
    <t>Ejecutado</t>
  </si>
  <si>
    <t>Total DESEMBOBINADOR</t>
  </si>
  <si>
    <t>Total general</t>
  </si>
  <si>
    <t>Cuenta de Actividades</t>
  </si>
  <si>
    <t>MEC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</si>
</sst>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x14ac:knownFonts="1">
    <font>
      <sz val="11"/>
      <color theme="1"/>
      <name val="Calibri"/>
      <family val="2"/>
      <scheme val="minor"/>
    </font>
    <font>
      <b/>
      <sz val="10"/>
      <name val="Arial Unicode MS"/>
    </font>
    <font>
      <b/>
      <sz val="10"/>
      <name val="Arial Unicode MS"/>
      <family val="2"/>
    </font>
    <font>
      <b/>
      <sz val="10"/>
      <color theme="0"/>
      <name val="Arial Unicode MS"/>
      <family val="2"/>
    </font>
    <font>
      <b/>
      <sz val="10"/>
      <color theme="1"/>
      <name val="Calibri"/>
      <family val="2"/>
      <scheme val="minor"/>
    </font>
    <font>
      <sz val="10"/>
      <color theme="1"/>
      <name val="Calibri"/>
      <family val="2"/>
      <scheme val="minor"/>
    </font>
    <font>
      <sz val="20"/>
      <color theme="1"/>
      <name val="Calibri"/>
      <family val="2"/>
      <scheme val="minor"/>
    </font>
    <font>
      <b/>
      <sz val="20"/>
      <color theme="1"/>
      <name val="Calibri"/>
      <family val="2"/>
      <scheme val="minor"/>
    </font>
    <font>
      <sz val="20"/>
      <color theme="0"/>
      <name val="Calibri"/>
      <family val="2"/>
      <scheme val="minor"/>
    </font>
    <font>
      <b/>
      <sz val="20"/>
      <name val="Arial Unicode MS"/>
    </font>
    <font>
      <sz val="10"/>
      <name val="Arial Unicode MS"/>
    </font>
    <font>
      <sz val="8"/>
      <name val="Calibri"/>
      <family val="2"/>
      <scheme val="minor"/>
    </font>
  </fonts>
  <fills count="6">
    <fill>
      <patternFill patternType="none"/>
    </fill>
    <fill>
      <patternFill patternType="gray125"/>
    </fill>
    <fill>
      <patternFill patternType="solid">
        <fgColor indexed="22"/>
        <bgColor indexed="64"/>
      </patternFill>
    </fill>
    <fill>
      <patternFill patternType="solid">
        <fgColor rgb="FF007864"/>
        <bgColor indexed="64"/>
      </patternFill>
    </fill>
    <fill>
      <patternFill patternType="solid">
        <fgColor theme="0"/>
        <bgColor indexed="64"/>
      </patternFill>
    </fill>
    <fill>
      <patternFill patternType="solid">
        <fgColor theme="2" tint="-9.9978637043366805E-2"/>
        <bgColor indexed="64"/>
      </patternFill>
    </fill>
  </fills>
  <borders count="13">
    <border>
      <left/>
      <right/>
      <top/>
      <bottom/>
      <diagonal/>
    </border>
    <border>
      <left style="double">
        <color indexed="64"/>
      </left>
      <right style="double">
        <color indexed="64"/>
      </right>
      <top/>
      <bottom style="double">
        <color indexed="64"/>
      </bottom>
      <diagonal/>
    </border>
    <border>
      <left style="medium">
        <color indexed="64"/>
      </left>
      <right style="medium">
        <color indexed="64"/>
      </right>
      <top style="medium">
        <color indexed="64"/>
      </top>
      <bottom style="medium">
        <color indexed="64"/>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indexed="64"/>
      </right>
      <top style="medium">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double">
        <color indexed="64"/>
      </left>
      <right style="double">
        <color indexed="64"/>
      </right>
      <top/>
      <bottom/>
      <diagonal/>
    </border>
    <border>
      <left style="thin">
        <color rgb="FF000000"/>
      </left>
      <right/>
      <top style="thin">
        <color rgb="FF000000"/>
      </top>
      <bottom/>
      <diagonal/>
    </border>
    <border>
      <left/>
      <right style="thin">
        <color rgb="FF000000"/>
      </right>
      <top style="thin">
        <color rgb="FF000000"/>
      </top>
      <bottom/>
      <diagonal/>
    </border>
  </borders>
  <cellStyleXfs count="2">
    <xf numFmtId="0" fontId="0" fillId="0" borderId="0"/>
    <xf numFmtId="0" fontId="10" fillId="0" borderId="0"/>
  </cellStyleXfs>
  <cellXfs count="36">
    <xf numFmtId="0" fontId="0" fillId="0" borderId="0" xfId="0"/>
    <xf numFmtId="49" fontId="1" fillId="2" borderId="1" xfId="0" applyNumberFormat="1" applyFont="1" applyFill="1" applyBorder="1" applyAlignment="1">
      <alignment horizontal="left" vertical="center"/>
    </xf>
    <xf numFmtId="49" fontId="2" fillId="2" borderId="1" xfId="0" applyNumberFormat="1" applyFont="1" applyFill="1" applyBorder="1" applyAlignment="1">
      <alignment horizontal="left" vertical="center"/>
    </xf>
    <xf numFmtId="49" fontId="3" fillId="3" borderId="1" xfId="0" applyNumberFormat="1" applyFont="1" applyFill="1" applyBorder="1" applyAlignment="1">
      <alignment horizontal="left" vertical="center"/>
    </xf>
    <xf numFmtId="0" fontId="5" fillId="0" borderId="3" xfId="0" applyFont="1" applyBorder="1" applyAlignment="1">
      <alignment wrapText="1"/>
    </xf>
    <xf numFmtId="0" fontId="5" fillId="0" borderId="4" xfId="0" applyFont="1" applyBorder="1" applyAlignment="1">
      <alignment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49" fontId="0" fillId="0" borderId="0" xfId="0" applyNumberFormat="1"/>
    <xf numFmtId="49" fontId="5" fillId="0" borderId="4" xfId="0" applyNumberFormat="1" applyFont="1" applyBorder="1" applyAlignment="1">
      <alignment wrapText="1"/>
    </xf>
    <xf numFmtId="0" fontId="0" fillId="0" borderId="0" xfId="0" pivotButton="1"/>
    <xf numFmtId="49" fontId="5" fillId="0" borderId="3" xfId="0" applyNumberFormat="1" applyFont="1" applyBorder="1" applyAlignment="1">
      <alignment wrapText="1"/>
    </xf>
    <xf numFmtId="49" fontId="5" fillId="0" borderId="12" xfId="0" applyNumberFormat="1" applyFont="1" applyBorder="1" applyAlignment="1">
      <alignment wrapText="1"/>
    </xf>
    <xf numFmtId="49" fontId="5" fillId="0" borderId="11" xfId="0" applyNumberFormat="1" applyFont="1" applyBorder="1" applyAlignment="1">
      <alignment wrapText="1"/>
    </xf>
    <xf numFmtId="0" fontId="6" fillId="0" borderId="0" xfId="0" applyFont="1" applyAlignment="1">
      <alignment wrapText="1"/>
    </xf>
    <xf numFmtId="0" fontId="6" fillId="0" borderId="0" xfId="0" applyFont="1" applyAlignment="1">
      <alignment horizontal="center" vertical="center" wrapText="1"/>
    </xf>
    <xf numFmtId="0" fontId="6" fillId="0" borderId="0" xfId="0" applyFont="1"/>
    <xf numFmtId="0" fontId="7" fillId="0" borderId="0" xfId="0" applyFont="1" applyAlignment="1">
      <alignment vertical="center" wrapText="1"/>
    </xf>
    <xf numFmtId="0" fontId="8" fillId="0" borderId="0" xfId="0" applyFont="1"/>
    <xf numFmtId="0" fontId="6" fillId="5" borderId="8" xfId="0" applyFont="1" applyFill="1" applyBorder="1" applyAlignment="1">
      <alignment wrapText="1"/>
    </xf>
    <xf numFmtId="0" fontId="7" fillId="0" borderId="7" xfId="0" pivotButton="1" applyFont="1" applyBorder="1" applyAlignment="1">
      <alignment horizontal="center" vertical="center" wrapText="1"/>
    </xf>
    <xf numFmtId="49" fontId="9" fillId="4" borderId="2" xfId="0" applyNumberFormat="1" applyFont="1" applyFill="1" applyBorder="1" applyAlignment="1">
      <alignment horizontal="center" vertical="center" wrapText="1"/>
    </xf>
    <xf numFmtId="14" fontId="6" fillId="5" borderId="8" xfId="0" applyNumberFormat="1" applyFont="1" applyFill="1" applyBorder="1" applyAlignment="1">
      <alignment horizontal="left" wrapText="1"/>
    </xf>
    <xf numFmtId="0" fontId="5" fillId="0" borderId="11" xfId="0" applyFont="1" applyBorder="1" applyAlignment="1">
      <alignment wrapText="1"/>
    </xf>
    <xf numFmtId="0" fontId="6" fillId="0" borderId="0" xfId="0" applyFont="1" applyAlignment="1">
      <alignment horizontal="left" vertical="center" wrapText="1"/>
    </xf>
    <xf numFmtId="0" fontId="6" fillId="0" borderId="0" xfId="0" applyFont="1" applyAlignment="1">
      <alignment horizontal="left" wrapText="1"/>
    </xf>
    <xf numFmtId="0" fontId="0" fillId="0" borderId="0" xfId="0" applyAlignment="1">
      <alignment horizontal="center" vertical="center"/>
    </xf>
    <xf numFmtId="0" fontId="5" fillId="0" borderId="12" xfId="0" applyFont="1" applyBorder="1" applyAlignment="1">
      <alignment wrapText="1"/>
    </xf>
    <xf numFmtId="22" fontId="0" fillId="0" borderId="0" xfId="0" applyNumberFormat="1"/>
    <xf numFmtId="2" fontId="0" fillId="0" borderId="0" xfId="0" applyNumberFormat="1"/>
    <xf numFmtId="0" fontId="6" fillId="5" borderId="0" xfId="0" applyFont="1" applyFill="1" applyAlignment="1">
      <alignment wrapText="1"/>
    </xf>
    <xf numFmtId="0" fontId="8" fillId="0" borderId="0" xfId="0" applyFont="1" applyAlignment="1">
      <alignment wrapText="1"/>
    </xf>
    <xf numFmtId="0" fontId="7" fillId="0" borderId="0" xfId="0" applyFont="1" applyAlignment="1">
      <alignment horizontal="center" vertical="center" wrapText="1"/>
    </xf>
    <xf numFmtId="0" fontId="6" fillId="5" borderId="9" xfId="0" applyFont="1" applyFill="1" applyBorder="1" applyAlignment="1">
      <alignment horizontal="left" vertical="top" wrapText="1"/>
    </xf>
    <xf numFmtId="0" fontId="6" fillId="5" borderId="10" xfId="0" applyFont="1" applyFill="1" applyBorder="1" applyAlignment="1">
      <alignment horizontal="left" vertical="top" wrapText="1"/>
    </xf>
    <xf numFmtId="0" fontId="6" fillId="5" borderId="1" xfId="0" applyFont="1" applyFill="1" applyBorder="1" applyAlignment="1">
      <alignment horizontal="left" vertical="top" wrapText="1"/>
    </xf>
  </cellXfs>
  <cellStyles count="2">
    <cellStyle name="Normal" xfId="0" builtinId="0"/>
    <cellStyle name="Normal 2" xfId="1" xr:uid="{88E909A2-B18B-4EE2-96D0-4A24E1CF6D82}"/>
  </cellStyles>
  <dxfs count="770">
    <dxf>
      <font>
        <sz val="20"/>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font>
        <sz val="20"/>
      </font>
    </dxf>
    <dxf>
      <alignment wrapText="1"/>
    </dxf>
    <dxf>
      <alignment wrapText="0"/>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ill>
        <patternFill patternType="solid">
          <fgColor indexed="64"/>
          <bgColor theme="2" tint="-9.9978637043366805E-2"/>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sz val="12"/>
      </font>
    </dxf>
    <dxf>
      <border>
        <right style="medium">
          <color indexed="64"/>
        </right>
        <top style="medium">
          <color indexed="64"/>
        </top>
        <bottom style="medium">
          <color indexed="64"/>
        </bottom>
      </border>
    </dxf>
    <dxf>
      <font>
        <sz val="14"/>
      </font>
      <alignment horizontal="left" vertical="center"/>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0" readingOrder="0"/>
    </dxf>
    <dxf>
      <alignment wrapText="1" readingOrder="0"/>
    </dxf>
    <dxf>
      <alignment wrapText="1" readingOrder="0"/>
    </dxf>
    <dxf>
      <alignment wrapText="0" readingOrder="0"/>
    </dxf>
    <dxf>
      <alignment wrapText="1" readingOrder="0"/>
    </dxf>
    <dxf>
      <alignment wrapText="0" readingOrder="0"/>
    </dxf>
    <dxf>
      <alignment wrapText="0" readingOrder="0"/>
    </dxf>
    <dxf>
      <alignment wrapText="1"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0" readingOrder="0"/>
    </dxf>
    <dxf>
      <alignment wrapText="1"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0" readingOrder="0"/>
    </dxf>
    <dxf>
      <alignment wrapText="1" readingOrder="0"/>
    </dxf>
    <dxf>
      <alignment wrapText="1" readingOrder="0"/>
    </dxf>
    <dxf>
      <alignment wrapText="0" readingOrder="0"/>
    </dxf>
    <dxf>
      <alignment wrapText="1" readingOrder="0"/>
    </dxf>
    <dxf>
      <alignment wrapText="0"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0" readingOrder="0"/>
    </dxf>
    <dxf>
      <alignment wrapText="1" readingOrder="0"/>
    </dxf>
    <dxf>
      <alignment wrapText="0" readingOrder="0"/>
    </dxf>
    <dxf>
      <alignment wrapText="1"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font>
        <sz val="12"/>
      </font>
    </dxf>
    <dxf>
      <font>
        <sz val="10"/>
      </font>
    </dxf>
    <dxf>
      <font>
        <sz val="10"/>
      </font>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0" readingOrder="0"/>
    </dxf>
    <dxf>
      <alignment wrapText="1" readingOrder="0"/>
    </dxf>
    <dxf>
      <alignment wrapText="1" readingOrder="0"/>
    </dxf>
    <dxf>
      <alignment wrapText="0" readingOrder="0"/>
    </dxf>
    <dxf>
      <alignment wrapText="1" readingOrder="0"/>
    </dxf>
    <dxf>
      <alignment wrapText="1" readingOrder="0"/>
    </dxf>
    <dxf>
      <alignment wrapText="1" readingOrder="0"/>
    </dxf>
    <dxf>
      <alignment wrapText="0" readingOrder="0"/>
    </dxf>
    <dxf>
      <alignment wrapText="0" readingOrder="0"/>
    </dxf>
    <dxf>
      <alignment wrapText="1" readingOrder="0"/>
    </dxf>
    <dxf>
      <alignment wrapText="0" readingOrder="0"/>
    </dxf>
    <dxf>
      <alignment wrapText="1" readingOrder="0"/>
    </dxf>
    <dxf>
      <border>
        <right style="medium">
          <color indexed="64"/>
        </right>
        <top style="medium">
          <color indexed="64"/>
        </top>
        <bottom style="medium">
          <color indexed="64"/>
        </bottom>
      </border>
    </dxf>
    <dxf>
      <alignment horizontal="center" readingOrder="0"/>
    </dxf>
    <dxf>
      <alignment vertical="center" readingOrder="0"/>
    </dxf>
    <dxf>
      <font>
        <b/>
      </font>
    </dxf>
    <dxf>
      <font>
        <i val="0"/>
      </font>
    </dxf>
    <dxf>
      <font>
        <i/>
      </font>
    </dxf>
    <dxf>
      <font>
        <sz val="16"/>
      </font>
    </dxf>
    <dxf>
      <font>
        <sz val="18"/>
      </font>
    </dxf>
    <dxf>
      <font>
        <sz val="16"/>
      </font>
    </dxf>
    <dxf>
      <font>
        <sz val="14"/>
      </font>
    </dxf>
    <dxf>
      <font>
        <sz val="12"/>
      </font>
    </dxf>
    <dxf>
      <border>
        <bottom style="thin">
          <color indexed="64"/>
        </bottom>
      </border>
    </dxf>
    <dxf>
      <border>
        <top style="medium">
          <color indexed="64"/>
        </top>
        <bottom style="medium">
          <color indexed="64"/>
        </bottom>
      </border>
    </dxf>
    <dxf>
      <border>
        <top style="medium">
          <color indexed="64"/>
        </top>
        <bottom style="medium">
          <color indexed="64"/>
        </bottom>
      </border>
    </dxf>
    <dxf>
      <font>
        <sz val="14"/>
      </font>
    </dxf>
    <dxf>
      <font>
        <b/>
        <sz val="14"/>
        <color auto="1"/>
        <name val="Arial Unicode MS"/>
        <scheme val="none"/>
      </font>
      <numFmt numFmtId="30" formatCode="@"/>
      <fill>
        <patternFill patternType="solid">
          <fgColor indexed="64"/>
          <bgColor theme="0"/>
        </patternFill>
      </fill>
      <alignment horizontal="center" vertical="center"/>
    </dxf>
    <dxf>
      <font>
        <b/>
        <sz val="14"/>
        <color auto="1"/>
        <name val="Arial Unicode MS"/>
        <scheme val="none"/>
      </font>
      <numFmt numFmtId="30" formatCode="@"/>
      <fill>
        <patternFill patternType="solid">
          <fgColor indexed="64"/>
          <bgColor theme="0"/>
        </patternFill>
      </fill>
      <alignment horizontal="center" vertical="center" wrapText="1"/>
    </dxf>
    <dxf>
      <font>
        <sz val="14"/>
      </font>
    </dxf>
    <dxf>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color auto="1"/>
      </font>
    </dxf>
    <dxf>
      <font>
        <color auto="1"/>
      </font>
    </dxf>
    <dxf>
      <font>
        <color auto="1"/>
      </font>
    </dxf>
    <dxf>
      <font>
        <color auto="1"/>
      </font>
    </dxf>
    <dxf>
      <font>
        <color auto="1"/>
      </font>
    </dxf>
    <dxf>
      <font>
        <color auto="1"/>
      </font>
    </dxf>
    <dxf>
      <font>
        <color auto="1"/>
      </font>
    </dxf>
    <dxf>
      <font>
        <color auto="1"/>
      </font>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font>
        <sz val="14"/>
      </font>
    </dxf>
    <dxf>
      <font>
        <sz val="14"/>
      </font>
    </dxf>
    <dxf>
      <font>
        <sz val="14"/>
      </font>
    </dxf>
    <dxf>
      <font>
        <sz val="14"/>
      </font>
    </dxf>
    <dxf>
      <font>
        <sz val="14"/>
      </font>
    </dxf>
    <dxf>
      <font>
        <sz val="14"/>
      </font>
    </dxf>
    <dxf>
      <font>
        <sz val="14"/>
      </font>
    </dxf>
    <dxf>
      <font>
        <sz val="14"/>
      </font>
    </dxf>
    <dxf>
      <font>
        <b/>
        <sz val="10"/>
        <color theme="0"/>
        <name val="Arial Unicode MS"/>
        <scheme val="none"/>
      </font>
      <numFmt numFmtId="30" formatCode="@"/>
      <fill>
        <patternFill patternType="solid">
          <fgColor indexed="64"/>
          <bgColor rgb="FF007864"/>
        </patternFill>
      </fill>
      <alignment horizontal="left" vertical="top"/>
    </dxf>
    <dxf>
      <font>
        <color theme="0"/>
      </fon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vertical="top"/>
    </dxf>
    <dxf>
      <alignment vertical="top"/>
    </dxf>
    <dxf>
      <alignment vertical="top"/>
    </dxf>
    <dxf>
      <alignment vertical="top"/>
    </dxf>
    <dxf>
      <alignment vertical="top"/>
    </dxf>
    <dxf>
      <alignment vertical="top"/>
    </dxf>
    <dxf>
      <alignment vertical="top"/>
    </dxf>
    <dxf>
      <alignment vertical="top"/>
    </dxf>
    <dxf>
      <font>
        <b/>
        <sz val="10"/>
        <color theme="0"/>
        <name val="Arial Unicode MS"/>
        <scheme val="none"/>
      </font>
      <numFmt numFmtId="30" formatCode="@"/>
      <fill>
        <patternFill patternType="solid">
          <fgColor indexed="64"/>
          <bgColor rgb="FF007864"/>
        </patternFill>
      </fill>
      <alignment horizontal="center" vertical="center"/>
    </dxf>
    <dxf>
      <font>
        <b/>
        <sz val="10"/>
        <color theme="0"/>
        <name val="Arial Unicode MS"/>
        <scheme val="none"/>
      </font>
      <numFmt numFmtId="30" formatCode="@"/>
      <fill>
        <patternFill patternType="solid">
          <fgColor indexed="64"/>
          <bgColor rgb="FF007864"/>
        </patternFill>
      </fill>
      <alignment horizontal="center" vertical="center"/>
    </dxf>
    <dxf>
      <font>
        <b/>
        <sz val="10"/>
        <color theme="0"/>
        <name val="Arial Unicode MS"/>
        <scheme val="none"/>
      </font>
      <numFmt numFmtId="30" formatCode="@"/>
      <fill>
        <patternFill patternType="solid">
          <fgColor indexed="64"/>
          <bgColor rgb="FF007864"/>
        </patternFill>
      </fill>
      <alignment horizontal="center" vertical="center"/>
    </dxf>
    <dxf>
      <font>
        <b/>
        <sz val="10"/>
        <color theme="0"/>
        <name val="Arial Unicode MS"/>
        <scheme val="none"/>
      </font>
      <numFmt numFmtId="30" formatCode="@"/>
      <fill>
        <patternFill patternType="solid">
          <fgColor indexed="64"/>
          <bgColor rgb="FF007864"/>
        </patternFill>
      </fill>
      <alignment horizontal="center" vertical="center"/>
    </dxf>
    <dxf>
      <font>
        <b/>
        <sz val="10"/>
        <color theme="0"/>
        <name val="Arial Unicode MS"/>
        <scheme val="none"/>
      </font>
      <numFmt numFmtId="30" formatCode="@"/>
      <fill>
        <patternFill patternType="solid">
          <fgColor indexed="64"/>
          <bgColor rgb="FF007864"/>
        </patternFill>
      </fill>
      <alignment horizontal="center" vertical="cent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alignment horizontal="center"/>
    </dxf>
    <dxf>
      <alignment horizontal="center"/>
    </dxf>
    <dxf>
      <alignment horizontal="center"/>
    </dxf>
    <dxf>
      <alignment vertic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sz val="10"/>
        <color theme="0"/>
        <name val="Arial Unicode MS"/>
        <scheme val="none"/>
      </font>
      <numFmt numFmtId="30" formatCode="@"/>
      <fill>
        <patternFill patternType="solid">
          <fgColor indexed="64"/>
          <bgColor rgb="FF007864"/>
        </patternFill>
      </fill>
      <alignment horizontal="left" vertical="center"/>
    </dxf>
    <dxf>
      <font>
        <b/>
        <sz val="10"/>
        <color theme="0"/>
        <name val="Arial Unicode MS"/>
        <scheme val="none"/>
      </font>
      <numFmt numFmtId="30" formatCode="@"/>
      <fill>
        <patternFill patternType="solid">
          <fgColor indexed="64"/>
          <bgColor rgb="FF007864"/>
        </patternFill>
      </fill>
      <alignment horizontal="left" vertical="center"/>
    </dxf>
    <dxf>
      <font>
        <b/>
        <sz val="10"/>
        <color theme="0"/>
        <name val="Arial Unicode MS"/>
        <scheme val="none"/>
      </font>
      <numFmt numFmtId="30" formatCode="@"/>
      <fill>
        <patternFill patternType="solid">
          <fgColor indexed="64"/>
          <bgColor rgb="FF007864"/>
        </patternFill>
      </fill>
      <alignment horizontal="left" vertical="center"/>
    </dxf>
    <dxf>
      <alignment wrapText="1"/>
    </dxf>
    <dxf>
      <font>
        <b val="0"/>
        <i val="0"/>
        <strike val="0"/>
        <condense val="0"/>
        <extend val="0"/>
        <outline val="0"/>
        <shadow val="0"/>
        <u val="none"/>
        <vertAlign val="baseline"/>
        <sz val="10"/>
        <color theme="1"/>
        <name val="Calibri"/>
        <scheme val="minor"/>
      </font>
      <alignment horizontal="general"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minor"/>
      </font>
      <alignment horizontal="general" vertical="bottom" textRotation="0" wrapText="1"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i val="0"/>
        <strike val="0"/>
        <condense val="0"/>
        <extend val="0"/>
        <outline val="0"/>
        <shadow val="0"/>
        <u val="none"/>
        <vertAlign val="baseline"/>
        <sz val="10"/>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2" formatCode="0.00"/>
      <alignment horizontal="left" vertical="bottom" textRotation="0" wrapText="0" indent="0" justifyLastLine="0" shrinkToFit="0" readingOrder="0"/>
    </dxf>
    <dxf>
      <font>
        <sz val="10"/>
        <color auto="1"/>
        <name val="Arial Unicode MS"/>
        <scheme val="none"/>
      </font>
      <numFmt numFmtId="2" formatCode="0.00"/>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27" formatCode="d/mm/yyyy\ h:mm"/>
      <alignment horizontal="left" vertical="bottom" textRotation="0" wrapText="0" indent="0" justifyLastLine="0" shrinkToFit="0" readingOrder="0"/>
    </dxf>
    <dxf>
      <font>
        <sz val="10"/>
        <color auto="1"/>
        <name val="Arial Unicode MS"/>
        <scheme val="none"/>
      </font>
      <numFmt numFmtId="27" formatCode="d/mm/yyyy\ h:mm"/>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font>
        <sz val="10"/>
        <color auto="1"/>
        <name val="Arial Unicode MS"/>
        <scheme val="none"/>
      </font>
      <numFmt numFmtId="30" formatCode="@"/>
      <alignment horizontal="left" vertical="bottom" textRotation="0" wrapText="0" indent="0" justifyLastLine="0" shrinkToFit="0" readingOrder="0"/>
    </dxf>
    <dxf>
      <border outline="0">
        <top style="double">
          <color indexed="64"/>
        </top>
      </border>
    </dxf>
    <dxf>
      <alignment horizontal="center" vertical="center" textRotation="0" wrapText="0" indent="0" justifyLastLine="0" shrinkToFit="0" readingOrder="0"/>
    </dxf>
    <dxf>
      <border outline="0">
        <bottom style="double">
          <color indexed="64"/>
        </bottom>
      </border>
    </dxf>
    <dxf>
      <font>
        <b/>
        <i val="0"/>
        <strike val="0"/>
        <condense val="0"/>
        <extend val="0"/>
        <outline val="0"/>
        <shadow val="0"/>
        <u val="none"/>
        <vertAlign val="baseline"/>
        <sz val="10"/>
        <color auto="1"/>
        <name val="Arial Unicode MS"/>
        <scheme val="none"/>
      </font>
      <numFmt numFmtId="30" formatCode="@"/>
      <fill>
        <patternFill patternType="solid">
          <fgColor indexed="64"/>
          <bgColor indexed="22"/>
        </patternFill>
      </fill>
      <alignment horizontal="left" vertical="center" textRotation="0" wrapText="0" indent="0" justifyLastLine="0" shrinkToFit="0" readingOrder="0"/>
      <border diagonalUp="0" diagonalDown="0" outline="0">
        <left style="double">
          <color indexed="64"/>
        </left>
        <right style="double">
          <color indexed="64"/>
        </right>
        <top/>
        <bottom/>
      </border>
    </dxf>
    <dxf>
      <border>
        <bottom style="thick">
          <color auto="1"/>
        </bottom>
      </border>
    </dxf>
    <dxf>
      <border>
        <left style="thick">
          <color auto="1"/>
        </left>
        <right style="thick">
          <color auto="1"/>
        </right>
        <vertical style="thick">
          <color auto="1"/>
        </vertical>
      </border>
    </dxf>
    <dxf>
      <border>
        <left style="thick">
          <color auto="1"/>
        </left>
        <right style="thick">
          <color auto="1"/>
        </right>
        <top style="thick">
          <color auto="1"/>
        </top>
        <bottom style="thick">
          <color auto="1"/>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1"/>
      </font>
    </dxf>
    <dxf>
      <font>
        <b/>
        <color theme="1"/>
      </font>
      <fill>
        <patternFill patternType="solid">
          <fgColor theme="0" tint="-0.14999847407452621"/>
          <bgColor theme="0" tint="-0.14999847407452621"/>
        </patternFill>
      </fill>
      <border>
        <horizontal/>
      </border>
    </dxf>
    <dxf>
      <font>
        <b/>
        <color theme="1"/>
      </font>
      <fill>
        <patternFill>
          <bgColor theme="2"/>
        </patternFill>
      </fill>
    </dxf>
    <dxf>
      <font>
        <b/>
        <color theme="1"/>
      </font>
      <fill>
        <patternFill patternType="solid">
          <fgColor theme="0" tint="-0.249977111117893"/>
          <bgColor theme="0" tint="-0.249977111117893"/>
        </patternFill>
      </fill>
    </dxf>
    <dxf>
      <font>
        <b/>
        <color theme="1"/>
      </font>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border>
    </dxf>
    <dxf>
      <border>
        <left style="medium">
          <color theme="0" tint="-0.14999847407452621"/>
        </left>
        <right style="medium">
          <color theme="0" tint="-0.14999847407452621"/>
        </right>
      </border>
    </dxf>
    <dxf>
      <border>
        <left style="thick">
          <color theme="2" tint="-0.499984740745262"/>
        </left>
        <right style="thick">
          <color theme="2" tint="-0.499984740745262"/>
        </right>
      </border>
    </dxf>
    <dxf>
      <border diagonalDown="1">
        <left style="thick">
          <color theme="0" tint="-0.499984740745262"/>
        </left>
        <right style="thick">
          <color theme="0" tint="-0.499984740745262"/>
        </right>
        <top style="thin">
          <color theme="0" tint="-0.249977111117893"/>
        </top>
        <bottom style="thin">
          <color theme="0" tint="-0.249977111117893"/>
        </bottom>
        <diagonal style="thick">
          <color theme="0" tint="-0.499984740745262"/>
        </diagonal>
        <horizontal style="thin">
          <color theme="0" tint="-0.249977111117893"/>
        </horizontal>
      </border>
    </dxf>
    <dxf>
      <font>
        <b/>
        <color theme="1"/>
      </font>
      <border>
        <top style="thin">
          <color theme="1"/>
        </top>
        <bottom style="medium">
          <color theme="1" tint="0.499984740745262"/>
        </bottom>
      </border>
    </dxf>
    <dxf>
      <font>
        <b/>
        <color theme="0"/>
      </font>
      <fill>
        <patternFill patternType="solid">
          <fgColor theme="1" tint="0.499984740745262"/>
          <bgColor theme="1" tint="0.499984740745262"/>
        </patternFill>
      </fill>
      <border>
        <top style="medium">
          <color theme="1" tint="0.499984740745262"/>
        </top>
      </border>
    </dxf>
    <dxf>
      <font>
        <color theme="1"/>
      </font>
      <border>
        <vertical style="thick">
          <color theme="2" tint="-0.24994659260841701"/>
        </vertical>
      </border>
    </dxf>
  </dxfs>
  <tableStyles count="2" defaultTableStyle="TableStyleMedium2" defaultPivotStyle="PivotStyleLight16">
    <tableStyle name="PivotStyleMedium8 2" table="0" count="13" xr9:uid="{43F2FBA3-55A2-4501-B126-9CDECD33E002}">
      <tableStyleElement type="wholeTable" dxfId="769"/>
      <tableStyleElement type="headerRow" dxfId="768"/>
      <tableStyleElement type="totalRow" dxfId="767"/>
      <tableStyleElement type="firstRowStripe" dxfId="766"/>
      <tableStyleElement type="secondRowStripe" dxfId="765"/>
      <tableStyleElement type="firstColumnStripe" dxfId="764"/>
      <tableStyleElement type="firstSubtotalColumn" dxfId="763"/>
      <tableStyleElement type="firstSubtotalRow" dxfId="762"/>
      <tableStyleElement type="secondSubtotalRow" dxfId="761"/>
      <tableStyleElement type="firstRowSubheading" dxfId="760"/>
      <tableStyleElement type="secondRowSubheading" dxfId="759"/>
      <tableStyleElement type="pageFieldLabels" dxfId="758"/>
      <tableStyleElement type="pageFieldValues" dxfId="757"/>
    </tableStyle>
    <tableStyle name="PivotTable Style 1" table="0" count="3" xr9:uid="{00000000-0011-0000-FFFF-FFFF00000000}">
      <tableStyleElement type="wholeTable" dxfId="756"/>
      <tableStyleElement type="firstColumn" dxfId="755"/>
      <tableStyleElement type="firstSubtotalRow" dxfId="754"/>
    </tableStyle>
  </tableStyles>
  <colors>
    <mruColors>
      <color rgb="FF00786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140698</xdr:colOff>
      <xdr:row>0</xdr:row>
      <xdr:rowOff>108857</xdr:rowOff>
    </xdr:from>
    <xdr:to>
      <xdr:col>0</xdr:col>
      <xdr:colOff>1752114</xdr:colOff>
      <xdr:row>3</xdr:row>
      <xdr:rowOff>56716</xdr:rowOff>
    </xdr:to>
    <xdr:pic>
      <xdr:nvPicPr>
        <xdr:cNvPr id="2" name="Picture 1">
          <a:extLst>
            <a:ext uri="{FF2B5EF4-FFF2-40B4-BE49-F238E27FC236}">
              <a16:creationId xmlns:a16="http://schemas.microsoft.com/office/drawing/2014/main" id="{5FC08FDC-6207-4809-A019-D952E388AA80}"/>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0698" y="108857"/>
          <a:ext cx="1611416" cy="684731"/>
        </a:xfrm>
        <a:prstGeom prst="rect">
          <a:avLst/>
        </a:prstGeom>
      </xdr:spPr>
    </xdr:pic>
    <xdr:clientData/>
  </xdr:twoCellAnchor>
  <xdr:twoCellAnchor editAs="oneCell">
    <xdr:from>
      <xdr:col>0</xdr:col>
      <xdr:colOff>2059488</xdr:colOff>
      <xdr:row>0</xdr:row>
      <xdr:rowOff>81642</xdr:rowOff>
    </xdr:from>
    <xdr:to>
      <xdr:col>1</xdr:col>
      <xdr:colOff>667332</xdr:colOff>
      <xdr:row>3</xdr:row>
      <xdr:rowOff>72843</xdr:rowOff>
    </xdr:to>
    <xdr:pic>
      <xdr:nvPicPr>
        <xdr:cNvPr id="3" name="Picture 2">
          <a:extLst>
            <a:ext uri="{FF2B5EF4-FFF2-40B4-BE49-F238E27FC236}">
              <a16:creationId xmlns:a16="http://schemas.microsoft.com/office/drawing/2014/main" id="{DBAF1920-1459-4376-AF0F-53BFDE0F2C48}"/>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2059488" y="81642"/>
          <a:ext cx="1131153" cy="732518"/>
        </a:xfrm>
        <a:prstGeom prst="rect">
          <a:avLst/>
        </a:prstGeom>
      </xdr:spPr>
    </xdr:pic>
    <xdr:clientData/>
  </xdr:twoCellAnchor>
  <xdr:twoCellAnchor>
    <xdr:from>
      <xdr:col>1</xdr:col>
      <xdr:colOff>2656115</xdr:colOff>
      <xdr:row>0</xdr:row>
      <xdr:rowOff>258234</xdr:rowOff>
    </xdr:from>
    <xdr:to>
      <xdr:col>2</xdr:col>
      <xdr:colOff>6139545</xdr:colOff>
      <xdr:row>4</xdr:row>
      <xdr:rowOff>100391</xdr:rowOff>
    </xdr:to>
    <xdr:sp macro="" textlink="">
      <xdr:nvSpPr>
        <xdr:cNvPr id="4" name="CuadroTexto 3">
          <a:extLst>
            <a:ext uri="{FF2B5EF4-FFF2-40B4-BE49-F238E27FC236}">
              <a16:creationId xmlns:a16="http://schemas.microsoft.com/office/drawing/2014/main" id="{1DFF8D70-7639-42AF-B45E-2F356E639930}"/>
            </a:ext>
          </a:extLst>
        </xdr:cNvPr>
        <xdr:cNvSpPr txBox="1"/>
      </xdr:nvSpPr>
      <xdr:spPr>
        <a:xfrm>
          <a:off x="5170715" y="258234"/>
          <a:ext cx="7198180" cy="7375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3200"/>
            <a:t>Formato</a:t>
          </a:r>
          <a:r>
            <a:rPr lang="es-CO" sz="3200" baseline="0"/>
            <a:t> Mantenimiento preventivo</a:t>
          </a:r>
          <a:endParaRPr lang="es-CO" sz="3200"/>
        </a:p>
      </xdr:txBody>
    </xdr:sp>
    <xdr:clientData/>
  </xdr:twoCellAnchor>
  <xdr:twoCellAnchor editAs="oneCell">
    <xdr:from>
      <xdr:col>2</xdr:col>
      <xdr:colOff>9735456</xdr:colOff>
      <xdr:row>0</xdr:row>
      <xdr:rowOff>316895</xdr:rowOff>
    </xdr:from>
    <xdr:to>
      <xdr:col>4</xdr:col>
      <xdr:colOff>1235369</xdr:colOff>
      <xdr:row>10</xdr:row>
      <xdr:rowOff>152400</xdr:rowOff>
    </xdr:to>
    <xdr:pic>
      <xdr:nvPicPr>
        <xdr:cNvPr id="5" name="Imagen 4">
          <a:extLst>
            <a:ext uri="{FF2B5EF4-FFF2-40B4-BE49-F238E27FC236}">
              <a16:creationId xmlns:a16="http://schemas.microsoft.com/office/drawing/2014/main" id="{B16FBB11-3B8B-FCE6-82EF-9D4DCD83875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5966923" y="316895"/>
          <a:ext cx="4031225" cy="2798838"/>
        </a:xfrm>
        <a:prstGeom prst="rect">
          <a:avLst/>
        </a:prstGeom>
        <a:noFill/>
        <a:ln>
          <a:noFill/>
        </a:ln>
      </xdr:spPr>
    </xdr:pic>
    <xdr:clientData/>
  </xdr:twoCellAnchor>
  <xdr:twoCellAnchor>
    <xdr:from>
      <xdr:col>2</xdr:col>
      <xdr:colOff>272144</xdr:colOff>
      <xdr:row>5</xdr:row>
      <xdr:rowOff>43540</xdr:rowOff>
    </xdr:from>
    <xdr:to>
      <xdr:col>2</xdr:col>
      <xdr:colOff>3766458</xdr:colOff>
      <xdr:row>6</xdr:row>
      <xdr:rowOff>48511</xdr:rowOff>
    </xdr:to>
    <xdr:sp macro="" textlink="">
      <xdr:nvSpPr>
        <xdr:cNvPr id="6" name="Rectángulo 5">
          <a:extLst>
            <a:ext uri="{FF2B5EF4-FFF2-40B4-BE49-F238E27FC236}">
              <a16:creationId xmlns:a16="http://schemas.microsoft.com/office/drawing/2014/main" id="{33DA5904-D006-1492-4663-88506488861F}"/>
            </a:ext>
          </a:extLst>
        </xdr:cNvPr>
        <xdr:cNvSpPr/>
      </xdr:nvSpPr>
      <xdr:spPr>
        <a:xfrm>
          <a:off x="5856515" y="1295397"/>
          <a:ext cx="3494314" cy="353314"/>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aseline="0">
              <a:solidFill>
                <a:schemeClr val="tx1"/>
              </a:solidFill>
              <a:latin typeface="+mn-lt"/>
            </a:rPr>
            <a:t>Actividades programas:</a:t>
          </a:r>
        </a:p>
        <a:p>
          <a:pPr algn="l"/>
          <a:endParaRPr lang="es-CO" sz="1600">
            <a:solidFill>
              <a:schemeClr val="tx1"/>
            </a:solidFill>
            <a:latin typeface="+mn-lt"/>
          </a:endParaRPr>
        </a:p>
      </xdr:txBody>
    </xdr:sp>
    <xdr:clientData/>
  </xdr:twoCellAnchor>
  <xdr:twoCellAnchor>
    <xdr:from>
      <xdr:col>2</xdr:col>
      <xdr:colOff>3766457</xdr:colOff>
      <xdr:row>5</xdr:row>
      <xdr:rowOff>43540</xdr:rowOff>
    </xdr:from>
    <xdr:to>
      <xdr:col>2</xdr:col>
      <xdr:colOff>5926457</xdr:colOff>
      <xdr:row>6</xdr:row>
      <xdr:rowOff>48511</xdr:rowOff>
    </xdr:to>
    <xdr:sp macro="" textlink="$J$3">
      <xdr:nvSpPr>
        <xdr:cNvPr id="9" name="Rectángulo 8">
          <a:extLst>
            <a:ext uri="{FF2B5EF4-FFF2-40B4-BE49-F238E27FC236}">
              <a16:creationId xmlns:a16="http://schemas.microsoft.com/office/drawing/2014/main" id="{98E3FFE9-D6BA-42BA-962A-8FD441A88C4B}"/>
            </a:ext>
          </a:extLst>
        </xdr:cNvPr>
        <xdr:cNvSpPr/>
      </xdr:nvSpPr>
      <xdr:spPr>
        <a:xfrm>
          <a:off x="9350828" y="1295397"/>
          <a:ext cx="2160000" cy="353314"/>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58E9434-F913-4451-9127-AAACDFCC0464}" type="TxLink">
            <a:rPr lang="en-US" sz="1600" b="0" i="0" u="none" strike="noStrike">
              <a:solidFill>
                <a:schemeClr val="tx1"/>
              </a:solidFill>
              <a:latin typeface="Calibri"/>
              <a:cs typeface="Calibri"/>
            </a:rPr>
            <a:pPr algn="l"/>
            <a:t>251</a:t>
          </a:fld>
          <a:endParaRPr lang="es-CO" sz="1100">
            <a:solidFill>
              <a:schemeClr val="tx1"/>
            </a:solidFill>
          </a:endParaRPr>
        </a:p>
      </xdr:txBody>
    </xdr:sp>
    <xdr:clientData/>
  </xdr:twoCellAnchor>
  <xdr:twoCellAnchor>
    <xdr:from>
      <xdr:col>2</xdr:col>
      <xdr:colOff>272143</xdr:colOff>
      <xdr:row>6</xdr:row>
      <xdr:rowOff>43537</xdr:rowOff>
    </xdr:from>
    <xdr:to>
      <xdr:col>2</xdr:col>
      <xdr:colOff>3766457</xdr:colOff>
      <xdr:row>7</xdr:row>
      <xdr:rowOff>48508</xdr:rowOff>
    </xdr:to>
    <xdr:sp macro="" textlink="">
      <xdr:nvSpPr>
        <xdr:cNvPr id="10" name="Rectángulo 9">
          <a:extLst>
            <a:ext uri="{FF2B5EF4-FFF2-40B4-BE49-F238E27FC236}">
              <a16:creationId xmlns:a16="http://schemas.microsoft.com/office/drawing/2014/main" id="{EA81DB25-2B76-4D46-ABBE-1AC193DD5B86}"/>
            </a:ext>
          </a:extLst>
        </xdr:cNvPr>
        <xdr:cNvSpPr/>
      </xdr:nvSpPr>
      <xdr:spPr>
        <a:xfrm>
          <a:off x="5856514" y="1643737"/>
          <a:ext cx="3494314" cy="353314"/>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a:solidFill>
                <a:schemeClr val="tx1"/>
              </a:solidFill>
              <a:latin typeface="+mn-lt"/>
            </a:rPr>
            <a:t>Actividades Ejecutadas:</a:t>
          </a:r>
        </a:p>
      </xdr:txBody>
    </xdr:sp>
    <xdr:clientData/>
  </xdr:twoCellAnchor>
  <xdr:twoCellAnchor>
    <xdr:from>
      <xdr:col>2</xdr:col>
      <xdr:colOff>3766456</xdr:colOff>
      <xdr:row>6</xdr:row>
      <xdr:rowOff>43537</xdr:rowOff>
    </xdr:from>
    <xdr:to>
      <xdr:col>2</xdr:col>
      <xdr:colOff>5926456</xdr:colOff>
      <xdr:row>7</xdr:row>
      <xdr:rowOff>48508</xdr:rowOff>
    </xdr:to>
    <xdr:sp macro="" textlink="">
      <xdr:nvSpPr>
        <xdr:cNvPr id="11" name="Rectángulo 10">
          <a:extLst>
            <a:ext uri="{FF2B5EF4-FFF2-40B4-BE49-F238E27FC236}">
              <a16:creationId xmlns:a16="http://schemas.microsoft.com/office/drawing/2014/main" id="{31DB3D05-9C01-4774-9B23-C9368BDDD97F}"/>
            </a:ext>
          </a:extLst>
        </xdr:cNvPr>
        <xdr:cNvSpPr/>
      </xdr:nvSpPr>
      <xdr:spPr>
        <a:xfrm>
          <a:off x="9350827" y="1643737"/>
          <a:ext cx="2160000" cy="353314"/>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2</xdr:col>
      <xdr:colOff>272143</xdr:colOff>
      <xdr:row>7</xdr:row>
      <xdr:rowOff>43540</xdr:rowOff>
    </xdr:from>
    <xdr:to>
      <xdr:col>2</xdr:col>
      <xdr:colOff>3766457</xdr:colOff>
      <xdr:row>8</xdr:row>
      <xdr:rowOff>48512</xdr:rowOff>
    </xdr:to>
    <xdr:sp macro="" textlink="">
      <xdr:nvSpPr>
        <xdr:cNvPr id="12" name="Rectángulo 11">
          <a:extLst>
            <a:ext uri="{FF2B5EF4-FFF2-40B4-BE49-F238E27FC236}">
              <a16:creationId xmlns:a16="http://schemas.microsoft.com/office/drawing/2014/main" id="{EFE4F98C-4C76-4594-80EF-ECF72729112F}"/>
            </a:ext>
          </a:extLst>
        </xdr:cNvPr>
        <xdr:cNvSpPr/>
      </xdr:nvSpPr>
      <xdr:spPr>
        <a:xfrm>
          <a:off x="5856514" y="1992083"/>
          <a:ext cx="3494314" cy="353315"/>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aseline="0">
              <a:solidFill>
                <a:schemeClr val="tx1"/>
              </a:solidFill>
              <a:latin typeface="+mn-lt"/>
            </a:rPr>
            <a:t>Porcentaje de ejecucion:</a:t>
          </a:r>
        </a:p>
        <a:p>
          <a:pPr algn="l"/>
          <a:endParaRPr lang="es-CO" sz="1600">
            <a:solidFill>
              <a:schemeClr val="tx1"/>
            </a:solidFill>
            <a:latin typeface="+mn-lt"/>
          </a:endParaRPr>
        </a:p>
      </xdr:txBody>
    </xdr:sp>
    <xdr:clientData/>
  </xdr:twoCellAnchor>
  <xdr:twoCellAnchor>
    <xdr:from>
      <xdr:col>2</xdr:col>
      <xdr:colOff>3766456</xdr:colOff>
      <xdr:row>7</xdr:row>
      <xdr:rowOff>43540</xdr:rowOff>
    </xdr:from>
    <xdr:to>
      <xdr:col>2</xdr:col>
      <xdr:colOff>5926456</xdr:colOff>
      <xdr:row>8</xdr:row>
      <xdr:rowOff>48512</xdr:rowOff>
    </xdr:to>
    <xdr:sp macro="" textlink="">
      <xdr:nvSpPr>
        <xdr:cNvPr id="13" name="Rectángulo 12">
          <a:extLst>
            <a:ext uri="{FF2B5EF4-FFF2-40B4-BE49-F238E27FC236}">
              <a16:creationId xmlns:a16="http://schemas.microsoft.com/office/drawing/2014/main" id="{963EB37D-FFAC-4575-9C3B-8825307CCF0F}"/>
            </a:ext>
          </a:extLst>
        </xdr:cNvPr>
        <xdr:cNvSpPr/>
      </xdr:nvSpPr>
      <xdr:spPr>
        <a:xfrm>
          <a:off x="9350827" y="1992083"/>
          <a:ext cx="2160000" cy="353315"/>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b="0" i="0" u="none" strike="noStrike">
            <a:solidFill>
              <a:schemeClr val="tx1"/>
            </a:solidFill>
            <a:latin typeface="Calibri"/>
            <a:cs typeface="Calibri"/>
          </a:endParaRPr>
        </a:p>
      </xdr:txBody>
    </xdr:sp>
    <xdr:clientData/>
  </xdr:twoCellAnchor>
  <xdr:twoCellAnchor>
    <xdr:from>
      <xdr:col>2</xdr:col>
      <xdr:colOff>291862</xdr:colOff>
      <xdr:row>9</xdr:row>
      <xdr:rowOff>304986</xdr:rowOff>
    </xdr:from>
    <xdr:to>
      <xdr:col>2</xdr:col>
      <xdr:colOff>3782366</xdr:colOff>
      <xdr:row>11</xdr:row>
      <xdr:rowOff>55421</xdr:rowOff>
    </xdr:to>
    <xdr:sp macro="" textlink="">
      <xdr:nvSpPr>
        <xdr:cNvPr id="7" name="Rectángulo 6">
          <a:extLst>
            <a:ext uri="{FF2B5EF4-FFF2-40B4-BE49-F238E27FC236}">
              <a16:creationId xmlns:a16="http://schemas.microsoft.com/office/drawing/2014/main" id="{2E6D9C17-DDB4-4CD2-A7F6-E3DF0AE6EDF0}"/>
            </a:ext>
          </a:extLst>
        </xdr:cNvPr>
        <xdr:cNvSpPr/>
      </xdr:nvSpPr>
      <xdr:spPr>
        <a:xfrm>
          <a:off x="6538064" y="2960996"/>
          <a:ext cx="3490504" cy="354906"/>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aseline="0">
              <a:solidFill>
                <a:schemeClr val="tx1"/>
              </a:solidFill>
              <a:latin typeface="+mn-lt"/>
            </a:rPr>
            <a:t>Fecha y hora de recepcion:</a:t>
          </a:r>
        </a:p>
        <a:p>
          <a:pPr algn="l"/>
          <a:r>
            <a:rPr lang="es-CO" sz="1600">
              <a:solidFill>
                <a:schemeClr val="tx1"/>
              </a:solidFill>
              <a:latin typeface="+mn-lt"/>
            </a:rPr>
            <a:t>Fecha y hfe</a:t>
          </a:r>
        </a:p>
      </xdr:txBody>
    </xdr:sp>
    <xdr:clientData/>
  </xdr:twoCellAnchor>
  <xdr:twoCellAnchor>
    <xdr:from>
      <xdr:col>2</xdr:col>
      <xdr:colOff>3789985</xdr:colOff>
      <xdr:row>9</xdr:row>
      <xdr:rowOff>293077</xdr:rowOff>
    </xdr:from>
    <xdr:to>
      <xdr:col>2</xdr:col>
      <xdr:colOff>7217019</xdr:colOff>
      <xdr:row>11</xdr:row>
      <xdr:rowOff>58762</xdr:rowOff>
    </xdr:to>
    <xdr:sp macro="" textlink="">
      <xdr:nvSpPr>
        <xdr:cNvPr id="8" name="Rectángulo 7">
          <a:extLst>
            <a:ext uri="{FF2B5EF4-FFF2-40B4-BE49-F238E27FC236}">
              <a16:creationId xmlns:a16="http://schemas.microsoft.com/office/drawing/2014/main" id="{C7417DD1-6963-4793-A34A-F1E51863769C}"/>
            </a:ext>
          </a:extLst>
        </xdr:cNvPr>
        <xdr:cNvSpPr/>
      </xdr:nvSpPr>
      <xdr:spPr>
        <a:xfrm>
          <a:off x="10036187" y="2949087"/>
          <a:ext cx="3427034" cy="370156"/>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b="0" i="0" u="none" strike="noStrike">
            <a:solidFill>
              <a:schemeClr val="tx1"/>
            </a:solidFill>
            <a:latin typeface="Calibri"/>
            <a:cs typeface="Calibri"/>
          </a:endParaRPr>
        </a:p>
      </xdr:txBody>
    </xdr:sp>
    <xdr:clientData/>
  </xdr:twoCellAnchor>
  <xdr:twoCellAnchor>
    <xdr:from>
      <xdr:col>2</xdr:col>
      <xdr:colOff>291862</xdr:colOff>
      <xdr:row>8</xdr:row>
      <xdr:rowOff>304985</xdr:rowOff>
    </xdr:from>
    <xdr:to>
      <xdr:col>2</xdr:col>
      <xdr:colOff>3782366</xdr:colOff>
      <xdr:row>9</xdr:row>
      <xdr:rowOff>311862</xdr:rowOff>
    </xdr:to>
    <xdr:sp macro="" textlink="">
      <xdr:nvSpPr>
        <xdr:cNvPr id="14" name="Rectángulo 13">
          <a:extLst>
            <a:ext uri="{FF2B5EF4-FFF2-40B4-BE49-F238E27FC236}">
              <a16:creationId xmlns:a16="http://schemas.microsoft.com/office/drawing/2014/main" id="{F6EF5F15-6D0A-4511-8AE3-7E0755385559}"/>
            </a:ext>
          </a:extLst>
        </xdr:cNvPr>
        <xdr:cNvSpPr/>
      </xdr:nvSpPr>
      <xdr:spPr>
        <a:xfrm>
          <a:off x="6538064" y="2612966"/>
          <a:ext cx="3490504" cy="354906"/>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aseline="0">
              <a:solidFill>
                <a:schemeClr val="tx1"/>
              </a:solidFill>
              <a:latin typeface="+mn-lt"/>
            </a:rPr>
            <a:t>Tec produccion que recibe</a:t>
          </a:r>
          <a:endParaRPr lang="es-CO" sz="1600">
            <a:solidFill>
              <a:schemeClr val="tx1"/>
            </a:solidFill>
            <a:latin typeface="+mn-lt"/>
          </a:endParaRPr>
        </a:p>
      </xdr:txBody>
    </xdr:sp>
    <xdr:clientData/>
  </xdr:twoCellAnchor>
  <xdr:twoCellAnchor>
    <xdr:from>
      <xdr:col>2</xdr:col>
      <xdr:colOff>3791890</xdr:colOff>
      <xdr:row>8</xdr:row>
      <xdr:rowOff>313300</xdr:rowOff>
    </xdr:from>
    <xdr:to>
      <xdr:col>2</xdr:col>
      <xdr:colOff>7217019</xdr:colOff>
      <xdr:row>9</xdr:row>
      <xdr:rowOff>311395</xdr:rowOff>
    </xdr:to>
    <xdr:sp macro="" textlink="">
      <xdr:nvSpPr>
        <xdr:cNvPr id="15" name="Rectángulo 14">
          <a:extLst>
            <a:ext uri="{FF2B5EF4-FFF2-40B4-BE49-F238E27FC236}">
              <a16:creationId xmlns:a16="http://schemas.microsoft.com/office/drawing/2014/main" id="{F22B394C-A28F-46A0-A180-AAAA3E77D7DF}"/>
            </a:ext>
          </a:extLst>
        </xdr:cNvPr>
        <xdr:cNvSpPr/>
      </xdr:nvSpPr>
      <xdr:spPr>
        <a:xfrm>
          <a:off x="10038092" y="2621281"/>
          <a:ext cx="3425129" cy="346124"/>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b="0" i="0" u="none" strike="noStrike">
            <a:solidFill>
              <a:schemeClr val="tx1"/>
            </a:solidFill>
            <a:latin typeface="Calibri"/>
            <a:cs typeface="Calibri"/>
          </a:endParaRPr>
        </a:p>
      </xdr:txBody>
    </xdr:sp>
    <xdr:clientData/>
  </xdr:twoCellAnchor>
  <xdr:twoCellAnchor>
    <xdr:from>
      <xdr:col>2</xdr:col>
      <xdr:colOff>285457</xdr:colOff>
      <xdr:row>11</xdr:row>
      <xdr:rowOff>56165</xdr:rowOff>
    </xdr:from>
    <xdr:to>
      <xdr:col>2</xdr:col>
      <xdr:colOff>7220829</xdr:colOff>
      <xdr:row>13</xdr:row>
      <xdr:rowOff>132031</xdr:rowOff>
    </xdr:to>
    <xdr:sp macro="" textlink="">
      <xdr:nvSpPr>
        <xdr:cNvPr id="16" name="Rectángulo 15">
          <a:extLst>
            <a:ext uri="{FF2B5EF4-FFF2-40B4-BE49-F238E27FC236}">
              <a16:creationId xmlns:a16="http://schemas.microsoft.com/office/drawing/2014/main" id="{70620241-04AC-4D16-BC8E-109365BF80C5}"/>
            </a:ext>
          </a:extLst>
        </xdr:cNvPr>
        <xdr:cNvSpPr/>
      </xdr:nvSpPr>
      <xdr:spPr>
        <a:xfrm>
          <a:off x="6531659" y="3316646"/>
          <a:ext cx="6935372" cy="662020"/>
        </a:xfrm>
        <a:prstGeom prst="rect">
          <a:avLst/>
        </a:prstGeom>
        <a:solidFill>
          <a:schemeClr val="bg2">
            <a:lumMod val="90000"/>
          </a:schemeClr>
        </a:solidFill>
        <a:ln w="31750" cmpd="dbl">
          <a:solidFill>
            <a:schemeClr val="tx1">
              <a:lumMod val="95000"/>
              <a:lumOff val="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0" i="0" u="none" strike="noStrike">
              <a:solidFill>
                <a:schemeClr val="tx1"/>
              </a:solidFill>
              <a:latin typeface="Calibri"/>
              <a:cs typeface="Calibri"/>
            </a:rPr>
            <a:t>Comentarios:</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ajovercom-my.sharepoint.com/personal/javendano_ajover_com/Documents/Archivos%20de%20chat%20de%20Microsoft%20Teams/Formato%20de%20mantenimiento%20preventivoV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icial"/>
      <sheetName val="TABLA MAQUINAS"/>
      <sheetName val="A imprimir"/>
      <sheetName val="Hoja2"/>
      <sheetName val="Formato de mantenimiento preven"/>
    </sheetNames>
    <sheetDataSet>
      <sheetData sheetId="0"/>
      <sheetData sheetId="1"/>
      <sheetData sheetId="2"/>
      <sheetData sheetId="3"/>
      <sheetData sheetId="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ann Herney Avendano Gomez" refreshedDate="45877.352616203701" createdVersion="6" refreshedVersion="8" minRefreshableVersion="3" recordCount="410" xr:uid="{00000000-000A-0000-FFFF-FFFF41000000}">
  <cacheSource type="worksheet">
    <worksheetSource name="Table1"/>
  </cacheSource>
  <cacheFields count="24">
    <cacheField name="UN" numFmtId="49">
      <sharedItems/>
    </cacheField>
    <cacheField name="ID OT" numFmtId="49">
      <sharedItems count="8000">
        <s v="00392368"/>
        <s v="00392367"/>
        <s v="00392163" u="1"/>
        <s v="00392164" u="1"/>
        <s v="00392165" u="1"/>
        <s v="00392166" u="1"/>
        <s v="00392167" u="1"/>
        <s v="00392168" u="1"/>
        <s v="00392169" u="1"/>
        <s v="00392170" u="1"/>
        <s v="00392171" u="1"/>
        <s v="00392172" u="1"/>
        <s v="00392173" u="1"/>
        <s v="00392174" u="1"/>
        <s v="00392175" u="1"/>
        <s v="00392176" u="1"/>
        <s v="00392177" u="1"/>
        <s v="00392178" u="1"/>
        <s v="00392179" u="1"/>
        <s v="00392180" u="1"/>
        <s v="00392181" u="1"/>
        <s v="00392182" u="1"/>
        <s v="00392183" u="1"/>
        <s v="00392184" u="1"/>
        <s v="00392185" u="1"/>
        <s v="00392186" u="1"/>
        <s v="00392187" u="1"/>
        <s v="00392188" u="1"/>
        <s v="00392189" u="1"/>
        <s v="00392190" u="1"/>
        <s v="00392191" u="1"/>
        <s v="00392192" u="1"/>
        <s v="00392193" u="1"/>
        <s v="00392194" u="1"/>
        <s v="00392195" u="1"/>
        <s v="00392196" u="1"/>
        <s v="00392197" u="1"/>
        <s v="00392198" u="1"/>
        <s v="00392199" u="1"/>
        <s v="00392200" u="1"/>
        <s v="00392201" u="1"/>
        <s v="00392202" u="1"/>
        <s v="00392203" u="1"/>
        <s v="00392204" u="1"/>
        <s v="00392205" u="1"/>
        <s v="00392206" u="1"/>
        <s v="00392207" u="1"/>
        <s v="00392208" u="1"/>
        <s v="00392209" u="1"/>
        <s v="00392210" u="1"/>
        <s v="00392211" u="1"/>
        <s v="00392212" u="1"/>
        <s v="00392213" u="1"/>
        <s v="00392214" u="1"/>
        <s v="00392215" u="1"/>
        <s v="00392216" u="1"/>
        <s v="00392217" u="1"/>
        <s v="00392218" u="1"/>
        <s v="00392219" u="1"/>
        <s v="00392220" u="1"/>
        <s v="00392221" u="1"/>
        <s v="00392222" u="1"/>
        <s v="00392223" u="1"/>
        <s v="00392224" u="1"/>
        <s v="00392225" u="1"/>
        <s v="00392226" u="1"/>
        <s v="00392227" u="1"/>
        <s v="00392228" u="1"/>
        <s v="00392229" u="1"/>
        <s v="00392230" u="1"/>
        <s v="00392231" u="1"/>
        <s v="00392232" u="1"/>
        <s v="00392233" u="1"/>
        <s v="00392234" u="1"/>
        <s v="00392235" u="1"/>
        <s v="00392236" u="1"/>
        <s v="00392237" u="1"/>
        <s v="00392238" u="1"/>
        <s v="00392239" u="1"/>
        <s v="00392240" u="1"/>
        <s v="00392241" u="1"/>
        <s v="00392242" u="1"/>
        <s v="00392243" u="1"/>
        <s v="00392244" u="1"/>
        <s v="00392245" u="1"/>
        <s v="00392246" u="1"/>
        <s v="00392247" u="1"/>
        <s v="00392248" u="1"/>
        <s v="00392249" u="1"/>
        <s v="00392250" u="1"/>
        <s v="00392251" u="1"/>
        <s v="00392252" u="1"/>
        <s v="00392253" u="1"/>
        <s v="00392254" u="1"/>
        <s v="00392255" u="1"/>
        <s v="00392256" u="1"/>
        <s v="00392257" u="1"/>
        <s v="00392258" u="1"/>
        <s v="00392259" u="1"/>
        <s v="00392260" u="1"/>
        <s v="00392261" u="1"/>
        <s v="00392262" u="1"/>
        <s v="00392263" u="1"/>
        <s v="00392264" u="1"/>
        <s v="00392265" u="1"/>
        <s v="00392266" u="1"/>
        <s v="00392267" u="1"/>
        <s v="00392268" u="1"/>
        <s v="00392269" u="1"/>
        <s v="00392270" u="1"/>
        <s v="00392271" u="1"/>
        <s v="00392272" u="1"/>
        <s v="00392273" u="1"/>
        <s v="00392274" u="1"/>
        <s v="00392275" u="1"/>
        <s v="00392276" u="1"/>
        <s v="00392277" u="1"/>
        <s v="00392278" u="1"/>
        <s v="00392279" u="1"/>
        <s v="00392280" u="1"/>
        <s v="00392281" u="1"/>
        <s v="00392282" u="1"/>
        <s v="00392283" u="1"/>
        <s v="00392284" u="1"/>
        <s v="00392285" u="1"/>
        <s v="00392286" u="1"/>
        <s v="00392287" u="1"/>
        <s v="00392288" u="1"/>
        <s v="00392289" u="1"/>
        <s v="00392290" u="1"/>
        <s v="00392291" u="1"/>
        <s v="00392292" u="1"/>
        <s v="00392293" u="1"/>
        <s v="00392294" u="1"/>
        <s v="00392295" u="1"/>
        <s v="00392296" u="1"/>
        <s v="00392297" u="1"/>
        <s v="00392298" u="1"/>
        <s v="00392299" u="1"/>
        <s v="00392300" u="1"/>
        <s v="00392301" u="1"/>
        <s v="00386938" u="1"/>
        <s v="00386944" u="1"/>
        <s v="00386949" u="1"/>
        <s v="00386951" u="1"/>
        <s v="00386952" u="1"/>
        <s v="00386953" u="1"/>
        <s v="00386954" u="1"/>
        <s v="00386955" u="1"/>
        <s v="00386956" u="1"/>
        <s v="00386957" u="1"/>
        <s v="00386958" u="1"/>
        <s v="00386959" u="1"/>
        <s v="00386970" u="1"/>
        <s v="00386978" u="1"/>
        <s v="00386980" u="1"/>
        <s v="00386982" u="1"/>
        <s v="00386988" u="1"/>
        <s v="00386990" u="1"/>
        <s v="00386991" u="1"/>
        <s v="00386992" u="1"/>
        <s v="00386993" u="1"/>
        <s v="00386994" u="1"/>
        <s v="00386995" u="1"/>
        <s v="00386996" u="1"/>
        <s v="00386997" u="1"/>
        <s v="00386998" u="1"/>
        <s v="00386999" u="1"/>
        <s v="00387000" u="1"/>
        <s v="00387001" u="1"/>
        <s v="00387002" u="1"/>
        <s v="00387003" u="1"/>
        <s v="00387004" u="1"/>
        <s v="00387005" u="1"/>
        <s v="00387006" u="1"/>
        <s v="00387007" u="1"/>
        <s v="00387008" u="1"/>
        <s v="00387009" u="1"/>
        <s v="00387010" u="1"/>
        <s v="00387011" u="1"/>
        <s v="00387012" u="1"/>
        <s v="00387013" u="1"/>
        <s v="00387015" u="1"/>
        <s v="00387016" u="1"/>
        <s v="00387027" u="1"/>
        <s v="00387035" u="1"/>
        <s v="00387037" u="1"/>
        <s v="00387039" u="1"/>
        <s v="00387045" u="1"/>
        <s v="00387063" u="1"/>
        <s v="00387065" u="1"/>
        <s v="00387067" u="1"/>
        <s v="00387068" u="1"/>
        <s v="00387069" u="1"/>
        <s v="00387070" u="1"/>
        <s v="00387071" u="1"/>
        <s v="00387072" u="1"/>
        <s v="00387073" u="1"/>
        <s v="00387074" u="1"/>
        <s v="00387075" u="1"/>
        <s v="00387076" u="1"/>
        <s v="00387077" u="1"/>
        <s v="00387078" u="1"/>
        <s v="00387079" u="1"/>
        <s v="00387080" u="1"/>
        <s v="00387082" u="1"/>
        <s v="00387083" u="1"/>
        <s v="00387088" u="1"/>
        <s v="00387090" u="1"/>
        <s v="00387091" u="1"/>
        <s v="00387098" u="1"/>
        <s v="00387099" u="1"/>
        <s v="00387100" u="1"/>
        <s v="00387101" u="1"/>
        <s v="00387102" u="1"/>
        <s v="00387103" u="1"/>
        <s v="00387104" u="1"/>
        <s v="00387105" u="1"/>
        <s v="00387106" u="1"/>
        <s v="00387107" u="1"/>
        <s v="00387108" u="1"/>
        <s v="00387109" u="1"/>
        <s v="00387110" u="1"/>
        <s v="00387111" u="1"/>
        <s v="00387113" u="1"/>
        <s v="00387114" u="1"/>
        <s v="00387115" u="1"/>
        <s v="00387116" u="1"/>
        <s v="00387117" u="1"/>
        <s v="00387118" u="1"/>
        <s v="00387119" u="1"/>
        <s v="00387120" u="1"/>
        <s v="00387121" u="1"/>
        <s v="00387122" u="1"/>
        <s v="00387123" u="1"/>
        <s v="00387124" u="1"/>
        <s v="00387125" u="1"/>
        <s v="00387126" u="1"/>
        <s v="00387127" u="1"/>
        <s v="00387128" u="1"/>
        <s v="00387129" u="1"/>
        <s v="00387130" u="1"/>
        <s v="00387131" u="1"/>
        <s v="00387132" u="1"/>
        <s v="00387133" u="1"/>
        <s v="00387134" u="1"/>
        <s v="00387135" u="1"/>
        <s v="00387136" u="1"/>
        <s v="00387137" u="1"/>
        <s v="00387138" u="1"/>
        <s v="00387139" u="1"/>
        <s v="00387140" u="1"/>
        <s v="00387141" u="1"/>
        <s v="00387142" u="1"/>
        <s v="00387143" u="1"/>
        <s v="00387144" u="1"/>
        <s v="00387145" u="1"/>
        <s v="00387146" u="1"/>
        <s v="00387147" u="1"/>
        <s v="00387148" u="1"/>
        <s v="00387149" u="1"/>
        <s v="00387150" u="1"/>
        <s v="00387151" u="1"/>
        <s v="00387152" u="1"/>
        <s v="00387153" u="1"/>
        <s v="00387154" u="1"/>
        <s v="00387155" u="1"/>
        <s v="00387156" u="1"/>
        <s v="00387157" u="1"/>
        <s v="00387158" u="1"/>
        <s v="00387159" u="1"/>
        <s v="00387160" u="1"/>
        <s v="00387161" u="1"/>
        <s v="00387162" u="1"/>
        <s v="00387163" u="1"/>
        <s v="00387164" u="1"/>
        <s v="00387165" u="1"/>
        <s v="00387166" u="1"/>
        <s v="00387167" u="1"/>
        <s v="00387168" u="1"/>
        <s v="00387169" u="1"/>
        <s v="00387170" u="1"/>
        <s v="00387171" u="1"/>
        <s v="00387172" u="1"/>
        <s v="00387173" u="1"/>
        <s v="00387174" u="1"/>
        <s v="00387175" u="1"/>
        <s v="00387176" u="1"/>
        <s v="00387177" u="1"/>
        <s v="00387178" u="1"/>
        <s v="00387179" u="1"/>
        <s v="00387180" u="1"/>
        <s v="00387181" u="1"/>
        <s v="00387182" u="1"/>
        <s v="00387183" u="1"/>
        <s v="00387184" u="1"/>
        <s v="00387185" u="1"/>
        <s v="00387186" u="1"/>
        <s v="00387187" u="1"/>
        <s v="00387188" u="1"/>
        <s v="00387189" u="1"/>
        <s v="00387190" u="1"/>
        <s v="00387191" u="1"/>
        <s v="00387192" u="1"/>
        <s v="00387193" u="1"/>
        <s v="00387194" u="1"/>
        <s v="00387195" u="1"/>
        <s v="00387196" u="1"/>
        <s v="00387197" u="1"/>
        <s v="00387198" u="1"/>
        <s v="00387199" u="1"/>
        <s v="00387200" u="1"/>
        <s v="00387201" u="1"/>
        <s v="00387202" u="1"/>
        <s v="00387203" u="1"/>
        <s v="00387204" u="1"/>
        <s v="00387205" u="1"/>
        <s v="00387206" u="1"/>
        <s v="00387207" u="1"/>
        <s v="00387208" u="1"/>
        <s v="00387209" u="1"/>
        <s v="00387210" u="1"/>
        <s v="00387211" u="1"/>
        <s v="00387212" u="1"/>
        <s v="00387213" u="1"/>
        <s v="00387214" u="1"/>
        <s v="00387215" u="1"/>
        <s v="00387216" u="1"/>
        <s v="00387217" u="1"/>
        <s v="00387218" u="1"/>
        <s v="00387219" u="1"/>
        <s v="00387220" u="1"/>
        <s v="00387221" u="1"/>
        <s v="00387222" u="1"/>
        <s v="00387223" u="1"/>
        <s v="00387224" u="1"/>
        <s v="00387225" u="1"/>
        <s v="00387226" u="1"/>
        <s v="00387227" u="1"/>
        <s v="00387228" u="1"/>
        <s v="00387229" u="1"/>
        <s v="00387230" u="1"/>
        <s v="00387231" u="1"/>
        <s v="00387232" u="1"/>
        <s v="00387233" u="1"/>
        <s v="00387234" u="1"/>
        <s v="00387235" u="1"/>
        <s v="00387236" u="1"/>
        <s v="00387237" u="1"/>
        <s v="00387238" u="1"/>
        <s v="00387239" u="1"/>
        <s v="00387240" u="1"/>
        <s v="00387241" u="1"/>
        <s v="00387242" u="1"/>
        <s v="00387243" u="1"/>
        <s v="00387244" u="1"/>
        <s v="00387245" u="1"/>
        <s v="00387246" u="1"/>
        <s v="00387247" u="1"/>
        <s v="00387248" u="1"/>
        <s v="00387249" u="1"/>
        <s v="00387250" u="1"/>
        <s v="00387251" u="1"/>
        <s v="00387252" u="1"/>
        <s v="00387253" u="1"/>
        <s v="00387254" u="1"/>
        <s v="00387255" u="1"/>
        <s v="00387256" u="1"/>
        <s v="00387257" u="1"/>
        <s v="00387258" u="1"/>
        <s v="00387259" u="1"/>
        <s v="00387260" u="1"/>
        <s v="00387261" u="1"/>
        <s v="00387262" u="1"/>
        <s v="00387263" u="1"/>
        <s v="00387264" u="1"/>
        <s v="00387265" u="1"/>
        <s v="00387266" u="1"/>
        <s v="00387267" u="1"/>
        <s v="00387268" u="1"/>
        <s v="00387269" u="1"/>
        <s v="00387270" u="1"/>
        <s v="00387271" u="1"/>
        <s v="00387272" u="1"/>
        <s v="00387273" u="1"/>
        <s v="00387274" u="1"/>
        <s v="00387275" u="1"/>
        <s v="00387276" u="1"/>
        <s v="00387277" u="1"/>
        <s v="00387278" u="1"/>
        <s v="00387279" u="1"/>
        <s v="00387280" u="1"/>
        <s v="00387281" u="1"/>
        <s v="00387282" u="1"/>
        <s v="00387283" u="1"/>
        <s v="00387284" u="1"/>
        <s v="00387285" u="1"/>
        <s v="00387286" u="1"/>
        <s v="00387287" u="1"/>
        <s v="00387288" u="1"/>
        <s v="00387289" u="1"/>
        <s v="00387290" u="1"/>
        <s v="00387291" u="1"/>
        <s v="00387292" u="1"/>
        <s v="00387293" u="1"/>
        <s v="00387294" u="1"/>
        <s v="00387295" u="1"/>
        <s v="00387296" u="1"/>
        <s v="00387297" u="1"/>
        <s v="00387298" u="1"/>
        <s v="00387299" u="1"/>
        <s v="00387300" u="1"/>
        <s v="00387301" u="1"/>
        <s v="00387302" u="1"/>
        <s v="00387303" u="1"/>
        <s v="00387304" u="1"/>
        <s v="00387305" u="1"/>
        <s v="00387306" u="1"/>
        <s v="00387307" u="1"/>
        <s v="00387308" u="1"/>
        <s v="00387309" u="1"/>
        <s v="00387310" u="1"/>
        <s v="00387311" u="1"/>
        <s v="00387312" u="1"/>
        <s v="00387313" u="1"/>
        <s v="00387314" u="1"/>
        <s v="00387315" u="1"/>
        <s v="00387316" u="1"/>
        <s v="00387317" u="1"/>
        <s v="00387318" u="1"/>
        <s v="00387319" u="1"/>
        <s v="00387320" u="1"/>
        <s v="00387321" u="1"/>
        <s v="00387322" u="1"/>
        <s v="00387323" u="1"/>
        <s v="00387324" u="1"/>
        <s v="00387325" u="1"/>
        <s v="00387326" u="1"/>
        <s v="00387327" u="1"/>
        <s v="00387328" u="1"/>
        <s v="00387329" u="1"/>
        <s v="00387330" u="1"/>
        <s v="00387331" u="1"/>
        <s v="00387332" u="1"/>
        <s v="00387333" u="1"/>
        <s v="00387334" u="1"/>
        <s v="00387335" u="1"/>
        <s v="00387336" u="1"/>
        <s v="00391907" u="1"/>
        <s v="00391908" u="1"/>
        <s v="00391909" u="1"/>
        <s v="00391910" u="1"/>
        <s v="00391911" u="1"/>
        <s v="00391912" u="1"/>
        <s v="00391913" u="1"/>
        <s v="00391914" u="1"/>
        <s v="00391915" u="1"/>
        <s v="00391916" u="1"/>
        <s v="00391917" u="1"/>
        <s v="00391918" u="1"/>
        <s v="00391919" u="1"/>
        <s v="00391920" u="1"/>
        <s v="00391921" u="1"/>
        <s v="00391922" u="1"/>
        <s v="00391923" u="1"/>
        <s v="00391924" u="1"/>
        <s v="00391925" u="1"/>
        <s v="00391926" u="1"/>
        <s v="00391927" u="1"/>
        <s v="00391928" u="1"/>
        <s v="00391929" u="1"/>
        <s v="00391930" u="1"/>
        <s v="00391931" u="1"/>
        <s v="00391932" u="1"/>
        <s v="00391933" u="1"/>
        <s v="00391934" u="1"/>
        <s v="00391935" u="1"/>
        <s v="00391936" u="1"/>
        <s v="00391937" u="1"/>
        <s v="00391938" u="1"/>
        <s v="00391939" u="1"/>
        <s v="00391940" u="1"/>
        <s v="00391941" u="1"/>
        <s v="00391942" u="1"/>
        <s v="00391943" u="1"/>
        <s v="00391944" u="1"/>
        <s v="00391945" u="1"/>
        <s v="00391946" u="1"/>
        <s v="00391947" u="1"/>
        <s v="00391948" u="1"/>
        <s v="00391949" u="1"/>
        <s v="00391950" u="1"/>
        <s v="00391951" u="1"/>
        <s v="00391952" u="1"/>
        <s v="00391953" u="1"/>
        <s v="00391954" u="1"/>
        <s v="00391955" u="1"/>
        <s v="00391956" u="1"/>
        <s v="00391957" u="1"/>
        <s v="00391958" u="1"/>
        <s v="00391959" u="1"/>
        <s v="00391960" u="1"/>
        <s v="00391961" u="1"/>
        <s v="00391962" u="1"/>
        <s v="00391963" u="1"/>
        <s v="00391964" u="1"/>
        <s v="00391965" u="1"/>
        <s v="00391966" u="1"/>
        <s v="00391967" u="1"/>
        <s v="00391968" u="1"/>
        <s v="00391969" u="1"/>
        <s v="00391970" u="1"/>
        <s v="00391971" u="1"/>
        <s v="00391972" u="1"/>
        <s v="00391973" u="1"/>
        <s v="00391974" u="1"/>
        <s v="00391975" u="1"/>
        <s v="00391976" u="1"/>
        <s v="00391977" u="1"/>
        <s v="00391978" u="1"/>
        <s v="00391979" u="1"/>
        <s v="00391980" u="1"/>
        <s v="00391981" u="1"/>
        <s v="00391982" u="1"/>
        <s v="00391983" u="1"/>
        <s v="00391984" u="1"/>
        <s v="00391985" u="1"/>
        <s v="00391986" u="1"/>
        <s v="00391987" u="1"/>
        <s v="00391988" u="1"/>
        <s v="00391989" u="1"/>
        <s v="00391990" u="1"/>
        <s v="00391991" u="1"/>
        <s v="00391992" u="1"/>
        <s v="00391993" u="1"/>
        <s v="00391994" u="1"/>
        <s v="00391995" u="1"/>
        <s v="00391996" u="1"/>
        <s v="00391997" u="1"/>
        <s v="00391998" u="1"/>
        <s v="00391999" u="1"/>
        <s v="00392000" u="1"/>
        <s v="00392001" u="1"/>
        <s v="00392002" u="1"/>
        <s v="00392003" u="1"/>
        <s v="00392004" u="1"/>
        <s v="00392005" u="1"/>
        <s v="00392006" u="1"/>
        <s v="00392007" u="1"/>
        <s v="00392008" u="1"/>
        <s v="00392009" u="1"/>
        <s v="00392010" u="1"/>
        <s v="00392011" u="1"/>
        <s v="00392012" u="1"/>
        <s v="00392013" u="1"/>
        <s v="00391749" u="1"/>
        <s v="00391750" u="1"/>
        <s v="00391751" u="1"/>
        <s v="00391752" u="1"/>
        <s v="00391753" u="1"/>
        <s v="00391754" u="1"/>
        <s v="00391755" u="1"/>
        <s v="00391756" u="1"/>
        <s v="00391757" u="1"/>
        <s v="00391758" u="1"/>
        <s v="00391759" u="1"/>
        <s v="00391760" u="1"/>
        <s v="00391761" u="1"/>
        <s v="00391762" u="1"/>
        <s v="00391763" u="1"/>
        <s v="00391764" u="1"/>
        <s v="00391765" u="1"/>
        <s v="00391766" u="1"/>
        <s v="00391767" u="1"/>
        <s v="00391768" u="1"/>
        <s v="00391769" u="1"/>
        <s v="00391770" u="1"/>
        <s v="00391771" u="1"/>
        <s v="00391772" u="1"/>
        <s v="00391773" u="1"/>
        <s v="00391774" u="1"/>
        <s v="00391775" u="1"/>
        <s v="00391776" u="1"/>
        <s v="00391777" u="1"/>
        <s v="00391778" u="1"/>
        <s v="00391779" u="1"/>
        <s v="00391780" u="1"/>
        <s v="00391781" u="1"/>
        <s v="00391782" u="1"/>
        <s v="00391783" u="1"/>
        <s v="00391784" u="1"/>
        <s v="00391785" u="1"/>
        <s v="00391786" u="1"/>
        <s v="00391787" u="1"/>
        <s v="00391788" u="1"/>
        <s v="00391789" u="1"/>
        <s v="00391790" u="1"/>
        <s v="00391791" u="1"/>
        <s v="00391792" u="1"/>
        <s v="00391793" u="1"/>
        <s v="00391794" u="1"/>
        <s v="00391795" u="1"/>
        <s v="00391796" u="1"/>
        <s v="00391797" u="1"/>
        <s v="00391798" u="1"/>
        <s v="00391799" u="1"/>
        <s v="00391800" u="1"/>
        <s v="00391801" u="1"/>
        <s v="00391802" u="1"/>
        <s v="00391803" u="1"/>
        <s v="00391804" u="1"/>
        <s v="00391805" u="1"/>
        <s v="00391806" u="1"/>
        <s v="00391807" u="1"/>
        <s v="00391808" u="1"/>
        <s v="00391809" u="1"/>
        <s v="00391810" u="1"/>
        <s v="00391811" u="1"/>
        <s v="00391812" u="1"/>
        <s v="00391813" u="1"/>
        <s v="00391814" u="1"/>
        <s v="00391815" u="1"/>
        <s v="00391816" u="1"/>
        <s v="00391817" u="1"/>
        <s v="00391818" u="1"/>
        <s v="00391819" u="1"/>
        <s v="00391820" u="1"/>
        <s v="00391821" u="1"/>
        <s v="00391822" u="1"/>
        <s v="00391823" u="1"/>
        <s v="00391824" u="1"/>
        <s v="00391825" u="1"/>
        <s v="00391826" u="1"/>
        <s v="00391827" u="1"/>
        <s v="00391828" u="1"/>
        <s v="00391829" u="1"/>
        <s v="00391830" u="1"/>
        <s v="00391831" u="1"/>
        <s v="00391832" u="1"/>
        <s v="00391833" u="1"/>
        <s v="00391834" u="1"/>
        <s v="00391835" u="1"/>
        <s v="00391836" u="1"/>
        <s v="00391837" u="1"/>
        <s v="00391838" u="1"/>
        <s v="00391839" u="1"/>
        <s v="00391840" u="1"/>
        <s v="00391841" u="1"/>
        <s v="00391842" u="1"/>
        <s v="00391843" u="1"/>
        <s v="00391844" u="1"/>
        <s v="00391845" u="1"/>
        <s v="00391846" u="1"/>
        <s v="00391847" u="1"/>
        <s v="00391848" u="1"/>
        <s v="00391849" u="1"/>
        <s v="00391850" u="1"/>
        <s v="00391851" u="1"/>
        <s v="00391852" u="1"/>
        <s v="00391853" u="1"/>
        <s v="00391854" u="1"/>
        <s v="00391855" u="1"/>
        <s v="00391856" u="1"/>
        <s v="00391857" u="1"/>
        <s v="00391858" u="1"/>
        <s v="00391859" u="1"/>
        <s v="00391860" u="1"/>
        <s v="00391861" u="1"/>
        <s v="00391862" u="1"/>
        <s v="00391376" u="1"/>
        <s v="00391377" u="1"/>
        <s v="00391378" u="1"/>
        <s v="00391379" u="1"/>
        <s v="00391380" u="1"/>
        <s v="00391381" u="1"/>
        <s v="00391382" u="1"/>
        <s v="00391383" u="1"/>
        <s v="00391384" u="1"/>
        <s v="00391385" u="1"/>
        <s v="00391386" u="1"/>
        <s v="00391387" u="1"/>
        <s v="00391388" u="1"/>
        <s v="00391389" u="1"/>
        <s v="00391390" u="1"/>
        <s v="00391391" u="1"/>
        <s v="00391392" u="1"/>
        <s v="00391393" u="1"/>
        <s v="00391394" u="1"/>
        <s v="00391395" u="1"/>
        <s v="00391396" u="1"/>
        <s v="00391397" u="1"/>
        <s v="00391398" u="1"/>
        <s v="00391399" u="1"/>
        <s v="00391400" u="1"/>
        <s v="00391401" u="1"/>
        <s v="00391402" u="1"/>
        <s v="00391403" u="1"/>
        <s v="00391404" u="1"/>
        <s v="00391405" u="1"/>
        <s v="00391406" u="1"/>
        <s v="00391407" u="1"/>
        <s v="00391408" u="1"/>
        <s v="00391409" u="1"/>
        <s v="00391410" u="1"/>
        <s v="00391411" u="1"/>
        <s v="00391412" u="1"/>
        <s v="00391413" u="1"/>
        <s v="00391414" u="1"/>
        <s v="00391415" u="1"/>
        <s v="00391416" u="1"/>
        <s v="00391417" u="1"/>
        <s v="00391418" u="1"/>
        <s v="00391419" u="1"/>
        <s v="00391420" u="1"/>
        <s v="00391421" u="1"/>
        <s v="00391422" u="1"/>
        <s v="00391423" u="1"/>
        <s v="00391424" u="1"/>
        <s v="00391425" u="1"/>
        <s v="00391426" u="1"/>
        <s v="00391427" u="1"/>
        <s v="00391428" u="1"/>
        <s v="00391429" u="1"/>
        <s v="00391430" u="1"/>
        <s v="00391431" u="1"/>
        <s v="00391432" u="1"/>
        <s v="00391433" u="1"/>
        <s v="00391434" u="1"/>
        <s v="00391435" u="1"/>
        <s v="00391436" u="1"/>
        <s v="00391437" u="1"/>
        <s v="00391438" u="1"/>
        <s v="00391439" u="1"/>
        <s v="00391440" u="1"/>
        <s v="00391441" u="1"/>
        <s v="00391442" u="1"/>
        <s v="00391443" u="1"/>
        <s v="00391444" u="1"/>
        <s v="00391445" u="1"/>
        <s v="00391446" u="1"/>
        <s v="00391447" u="1"/>
        <s v="00391448" u="1"/>
        <s v="00391449" u="1"/>
        <s v="00391450" u="1"/>
        <s v="00391451" u="1"/>
        <s v="00391452" u="1"/>
        <s v="00391453" u="1"/>
        <s v="00391454" u="1"/>
        <s v="00391455" u="1"/>
        <s v="00391456" u="1"/>
        <s v="00391457" u="1"/>
        <s v="00391458" u="1"/>
        <s v="00391459" u="1"/>
        <s v="00391460" u="1"/>
        <s v="00391461" u="1"/>
        <s v="00391462" u="1"/>
        <s v="00391463" u="1"/>
        <s v="00391464" u="1"/>
        <s v="00391465" u="1"/>
        <s v="00391466" u="1"/>
        <s v="00391467" u="1"/>
        <s v="00391468" u="1"/>
        <s v="00391469" u="1"/>
        <s v="00391470" u="1"/>
        <s v="00391471" u="1"/>
        <s v="00391472" u="1"/>
        <s v="00391473" u="1"/>
        <s v="00391474" u="1"/>
        <s v="00391475" u="1"/>
        <s v="00391476" u="1"/>
        <s v="00391477" u="1"/>
        <s v="00391478" u="1"/>
        <s v="00391479" u="1"/>
        <s v="00391480" u="1"/>
        <s v="00391481" u="1"/>
        <s v="00391482" u="1"/>
        <s v="00391483" u="1"/>
        <s v="00391484" u="1"/>
        <s v="00391485" u="1"/>
        <s v="00391486" u="1"/>
        <s v="00391487" u="1"/>
        <s v="00391488" u="1"/>
        <s v="00391489" u="1"/>
        <s v="00391490" u="1"/>
        <s v="00391491" u="1"/>
        <s v="00391492" u="1"/>
        <s v="00391493" u="1"/>
        <s v="00391494" u="1"/>
        <s v="00391495" u="1"/>
        <s v="00391496" u="1"/>
        <s v="00391497" u="1"/>
        <s v="00391498" u="1"/>
        <s v="00391499" u="1"/>
        <s v="00391500" u="1"/>
        <s v="00391501" u="1"/>
        <s v="00391502" u="1"/>
        <s v="00391503" u="1"/>
        <s v="00391504" u="1"/>
        <s v="00391505" u="1"/>
        <s v="00391506" u="1"/>
        <s v="00391507" u="1"/>
        <s v="00391508" u="1"/>
        <s v="00391509" u="1"/>
        <s v="00391510" u="1"/>
        <s v="00391511" u="1"/>
        <s v="00391512" u="1"/>
        <s v="00391513" u="1"/>
        <s v="00391514" u="1"/>
        <s v="00391515" u="1"/>
        <s v="00391516" u="1"/>
        <s v="00391517" u="1"/>
        <s v="00391518" u="1"/>
        <s v="00391519" u="1"/>
        <s v="00391520" u="1"/>
        <s v="00391521" u="1"/>
        <s v="00391522" u="1"/>
        <s v="00391523" u="1"/>
        <s v="00391524" u="1"/>
        <s v="00391525" u="1"/>
        <s v="00391526" u="1"/>
        <s v="00391527" u="1"/>
        <s v="00391528" u="1"/>
        <s v="00391529" u="1"/>
        <s v="00391530" u="1"/>
        <s v="00391531" u="1"/>
        <s v="00391532" u="1"/>
        <s v="00391533" u="1"/>
        <s v="00391534" u="1"/>
        <s v="00391535" u="1"/>
        <s v="00391536" u="1"/>
        <s v="00391537" u="1"/>
        <s v="00391538" u="1"/>
        <s v="00391539" u="1"/>
        <s v="00391540" u="1"/>
        <s v="00391541" u="1"/>
        <s v="00391542" u="1"/>
        <s v="00391543" u="1"/>
        <s v="00391544" u="1"/>
        <s v="00391545" u="1"/>
        <s v="00391546" u="1"/>
        <s v="00391547" u="1"/>
        <s v="00391548" u="1"/>
        <s v="00391549" u="1"/>
        <s v="00391550" u="1"/>
        <s v="00391551" u="1"/>
        <s v="00391552" u="1"/>
        <s v="00391553" u="1"/>
        <s v="00391554" u="1"/>
        <s v="00391555" u="1"/>
        <s v="00391556" u="1"/>
        <s v="00391557" u="1"/>
        <s v="00391558" u="1"/>
        <s v="00391559" u="1"/>
        <s v="00391560" u="1"/>
        <s v="00391561" u="1"/>
        <s v="00391562" u="1"/>
        <s v="00391563" u="1"/>
        <s v="00391564" u="1"/>
        <s v="00391565" u="1"/>
        <s v="00391566" u="1"/>
        <s v="00391567" u="1"/>
        <s v="00391568" u="1"/>
        <s v="00391569" u="1"/>
        <s v="00391570" u="1"/>
        <s v="00391571" u="1"/>
        <s v="00391572" u="1"/>
        <s v="00391573" u="1"/>
        <s v="00391574" u="1"/>
        <s v="00391575" u="1"/>
        <s v="00391576" u="1"/>
        <s v="00391577" u="1"/>
        <s v="00391578" u="1"/>
        <s v="00391579" u="1"/>
        <s v="00391580" u="1"/>
        <s v="00391581" u="1"/>
        <s v="00391582" u="1"/>
        <s v="00391583" u="1"/>
        <s v="00391584" u="1"/>
        <s v="00391585" u="1"/>
        <s v="00391586" u="1"/>
        <s v="00391587" u="1"/>
        <s v="00391588" u="1"/>
        <s v="00391589" u="1"/>
        <s v="00391590" u="1"/>
        <s v="00391591" u="1"/>
        <s v="00391592" u="1"/>
        <s v="00391593" u="1"/>
        <s v="00391594" u="1"/>
        <s v="00391595" u="1"/>
        <s v="00391596" u="1"/>
        <s v="00391597" u="1"/>
        <s v="00391598" u="1"/>
        <s v="00391599" u="1"/>
        <s v="00391600" u="1"/>
        <s v="00391601" u="1"/>
        <s v="00391602" u="1"/>
        <s v="00391603" u="1"/>
        <s v="00391604" u="1"/>
        <s v="00391605" u="1"/>
        <s v="00391606" u="1"/>
        <s v="00391607" u="1"/>
        <s v="00391608" u="1"/>
        <s v="00391609" u="1"/>
        <s v="00391610" u="1"/>
        <s v="00391611" u="1"/>
        <s v="00391612" u="1"/>
        <s v="00391613" u="1"/>
        <s v="00391614" u="1"/>
        <s v="00391615" u="1"/>
        <s v="00391616" u="1"/>
        <s v="00391617" u="1"/>
        <s v="00391618" u="1"/>
        <s v="00391619" u="1"/>
        <s v="00391620" u="1"/>
        <s v="00391621" u="1"/>
        <s v="00391622" u="1"/>
        <s v="00391623" u="1"/>
        <s v="00391624" u="1"/>
        <s v="00391625" u="1"/>
        <s v="00391626" u="1"/>
        <s v="00391627" u="1"/>
        <s v="00391628" u="1"/>
        <s v="00391629" u="1"/>
        <s v="00391630" u="1"/>
        <s v="00391631" u="1"/>
        <s v="00391632" u="1"/>
        <s v="00391633" u="1"/>
        <s v="00391634" u="1"/>
        <s v="00391635" u="1"/>
        <s v="00391636" u="1"/>
        <s v="00391637" u="1"/>
        <s v="00391638" u="1"/>
        <s v="00391639" u="1"/>
        <s v="00391640" u="1"/>
        <s v="00391641" u="1"/>
        <s v="00391642" u="1"/>
        <s v="00391643" u="1"/>
        <s v="00391644" u="1"/>
        <s v="00391645" u="1"/>
        <s v="00391646" u="1"/>
        <s v="00391647" u="1"/>
        <s v="00391648" u="1"/>
        <s v="00391649" u="1"/>
        <s v="00391650" u="1"/>
        <s v="00391651" u="1"/>
        <s v="00391652" u="1"/>
        <s v="00391653" u="1"/>
        <s v="00391654" u="1"/>
        <s v="00391655" u="1"/>
        <s v="00391656" u="1"/>
        <s v="00391657" u="1"/>
        <s v="00391658" u="1"/>
        <s v="00391659" u="1"/>
        <s v="00391660" u="1"/>
        <s v="00391661" u="1"/>
        <s v="00391662" u="1"/>
        <s v="00391663" u="1"/>
        <s v="00391664" u="1"/>
        <s v="00391665" u="1"/>
        <s v="00391666" u="1"/>
        <s v="00391667" u="1"/>
        <s v="00391668" u="1"/>
        <s v="00391669" u="1"/>
        <s v="00391670" u="1"/>
        <s v="00391671" u="1"/>
        <s v="00391672" u="1"/>
        <s v="00391673" u="1"/>
        <s v="00391674" u="1"/>
        <s v="00391675" u="1"/>
        <s v="00391676" u="1"/>
        <s v="00391677" u="1"/>
        <s v="00391678" u="1"/>
        <s v="00391679" u="1"/>
        <s v="00391680" u="1"/>
        <s v="00391681" u="1"/>
        <s v="00391682" u="1"/>
        <s v="00391683" u="1"/>
        <s v="00391684" u="1"/>
        <s v="00391685" u="1"/>
        <s v="00391686" u="1"/>
        <s v="00391687" u="1"/>
        <s v="00391688" u="1"/>
        <s v="00391689" u="1"/>
        <s v="00391690" u="1"/>
        <s v="00391691" u="1"/>
        <s v="00391692" u="1"/>
        <s v="00391693" u="1"/>
        <s v="00391694" u="1"/>
        <s v="00391695" u="1"/>
        <s v="00391696" u="1"/>
        <s v="00391697" u="1"/>
        <s v="00391698" u="1"/>
        <s v="00391699" u="1"/>
        <s v="00391700" u="1"/>
        <s v="00391701" u="1"/>
        <s v="00391702" u="1"/>
        <s v="00391703" u="1"/>
        <s v="00391704" u="1"/>
        <s v="00391705" u="1"/>
        <s v="00391706" u="1"/>
        <s v="00391707" u="1"/>
        <s v="00391708" u="1"/>
        <s v="00391709" u="1"/>
        <s v="00391710" u="1"/>
        <s v="00391711" u="1"/>
        <s v="00391712" u="1"/>
        <s v="00391713" u="1"/>
        <s v="00391714" u="1"/>
        <s v="00391715" u="1"/>
        <s v="00391716" u="1"/>
        <s v="00386505" u="1"/>
        <s v="00386506" u="1"/>
        <s v="00386507" u="1"/>
        <s v="00386508" u="1"/>
        <s v="00386509" u="1"/>
        <s v="00386510" u="1"/>
        <s v="00386511" u="1"/>
        <s v="00386512" u="1"/>
        <s v="00386513" u="1"/>
        <s v="00386514" u="1"/>
        <s v="00386515" u="1"/>
        <s v="00386516" u="1"/>
        <s v="00386517" u="1"/>
        <s v="00386518" u="1"/>
        <s v="00386519" u="1"/>
        <s v="00386520" u="1"/>
        <s v="00386521" u="1"/>
        <s v="00386522" u="1"/>
        <s v="00386523" u="1"/>
        <s v="00386524" u="1"/>
        <s v="00386525" u="1"/>
        <s v="00386526" u="1"/>
        <s v="00386527" u="1"/>
        <s v="00386528" u="1"/>
        <s v="00386529" u="1"/>
        <s v="00386530" u="1"/>
        <s v="00386531" u="1"/>
        <s v="00386532" u="1"/>
        <s v="00386533" u="1"/>
        <s v="00386534" u="1"/>
        <s v="00386535" u="1"/>
        <s v="00386536" u="1"/>
        <s v="00386537" u="1"/>
        <s v="00386538" u="1"/>
        <s v="00386539" u="1"/>
        <s v="00386540" u="1"/>
        <s v="00386541" u="1"/>
        <s v="00386542" u="1"/>
        <s v="00386543" u="1"/>
        <s v="00386544" u="1"/>
        <s v="00386545" u="1"/>
        <s v="00386546" u="1"/>
        <s v="00386547" u="1"/>
        <s v="00386548" u="1"/>
        <s v="00386549" u="1"/>
        <s v="00386550" u="1"/>
        <s v="00386551" u="1"/>
        <s v="00386552" u="1"/>
        <s v="00386553" u="1"/>
        <s v="00386554" u="1"/>
        <s v="00386555" u="1"/>
        <s v="00386556" u="1"/>
        <s v="00386557" u="1"/>
        <s v="00386558" u="1"/>
        <s v="00386559" u="1"/>
        <s v="00386560" u="1"/>
        <s v="00386561" u="1"/>
        <s v="00386562" u="1"/>
        <s v="00386563" u="1"/>
        <s v="00386564" u="1"/>
        <s v="00386565" u="1"/>
        <s v="00386566" u="1"/>
        <s v="00386567" u="1"/>
        <s v="00386568" u="1"/>
        <s v="00386569" u="1"/>
        <s v="00386570" u="1"/>
        <s v="00386571" u="1"/>
        <s v="00386572" u="1"/>
        <s v="00386573" u="1"/>
        <s v="00386574" u="1"/>
        <s v="00386575" u="1"/>
        <s v="00386576" u="1"/>
        <s v="00386577" u="1"/>
        <s v="00386578" u="1"/>
        <s v="00386579" u="1"/>
        <s v="00386580" u="1"/>
        <s v="00386581" u="1"/>
        <s v="00386582" u="1"/>
        <s v="00386583" u="1"/>
        <s v="00386584" u="1"/>
        <s v="00386585" u="1"/>
        <s v="00386586" u="1"/>
        <s v="00386587" u="1"/>
        <s v="00386588" u="1"/>
        <s v="00386589" u="1"/>
        <s v="00390755" u="1"/>
        <s v="00390756" u="1"/>
        <s v="00390757" u="1"/>
        <s v="00390758" u="1"/>
        <s v="00390759" u="1"/>
        <s v="00390760" u="1"/>
        <s v="00390761" u="1"/>
        <s v="00390762" u="1"/>
        <s v="00390763" u="1"/>
        <s v="00390764" u="1"/>
        <s v="00390765" u="1"/>
        <s v="00390766" u="1"/>
        <s v="00390767" u="1"/>
        <s v="00390768" u="1"/>
        <s v="00390769" u="1"/>
        <s v="00390770" u="1"/>
        <s v="00390771" u="1"/>
        <s v="00390772" u="1"/>
        <s v="00390773" u="1"/>
        <s v="00390774" u="1"/>
        <s v="00390775" u="1"/>
        <s v="00390776" u="1"/>
        <s v="00390777" u="1"/>
        <s v="00390778" u="1"/>
        <s v="00390779" u="1"/>
        <s v="00390780" u="1"/>
        <s v="00390781" u="1"/>
        <s v="00390782" u="1"/>
        <s v="00390783" u="1"/>
        <s v="00390784" u="1"/>
        <s v="00390785" u="1"/>
        <s v="00390786" u="1"/>
        <s v="00390787" u="1"/>
        <s v="00390788" u="1"/>
        <s v="00390789" u="1"/>
        <s v="00390790" u="1"/>
        <s v="00390791" u="1"/>
        <s v="00390792" u="1"/>
        <s v="00390793" u="1"/>
        <s v="00390794" u="1"/>
        <s v="00390795" u="1"/>
        <s v="00390796" u="1"/>
        <s v="00390797" u="1"/>
        <s v="00390798" u="1"/>
        <s v="00390799" u="1"/>
        <s v="00390800" u="1"/>
        <s v="00390801" u="1"/>
        <s v="00390802" u="1"/>
        <s v="00390803" u="1"/>
        <s v="00390804" u="1"/>
        <s v="00390805" u="1"/>
        <s v="00390806" u="1"/>
        <s v="00390807" u="1"/>
        <s v="00390808" u="1"/>
        <s v="00390809" u="1"/>
        <s v="00390810" u="1"/>
        <s v="00390811" u="1"/>
        <s v="00390812" u="1"/>
        <s v="00390813" u="1"/>
        <s v="00390814" u="1"/>
        <s v="00390815" u="1"/>
        <s v="00390816" u="1"/>
        <s v="00390817" u="1"/>
        <s v="00390818" u="1"/>
        <s v="00390819" u="1"/>
        <s v="00390820" u="1"/>
        <s v="00390821" u="1"/>
        <s v="00390822" u="1"/>
        <s v="00390823" u="1"/>
        <s v="00390824" u="1"/>
        <s v="00390825" u="1"/>
        <s v="00390826" u="1"/>
        <s v="00390827" u="1"/>
        <s v="00390828" u="1"/>
        <s v="00390680" u="1"/>
        <s v="00390681" u="1"/>
        <s v="00390682" u="1"/>
        <s v="00390683" u="1"/>
        <s v="00390684" u="1"/>
        <s v="00390685" u="1"/>
        <s v="00390686" u="1"/>
        <s v="00390687" u="1"/>
        <s v="00390688" u="1"/>
        <s v="00390689" u="1"/>
        <s v="00390690" u="1"/>
        <s v="00390691" u="1"/>
        <s v="00390692" u="1"/>
        <s v="00390693" u="1"/>
        <s v="00390694" u="1"/>
        <s v="00390695" u="1"/>
        <s v="00390696" u="1"/>
        <s v="00390697" u="1"/>
        <s v="00390698" u="1"/>
        <s v="00390699" u="1"/>
        <s v="00390700" u="1"/>
        <s v="00390701" u="1"/>
        <s v="00390702" u="1"/>
        <s v="00390703" u="1"/>
        <s v="00390704" u="1"/>
        <s v="00390705" u="1"/>
        <s v="00390706" u="1"/>
        <s v="00390707" u="1"/>
        <s v="00390708" u="1"/>
        <s v="00390709" u="1"/>
        <s v="00390710" u="1"/>
        <s v="00390711" u="1"/>
        <s v="00390712" u="1"/>
        <s v="00390713" u="1"/>
        <s v="00390714" u="1"/>
        <s v="00390715" u="1"/>
        <s v="00390716" u="1"/>
        <s v="00390717" u="1"/>
        <s v="00390718" u="1"/>
        <s v="00390719" u="1"/>
        <s v="00390720" u="1"/>
        <s v="00390721" u="1"/>
        <s v="00390722" u="1"/>
        <s v="00390723" u="1"/>
        <s v="00390724" u="1"/>
        <s v="00390725" u="1"/>
        <s v="00390726" u="1"/>
        <s v="00390727" u="1"/>
        <s v="00390728" u="1"/>
        <s v="00390729" u="1"/>
        <s v="00390730" u="1"/>
        <s v="00390731" u="1"/>
        <s v="00390732" u="1"/>
        <s v="00390733" u="1"/>
        <s v="00390734" u="1"/>
        <s v="00390735" u="1"/>
        <s v="00390736" u="1"/>
        <s v="00390737" u="1"/>
        <s v="00390738" u="1"/>
        <s v="00390739" u="1"/>
        <s v="00390740" u="1"/>
        <s v="00390741" u="1"/>
        <s v="00386395" u="1"/>
        <s v="00386396" u="1"/>
        <s v="00386397" u="1"/>
        <s v="00386398" u="1"/>
        <s v="00386399" u="1"/>
        <s v="00386400" u="1"/>
        <s v="00386401" u="1"/>
        <s v="00386402" u="1"/>
        <s v="00386403" u="1"/>
        <s v="00386404" u="1"/>
        <s v="00386405" u="1"/>
        <s v="00386406" u="1"/>
        <s v="00386407" u="1"/>
        <s v="00386408" u="1"/>
        <s v="00386409" u="1"/>
        <s v="00386410" u="1"/>
        <s v="00386411" u="1"/>
        <s v="00386412" u="1"/>
        <s v="00386413" u="1"/>
        <s v="00386414" u="1"/>
        <s v="00386415" u="1"/>
        <s v="00386416" u="1"/>
        <s v="00386417" u="1"/>
        <s v="00386418" u="1"/>
        <s v="00386419" u="1"/>
        <s v="00386420" u="1"/>
        <s v="00386421" u="1"/>
        <s v="00386422" u="1"/>
        <s v="00386423" u="1"/>
        <s v="00386424" u="1"/>
        <s v="00386425" u="1"/>
        <s v="00386426" u="1"/>
        <s v="00386427" u="1"/>
        <s v="00386428" u="1"/>
        <s v="00386429" u="1"/>
        <s v="00386430" u="1"/>
        <s v="00386431" u="1"/>
        <s v="00386432" u="1"/>
        <s v="00390385" u="1"/>
        <s v="00390386" u="1"/>
        <s v="00390387" u="1"/>
        <s v="00390388" u="1"/>
        <s v="00390389" u="1"/>
        <s v="00390390" u="1"/>
        <s v="00390391" u="1"/>
        <s v="00390392" u="1"/>
        <s v="00390393" u="1"/>
        <s v="00390394" u="1"/>
        <s v="00390395" u="1"/>
        <s v="00390396" u="1"/>
        <s v="00390397" u="1"/>
        <s v="00390398" u="1"/>
        <s v="00390399" u="1"/>
        <s v="00390400" u="1"/>
        <s v="00390401" u="1"/>
        <s v="00390402" u="1"/>
        <s v="00390403" u="1"/>
        <s v="00390404" u="1"/>
        <s v="00390405" u="1"/>
        <s v="00390406" u="1"/>
        <s v="00390407" u="1"/>
        <s v="00390408" u="1"/>
        <s v="00390409" u="1"/>
        <s v="00390410" u="1"/>
        <s v="00390411" u="1"/>
        <s v="00390412" u="1"/>
        <s v="00390413" u="1"/>
        <s v="00390414" u="1"/>
        <s v="00390415" u="1"/>
        <s v="00390416" u="1"/>
        <s v="00390417" u="1"/>
        <s v="00390418" u="1"/>
        <s v="00390419" u="1"/>
        <s v="00390420" u="1"/>
        <s v="00390421" u="1"/>
        <s v="00390422" u="1"/>
        <s v="00390423" u="1"/>
        <s v="00390424" u="1"/>
        <s v="00390425" u="1"/>
        <s v="00390426" u="1"/>
        <s v="00390427" u="1"/>
        <s v="00390428" u="1"/>
        <s v="00390429" u="1"/>
        <s v="00390430" u="1"/>
        <s v="00390431" u="1"/>
        <s v="00390432" u="1"/>
        <s v="00390433" u="1"/>
        <s v="00390434" u="1"/>
        <s v="00390435" u="1"/>
        <s v="00390436" u="1"/>
        <s v="00390437" u="1"/>
        <s v="00390438" u="1"/>
        <s v="00390439" u="1"/>
        <s v="00390440" u="1"/>
        <s v="00390441" u="1"/>
        <s v="00390442" u="1"/>
        <s v="00390443" u="1"/>
        <s v="00390444" u="1"/>
        <s v="00387478" u="1"/>
        <s v="00387479" u="1"/>
        <s v="00387480" u="1"/>
        <s v="00387481" u="1"/>
        <s v="00387482" u="1"/>
        <s v="00387483" u="1"/>
        <s v="00387484" u="1"/>
        <s v="00387485" u="1"/>
        <s v="00387486" u="1"/>
        <s v="00387487" u="1"/>
        <s v="00387488" u="1"/>
        <s v="00387489" u="1"/>
        <s v="00387490" u="1"/>
        <s v="00387491" u="1"/>
        <s v="00387492" u="1"/>
        <s v="00387493" u="1"/>
        <s v="00387494" u="1"/>
        <s v="00387495" u="1"/>
        <s v="00387496" u="1"/>
        <s v="00387497" u="1"/>
        <s v="00387498" u="1"/>
        <s v="00387499" u="1"/>
        <s v="00387500" u="1"/>
        <s v="00387501" u="1"/>
        <s v="00387502" u="1"/>
        <s v="00387503" u="1"/>
        <s v="00387504" u="1"/>
        <s v="00387505" u="1"/>
        <s v="00387506" u="1"/>
        <s v="00387507" u="1"/>
        <s v="00387508" u="1"/>
        <s v="00387509" u="1"/>
        <s v="00387510" u="1"/>
        <s v="00387511" u="1"/>
        <s v="00387512" u="1"/>
        <s v="00387513" u="1"/>
        <s v="00387514" u="1"/>
        <s v="00387515" u="1"/>
        <s v="00387516" u="1"/>
        <s v="00387517" u="1"/>
        <s v="00387518" u="1"/>
        <s v="00387519" u="1"/>
        <s v="00387520" u="1"/>
        <s v="00387521" u="1"/>
        <s v="00387522" u="1"/>
        <s v="00387523" u="1"/>
        <s v="00387524" u="1"/>
        <s v="00387525" u="1"/>
        <s v="00387526" u="1"/>
        <s v="00387527" u="1"/>
        <s v="00387528" u="1"/>
        <s v="00387529" u="1"/>
        <s v="00387530" u="1"/>
        <s v="00387531" u="1"/>
        <s v="00387532" u="1"/>
        <s v="00387533" u="1"/>
        <s v="00387534" u="1"/>
        <s v="00387535" u="1"/>
        <s v="00387536" u="1"/>
        <s v="00387537" u="1"/>
        <s v="00387538" u="1"/>
        <s v="00387539" u="1"/>
        <s v="00387540" u="1"/>
        <s v="00387541" u="1"/>
        <s v="00387542" u="1"/>
        <s v="00387543" u="1"/>
        <s v="00387544" u="1"/>
        <s v="00387545" u="1"/>
        <s v="00387546" u="1"/>
        <s v="00387547" u="1"/>
        <s v="00387548" u="1"/>
        <s v="00387549" u="1"/>
        <s v="00387550" u="1"/>
        <s v="00387551" u="1"/>
        <s v="00387552" u="1"/>
        <s v="00387553" u="1"/>
        <s v="00387554" u="1"/>
        <s v="00387555" u="1"/>
        <s v="00387556" u="1"/>
        <s v="00387557" u="1"/>
        <s v="00387558" u="1"/>
        <s v="00387559" u="1"/>
        <s v="00387560" u="1"/>
        <s v="00387561" u="1"/>
        <s v="00387562" u="1"/>
        <s v="00387563" u="1"/>
        <s v="00387564" u="1"/>
        <s v="00387565" u="1"/>
        <s v="00387566" u="1"/>
        <s v="00387567" u="1"/>
        <s v="00387568" u="1"/>
        <s v="00387569" u="1"/>
        <s v="00387570" u="1"/>
        <s v="00387571" u="1"/>
        <s v="00387572" u="1"/>
        <s v="00387573" u="1"/>
        <s v="00387574" u="1"/>
        <s v="00387575" u="1"/>
        <s v="00387576" u="1"/>
        <s v="00387577" u="1"/>
        <s v="00387578" u="1"/>
        <s v="00387579" u="1"/>
        <s v="00387580" u="1"/>
        <s v="00387581" u="1"/>
        <s v="00387582" u="1"/>
        <s v="00387583" u="1"/>
        <s v="00387584" u="1"/>
        <s v="00387585" u="1"/>
        <s v="00387586" u="1"/>
        <s v="00387587" u="1"/>
        <s v="00387588" u="1"/>
        <s v="00387589" u="1"/>
        <s v="00387590" u="1"/>
        <s v="00387591" u="1"/>
        <s v="00387592" u="1"/>
        <s v="00387593" u="1"/>
        <s v="00387594" u="1"/>
        <s v="00387595" u="1"/>
        <s v="00387596" u="1"/>
        <s v="00387597" u="1"/>
        <s v="00387598" u="1"/>
        <s v="00387599" u="1"/>
        <s v="00387600" u="1"/>
        <s v="00387601" u="1"/>
        <s v="00387602" u="1"/>
        <s v="00387603" u="1"/>
        <s v="00387604" u="1"/>
        <s v="00387605" u="1"/>
        <s v="00387606" u="1"/>
        <s v="00387607" u="1"/>
        <s v="00387608" u="1"/>
        <s v="00387609" u="1"/>
        <s v="00387610" u="1"/>
        <s v="00387611" u="1"/>
        <s v="00387612" u="1"/>
        <s v="00387613" u="1"/>
        <s v="00387614" u="1"/>
        <s v="00387615" u="1"/>
        <s v="00387616" u="1"/>
        <s v="00387617" u="1"/>
        <s v="00387618" u="1"/>
        <s v="00387619" u="1"/>
        <s v="00387620" u="1"/>
        <s v="00387621" u="1"/>
        <s v="00387622" u="1"/>
        <s v="00387623" u="1"/>
        <s v="00387624" u="1"/>
        <s v="00387625" u="1"/>
        <s v="00387626" u="1"/>
        <s v="00387627" u="1"/>
        <s v="00387628" u="1"/>
        <s v="00387629" u="1"/>
        <s v="00387630" u="1"/>
        <s v="00387631" u="1"/>
        <s v="00387632" u="1"/>
        <s v="00387633" u="1"/>
        <s v="00387634" u="1"/>
        <s v="00387635" u="1"/>
        <s v="00387636" u="1"/>
        <s v="00387637" u="1"/>
        <s v="00387638" u="1"/>
        <s v="00387639" u="1"/>
        <s v="00387640" u="1"/>
        <s v="00387641" u="1"/>
        <s v="00387642" u="1"/>
        <s v="00387643" u="1"/>
        <s v="00387644" u="1"/>
        <s v="00387645" u="1"/>
        <s v="00387646" u="1"/>
        <s v="00387647" u="1"/>
        <s v="00387648" u="1"/>
        <s v="00387649" u="1"/>
        <s v="00387650" u="1"/>
        <s v="00387651" u="1"/>
        <s v="00387652" u="1"/>
        <s v="00387653" u="1"/>
        <s v="00387654" u="1"/>
        <s v="00387655" u="1"/>
        <s v="00387656" u="1"/>
        <s v="00387657" u="1"/>
        <s v="00387658" u="1"/>
        <s v="00387659" u="1"/>
        <s v="00387660" u="1"/>
        <s v="00387661" u="1"/>
        <s v="00387662" u="1"/>
        <s v="00387663" u="1"/>
        <s v="00387664" u="1"/>
        <s v="00387665" u="1"/>
        <s v="00387666" u="1"/>
        <s v="00387667" u="1"/>
        <s v="00387668" u="1"/>
        <s v="00387669" u="1"/>
        <s v="00387670" u="1"/>
        <s v="00387671" u="1"/>
        <s v="00387672" u="1"/>
        <s v="00387673" u="1"/>
        <s v="00387674" u="1"/>
        <s v="00387675" u="1"/>
        <s v="00387676" u="1"/>
        <s v="00387677" u="1"/>
        <s v="00387678" u="1"/>
        <s v="00387679" u="1"/>
        <s v="00387680" u="1"/>
        <s v="00387681" u="1"/>
        <s v="00387682" u="1"/>
        <s v="00387683" u="1"/>
        <s v="00387684" u="1"/>
        <s v="00387685" u="1"/>
        <s v="00387686" u="1"/>
        <s v="00387687" u="1"/>
        <s v="00387688" u="1"/>
        <s v="00387689" u="1"/>
        <s v="00387690" u="1"/>
        <s v="00387691" u="1"/>
        <s v="00387692" u="1"/>
        <s v="00387693" u="1"/>
        <s v="00387694" u="1"/>
        <s v="00387695" u="1"/>
        <s v="00387696" u="1"/>
        <s v="00387697" u="1"/>
        <s v="00387698" u="1"/>
        <s v="00387699" u="1"/>
        <s v="00387700" u="1"/>
        <s v="00387701" u="1"/>
        <s v="00387702" u="1"/>
        <s v="00387703" u="1"/>
        <s v="00387704" u="1"/>
        <s v="00387705" u="1"/>
        <s v="00387706" u="1"/>
        <s v="00387707" u="1"/>
        <s v="00387708" u="1"/>
        <s v="00387709" u="1"/>
        <s v="00387710" u="1"/>
        <s v="00387711" u="1"/>
        <s v="00387712" u="1"/>
        <s v="00387713" u="1"/>
        <s v="00387714" u="1"/>
        <s v="00387715" u="1"/>
        <s v="00387716" u="1"/>
        <s v="00387717" u="1"/>
        <s v="00387718" u="1"/>
        <s v="00387719" u="1"/>
        <s v="00387720" u="1"/>
        <s v="00387721" u="1"/>
        <s v="00387722" u="1"/>
        <s v="00387723" u="1"/>
        <s v="00387724" u="1"/>
        <s v="00387725" u="1"/>
        <s v="00387726" u="1"/>
        <s v="00387727" u="1"/>
        <s v="00387728" u="1"/>
        <s v="00387729" u="1"/>
        <s v="00387730" u="1"/>
        <s v="00387731" u="1"/>
        <s v="00387732" u="1"/>
        <s v="00387733" u="1"/>
        <s v="00387734" u="1"/>
        <s v="00387735" u="1"/>
        <s v="00387736" u="1"/>
        <s v="00387737" u="1"/>
        <s v="00387738" u="1"/>
        <s v="00387739" u="1"/>
        <s v="00387740" u="1"/>
        <s v="00387741" u="1"/>
        <s v="00387742" u="1"/>
        <s v="00387743" u="1"/>
        <s v="00387744" u="1"/>
        <s v="00387745" u="1"/>
        <s v="00387746" u="1"/>
        <s v="00387747" u="1"/>
        <s v="00387748" u="1"/>
        <s v="00387749" u="1"/>
        <s v="00387750" u="1"/>
        <s v="00387751" u="1"/>
        <s v="00387752" u="1"/>
        <s v="00387753" u="1"/>
        <s v="00387754" u="1"/>
        <s v="00387755" u="1"/>
        <s v="00387756" u="1"/>
        <s v="00387757" u="1"/>
        <s v="00387758" u="1"/>
        <s v="00387759" u="1"/>
        <s v="00387760" u="1"/>
        <s v="00387761" u="1"/>
        <s v="00387762" u="1"/>
        <s v="00387763" u="1"/>
        <s v="00387764" u="1"/>
        <s v="00387765" u="1"/>
        <s v="00387766" u="1"/>
        <s v="00387767" u="1"/>
        <s v="00387768" u="1"/>
        <s v="00387769" u="1"/>
        <s v="00387770" u="1"/>
        <s v="00387771" u="1"/>
        <s v="00387772" u="1"/>
        <s v="00387773" u="1"/>
        <s v="00387774" u="1"/>
        <s v="00387775" u="1"/>
        <s v="00387776" u="1"/>
        <s v="00387777" u="1"/>
        <s v="00387778" u="1"/>
        <s v="00387779" u="1"/>
        <s v="00387780" u="1"/>
        <s v="00387781" u="1"/>
        <s v="00387782" u="1"/>
        <s v="00387783" u="1"/>
        <s v="00387784" u="1"/>
        <s v="00387785" u="1"/>
        <s v="00387786" u="1"/>
        <s v="00387787" u="1"/>
        <s v="00387788" u="1"/>
        <s v="00387789" u="1"/>
        <s v="00387790" u="1"/>
        <s v="00387791" u="1"/>
        <s v="00387792" u="1"/>
        <s v="00387793" u="1"/>
        <s v="00387794" u="1"/>
        <s v="00387795" u="1"/>
        <s v="00387796" u="1"/>
        <s v="00387797" u="1"/>
        <s v="00387798" u="1"/>
        <s v="00387799" u="1"/>
        <s v="00387800" u="1"/>
        <s v="00387801" u="1"/>
        <s v="00387802" u="1"/>
        <s v="00387803" u="1"/>
        <s v="00387804" u="1"/>
        <s v="00387805" u="1"/>
        <s v="00389694" u="1"/>
        <s v="00389695" u="1"/>
        <s v="00389696" u="1"/>
        <s v="00389697" u="1"/>
        <s v="00389698" u="1"/>
        <s v="00389699" u="1"/>
        <s v="00389700" u="1"/>
        <s v="00389701" u="1"/>
        <s v="00389702" u="1"/>
        <s v="00389703" u="1"/>
        <s v="00389704" u="1"/>
        <s v="00389705" u="1"/>
        <s v="00389706" u="1"/>
        <s v="00389707" u="1"/>
        <s v="00389708" u="1"/>
        <s v="00389709" u="1"/>
        <s v="00389710" u="1"/>
        <s v="00389711" u="1"/>
        <s v="00389712" u="1"/>
        <s v="00389713" u="1"/>
        <s v="00389714" u="1"/>
        <s v="00389715" u="1"/>
        <s v="00389716" u="1"/>
        <s v="00389717" u="1"/>
        <s v="00389718" u="1"/>
        <s v="00389719" u="1"/>
        <s v="00389720" u="1"/>
        <s v="00389721" u="1"/>
        <s v="00389722" u="1"/>
        <s v="00389723" u="1"/>
        <s v="00389724" u="1"/>
        <s v="00389725" u="1"/>
        <s v="00389726" u="1"/>
        <s v="00389727" u="1"/>
        <s v="00389728" u="1"/>
        <s v="00389729" u="1"/>
        <s v="00389730" u="1"/>
        <s v="00389731" u="1"/>
        <s v="00389732" u="1"/>
        <s v="00389733" u="1"/>
        <s v="00389734" u="1"/>
        <s v="00389735" u="1"/>
        <s v="00389736" u="1"/>
        <s v="00389737" u="1"/>
        <s v="00389738" u="1"/>
        <s v="00389739" u="1"/>
        <s v="00389740" u="1"/>
        <s v="00389741" u="1"/>
        <s v="00389742" u="1"/>
        <s v="00389743" u="1"/>
        <s v="00389744" u="1"/>
        <s v="00389745" u="1"/>
        <s v="00389746" u="1"/>
        <s v="00389747" u="1"/>
        <s v="00389748" u="1"/>
        <s v="00389749" u="1"/>
        <s v="00389750" u="1"/>
        <s v="00389751" u="1"/>
        <s v="00389752" u="1"/>
        <s v="00389753" u="1"/>
        <s v="00389754" u="1"/>
        <s v="00389755" u="1"/>
        <s v="00389756" u="1"/>
        <s v="00389757" u="1"/>
        <s v="00389758" u="1"/>
        <s v="00389759" u="1"/>
        <s v="00389760" u="1"/>
        <s v="00389761" u="1"/>
        <s v="00389762" u="1"/>
        <s v="00389763" u="1"/>
        <s v="00389764" u="1"/>
        <s v="00389765" u="1"/>
        <s v="00389766" u="1"/>
        <s v="00389767" u="1"/>
        <s v="00389768" u="1"/>
        <s v="00389769" u="1"/>
        <s v="00389770" u="1"/>
        <s v="00389771" u="1"/>
        <s v="00389772" u="1"/>
        <s v="00389773" u="1"/>
        <s v="00389774" u="1"/>
        <s v="00389775" u="1"/>
        <s v="00389776" u="1"/>
        <s v="00389777" u="1"/>
        <s v="00389778" u="1"/>
        <s v="00389779" u="1"/>
        <s v="00389780" u="1"/>
        <s v="00389781" u="1"/>
        <s v="00389782" u="1"/>
        <s v="00389783" u="1"/>
        <s v="00389784" u="1"/>
        <s v="00389785" u="1"/>
        <s v="00389786" u="1"/>
        <s v="00389787" u="1"/>
        <s v="00389788" u="1"/>
        <s v="00389789" u="1"/>
        <s v="00389790" u="1"/>
        <s v="00389791" u="1"/>
        <s v="00389792" u="1"/>
        <s v="00389793" u="1"/>
        <s v="00389794" u="1"/>
        <s v="00389795" u="1"/>
        <s v="00389796" u="1"/>
        <s v="00389797" u="1"/>
        <s v="00389798" u="1"/>
        <s v="00389799" u="1"/>
        <s v="00389800" u="1"/>
        <s v="00389801" u="1"/>
        <s v="00389802" u="1"/>
        <s v="00389803" u="1"/>
        <s v="00389804" u="1"/>
        <s v="00390013" u="1"/>
        <s v="00390014" u="1"/>
        <s v="00390015" u="1"/>
        <s v="00390016" u="1"/>
        <s v="00390017" u="1"/>
        <s v="00390018" u="1"/>
        <s v="00390019" u="1"/>
        <s v="00390020" u="1"/>
        <s v="00390021" u="1"/>
        <s v="00390022" u="1"/>
        <s v="00390023" u="1"/>
        <s v="00390024" u="1"/>
        <s v="00390025" u="1"/>
        <s v="00390026" u="1"/>
        <s v="00390027" u="1"/>
        <s v="00390028" u="1"/>
        <s v="00390029" u="1"/>
        <s v="00390030" u="1"/>
        <s v="00390031" u="1"/>
        <s v="00390032" u="1"/>
        <s v="00390033" u="1"/>
        <s v="00390034" u="1"/>
        <s v="00390035" u="1"/>
        <s v="00390036" u="1"/>
        <s v="00390037" u="1"/>
        <s v="00390038" u="1"/>
        <s v="00390039" u="1"/>
        <s v="00390040" u="1"/>
        <s v="00390041" u="1"/>
        <s v="00390042" u="1"/>
        <s v="00390043" u="1"/>
        <s v="00390044" u="1"/>
        <s v="00390045" u="1"/>
        <s v="00390046" u="1"/>
        <s v="00390047" u="1"/>
        <s v="00390048" u="1"/>
        <s v="00390049" u="1"/>
        <s v="00390050" u="1"/>
        <s v="00390051" u="1"/>
        <s v="00390052" u="1"/>
        <s v="00390053" u="1"/>
        <s v="00390054" u="1"/>
        <s v="00390055" u="1"/>
        <s v="00390056" u="1"/>
        <s v="00390057" u="1"/>
        <s v="00390058" u="1"/>
        <s v="00390059" u="1"/>
        <s v="00390060" u="1"/>
        <s v="00390061" u="1"/>
        <s v="00390062" u="1"/>
        <s v="00390063" u="1"/>
        <s v="00390064" u="1"/>
        <s v="00390065" u="1"/>
        <s v="00390066" u="1"/>
        <s v="00390067" u="1"/>
        <s v="00390068" u="1"/>
        <s v="00390069" u="1"/>
        <s v="00390070" u="1"/>
        <s v="00390071" u="1"/>
        <s v="00390072" u="1"/>
        <s v="00390073" u="1"/>
        <s v="00390074" u="1"/>
        <s v="00390077" u="1"/>
        <s v="00390078" u="1"/>
        <s v="00390079" u="1"/>
        <s v="00390080" u="1"/>
        <s v="00390081" u="1"/>
        <s v="00390082" u="1"/>
        <s v="00390083" u="1"/>
        <s v="00390084" u="1"/>
        <s v="00390085" u="1"/>
        <s v="00390086" u="1"/>
        <s v="00390087" u="1"/>
        <s v="00390088" u="1"/>
        <s v="00390319" u="1"/>
        <s v="00390320" u="1"/>
        <s v="00390321" u="1"/>
        <s v="00390322" u="1"/>
        <s v="00390323" u="1"/>
        <s v="00390324" u="1"/>
        <s v="00390325" u="1"/>
        <s v="00390326" u="1"/>
        <s v="00390327" u="1"/>
        <s v="00390328" u="1"/>
        <s v="00390329" u="1"/>
        <s v="00390330" u="1"/>
        <s v="00390331" u="1"/>
        <s v="00390332" u="1"/>
        <s v="00390333" u="1"/>
        <s v="00390334" u="1"/>
        <s v="00390335" u="1"/>
        <s v="00390336" u="1"/>
        <s v="00390337" u="1"/>
        <s v="00390338" u="1"/>
        <s v="00390339" u="1"/>
        <s v="00390340" u="1"/>
        <s v="00390341" u="1"/>
        <s v="00390342" u="1"/>
        <s v="00390343" u="1"/>
        <s v="00390344" u="1"/>
        <s v="00390345" u="1"/>
        <s v="00390346" u="1"/>
        <s v="00390347" u="1"/>
        <s v="00390348" u="1"/>
        <s v="00390349" u="1"/>
        <s v="00390350" u="1"/>
        <s v="00390351" u="1"/>
        <s v="00390352" u="1"/>
        <s v="00390353" u="1"/>
        <s v="00390354" u="1"/>
        <s v="00390355" u="1"/>
        <s v="00390356" u="1"/>
        <s v="00390357" u="1"/>
        <s v="00390358" u="1"/>
        <s v="00390359" u="1"/>
        <s v="00390360" u="1"/>
        <s v="00390361" u="1"/>
        <s v="00390362" u="1"/>
        <s v="00390363" u="1"/>
        <s v="00390364" u="1"/>
        <s v="00390365" u="1"/>
        <s v="00390366" u="1"/>
        <s v="00390367" u="1"/>
        <s v="00390368" u="1"/>
        <s v="00390369" u="1"/>
        <s v="00390370" u="1"/>
        <s v="00390371" u="1"/>
        <s v="00390372" u="1"/>
        <s v="00390373" u="1"/>
        <s v="00390374" u="1"/>
        <s v="00390375" u="1"/>
        <s v="00390376" u="1"/>
        <s v="00390377" u="1"/>
        <s v="00390378" u="1"/>
        <s v="00390379" u="1"/>
        <s v="00390380" u="1"/>
        <s v="00390381" u="1"/>
        <s v="00389147" u="1"/>
        <s v="00389148" u="1"/>
        <s v="00389149" u="1"/>
        <s v="00389150" u="1"/>
        <s v="00389151" u="1"/>
        <s v="00389152" u="1"/>
        <s v="00389153" u="1"/>
        <s v="00389154" u="1"/>
        <s v="00389155" u="1"/>
        <s v="00389156" u="1"/>
        <s v="00389157" u="1"/>
        <s v="00389158" u="1"/>
        <s v="00389159" u="1"/>
        <s v="00389160" u="1"/>
        <s v="00389161" u="1"/>
        <s v="00389162" u="1"/>
        <s v="00389163" u="1"/>
        <s v="00389164" u="1"/>
        <s v="00389165" u="1"/>
        <s v="00389166" u="1"/>
        <s v="00389167" u="1"/>
        <s v="00389168" u="1"/>
        <s v="00389169" u="1"/>
        <s v="00389170" u="1"/>
        <s v="00389171" u="1"/>
        <s v="00389172" u="1"/>
        <s v="00389173" u="1"/>
        <s v="00389174" u="1"/>
        <s v="00389175" u="1"/>
        <s v="00389176" u="1"/>
        <s v="00389177" u="1"/>
        <s v="00389178" u="1"/>
        <s v="00389179" u="1"/>
        <s v="00389180" u="1"/>
        <s v="00389181" u="1"/>
        <s v="00389182" u="1"/>
        <s v="00389183" u="1"/>
        <s v="00389184" u="1"/>
        <s v="00389185" u="1"/>
        <s v="00389186" u="1"/>
        <s v="00389187" u="1"/>
        <s v="00389188" u="1"/>
        <s v="00389189" u="1"/>
        <s v="00389190" u="1"/>
        <s v="00389191" u="1"/>
        <s v="00389192" u="1"/>
        <s v="00389193" u="1"/>
        <s v="00389194" u="1"/>
        <s v="00389195" u="1"/>
        <s v="00389196" u="1"/>
        <s v="00389197" u="1"/>
        <s v="00389198" u="1"/>
        <s v="00389199" u="1"/>
        <s v="00389200" u="1"/>
        <s v="00389201" u="1"/>
        <s v="00389202" u="1"/>
        <s v="00389203" u="1"/>
        <s v="00389204" u="1"/>
        <s v="00389205" u="1"/>
        <s v="00389206" u="1"/>
        <s v="00389207" u="1"/>
        <s v="00389208" u="1"/>
        <s v="00389209" u="1"/>
        <s v="00389210" u="1"/>
        <s v="00389211" u="1"/>
        <s v="00389212" u="1"/>
        <s v="00389213" u="1"/>
        <s v="00389214" u="1"/>
        <s v="00389215" u="1"/>
        <s v="00389216" u="1"/>
        <s v="00389217" u="1"/>
        <s v="00389218" u="1"/>
        <s v="00389219" u="1"/>
        <s v="00389220" u="1"/>
        <s v="00389221" u="1"/>
        <s v="00389222" u="1"/>
        <s v="00389223" u="1"/>
        <s v="00389224" u="1"/>
        <s v="00389225" u="1"/>
        <s v="00389226" u="1"/>
        <s v="00389227" u="1"/>
        <s v="00389228" u="1"/>
        <s v="00389229" u="1"/>
        <s v="00389230" u="1"/>
        <s v="00389231" u="1"/>
        <s v="00389232" u="1"/>
        <s v="00389233" u="1"/>
        <s v="00389234" u="1"/>
        <s v="00389235" u="1"/>
        <s v="00389236" u="1"/>
        <s v="00389237" u="1"/>
        <s v="00389238" u="1"/>
        <s v="00389239" u="1"/>
        <s v="00389240" u="1"/>
        <s v="00389241" u="1"/>
        <s v="00389242" u="1"/>
        <s v="00389243" u="1"/>
        <s v="00389244" u="1"/>
        <s v="00389245" u="1"/>
        <s v="00389246" u="1"/>
        <s v="00389247" u="1"/>
        <s v="00389248" u="1"/>
        <s v="00389249" u="1"/>
        <s v="00389250" u="1"/>
        <s v="00389251" u="1"/>
        <s v="00389252" u="1"/>
        <s v="00389253" u="1"/>
        <s v="00389254" u="1"/>
        <s v="00389255" u="1"/>
        <s v="00389256" u="1"/>
        <s v="00389257" u="1"/>
        <s v="00389258" u="1"/>
        <s v="00389259" u="1"/>
        <s v="00389260" u="1"/>
        <s v="00389261" u="1"/>
        <s v="00389262" u="1"/>
        <s v="00389263" u="1"/>
        <s v="00389264" u="1"/>
        <s v="00389265" u="1"/>
        <s v="00389266" u="1"/>
        <s v="00389267" u="1"/>
        <s v="00389268" u="1"/>
        <s v="00389269" u="1"/>
        <s v="00389270" u="1"/>
        <s v="00389271" u="1"/>
        <s v="00389272" u="1"/>
        <s v="00389273" u="1"/>
        <s v="00389274" u="1"/>
        <s v="00389275" u="1"/>
        <s v="00389276" u="1"/>
        <s v="00389277" u="1"/>
        <s v="00389278" u="1"/>
        <s v="00389279" u="1"/>
        <s v="00389280" u="1"/>
        <s v="00389281" u="1"/>
        <s v="00389282" u="1"/>
        <s v="00389283" u="1"/>
        <s v="00389284" u="1"/>
        <s v="00389285" u="1"/>
        <s v="00389286" u="1"/>
        <s v="00389287" u="1"/>
        <s v="00389288" u="1"/>
        <s v="00389289" u="1"/>
        <s v="00389290" u="1"/>
        <s v="00389291" u="1"/>
        <s v="00389292" u="1"/>
        <s v="00389293" u="1"/>
        <s v="00389294" u="1"/>
        <s v="00389295" u="1"/>
        <s v="00389296" u="1"/>
        <s v="00389297" u="1"/>
        <s v="00389298" u="1"/>
        <s v="00389299" u="1"/>
        <s v="00389300" u="1"/>
        <s v="00389301" u="1"/>
        <s v="00389302" u="1"/>
        <s v="00389303" u="1"/>
        <s v="00389304" u="1"/>
        <s v="00389305" u="1"/>
        <s v="00389306" u="1"/>
        <s v="00389307" u="1"/>
        <s v="00389308" u="1"/>
        <s v="00389309" u="1"/>
        <s v="00389310" u="1"/>
        <s v="00389311" u="1"/>
        <s v="00389312" u="1"/>
        <s v="00389313" u="1"/>
        <s v="00389314" u="1"/>
        <s v="00389315" u="1"/>
        <s v="00389316" u="1"/>
        <s v="00389317" u="1"/>
        <s v="00389318" u="1"/>
        <s v="00389319" u="1"/>
        <s v="00389320" u="1"/>
        <s v="00389321" u="1"/>
        <s v="00389322" u="1"/>
        <s v="00389323" u="1"/>
        <s v="00389324" u="1"/>
        <s v="00389325" u="1"/>
        <s v="00389326" u="1"/>
        <s v="00389327" u="1"/>
        <s v="00389328" u="1"/>
        <s v="00389329" u="1"/>
        <s v="00389330" u="1"/>
        <s v="00389331" u="1"/>
        <s v="00389332" u="1"/>
        <s v="00389333" u="1"/>
        <s v="00389334" u="1"/>
        <s v="00389335" u="1"/>
        <s v="00389336" u="1"/>
        <s v="00389337" u="1"/>
        <s v="00389338" u="1"/>
        <s v="00389339" u="1"/>
        <s v="00389340" u="1"/>
        <s v="00389341" u="1"/>
        <s v="00389342" u="1"/>
        <s v="00389343" u="1"/>
        <s v="00389344" u="1"/>
        <s v="00389345" u="1"/>
        <s v="00389346" u="1"/>
        <s v="00389347" u="1"/>
        <s v="00389348" u="1"/>
        <s v="00389349" u="1"/>
        <s v="00389350" u="1"/>
        <s v="00389351" u="1"/>
        <s v="00389352" u="1"/>
        <s v="00389353" u="1"/>
        <s v="00389354" u="1"/>
        <s v="00389355" u="1"/>
        <s v="00389356" u="1"/>
        <s v="00389357" u="1"/>
        <s v="00389358" u="1"/>
        <s v="00389359" u="1"/>
        <s v="00389360" u="1"/>
        <s v="00389361" u="1"/>
        <s v="00389362" u="1"/>
        <s v="00389363" u="1"/>
        <s v="00389364" u="1"/>
        <s v="00389365" u="1"/>
        <s v="00389366" u="1"/>
        <s v="00389367" u="1"/>
        <s v="00389368" u="1"/>
        <s v="00389369" u="1"/>
        <s v="00389370" u="1"/>
        <s v="00389371" u="1"/>
        <s v="00389372" u="1"/>
        <s v="00389373" u="1"/>
        <s v="00389374" u="1"/>
        <s v="00389375" u="1"/>
        <s v="00389376" u="1"/>
        <s v="00389377" u="1"/>
        <s v="00389378" u="1"/>
        <s v="00389379" u="1"/>
        <s v="00389380" u="1"/>
        <s v="00389381" u="1"/>
        <s v="00389382" u="1"/>
        <s v="00389383" u="1"/>
        <s v="00389384" u="1"/>
        <s v="00389385" u="1"/>
        <s v="00389386" u="1"/>
        <s v="00389387" u="1"/>
        <s v="00389388" u="1"/>
        <s v="00389389" u="1"/>
        <s v="00389390" u="1"/>
        <s v="00389391" u="1"/>
        <s v="00389392" u="1"/>
        <s v="00389393" u="1"/>
        <s v="00389394" u="1"/>
        <s v="00389395" u="1"/>
        <s v="00389396" u="1"/>
        <s v="00389397" u="1"/>
        <s v="00389398" u="1"/>
        <s v="00389399" u="1"/>
        <s v="00389400" u="1"/>
        <s v="00389401" u="1"/>
        <s v="00389402" u="1"/>
        <s v="00389403" u="1"/>
        <s v="00389404" u="1"/>
        <s v="00389405" u="1"/>
        <s v="00389406" u="1"/>
        <s v="00389407" u="1"/>
        <s v="00389408" u="1"/>
        <s v="00389409" u="1"/>
        <s v="00389410" u="1"/>
        <s v="00389411" u="1"/>
        <s v="00389412" u="1"/>
        <s v="00389413" u="1"/>
        <s v="00389414" u="1"/>
        <s v="00389415" u="1"/>
        <s v="00389416" u="1"/>
        <s v="00389417" u="1"/>
        <s v="00389418" u="1"/>
        <s v="00389419" u="1"/>
        <s v="00389420" u="1"/>
        <s v="00389421" u="1"/>
        <s v="00389422" u="1"/>
        <s v="00389423" u="1"/>
        <s v="00389424" u="1"/>
        <s v="00389425" u="1"/>
        <s v="00389426" u="1"/>
        <s v="00389427" u="1"/>
        <s v="00389428" u="1"/>
        <s v="00389429" u="1"/>
        <s v="00389430" u="1"/>
        <s v="00389431" u="1"/>
        <s v="00389432" u="1"/>
        <s v="00389433" u="1"/>
        <s v="00389434" u="1"/>
        <s v="00389435" u="1"/>
        <s v="00389436" u="1"/>
        <s v="00389437" u="1"/>
        <s v="00389438" u="1"/>
        <s v="00389439" u="1"/>
        <s v="00389440" u="1"/>
        <s v="00389441" u="1"/>
        <s v="00389442" u="1"/>
        <s v="00389443" u="1"/>
        <s v="00389444" u="1"/>
        <s v="00389445" u="1"/>
        <s v="00389446" u="1"/>
        <s v="00389447" u="1"/>
        <s v="00389448" u="1"/>
        <s v="00389449" u="1"/>
        <s v="00389450" u="1"/>
        <s v="00389451" u="1"/>
        <s v="00389452" u="1"/>
        <s v="00389453" u="1"/>
        <s v="00389454" u="1"/>
        <s v="00389455" u="1"/>
        <s v="00389456" u="1"/>
        <s v="00389457" u="1"/>
        <s v="00389458" u="1"/>
        <s v="00389459" u="1"/>
        <s v="00389460" u="1"/>
        <s v="00389461" u="1"/>
        <s v="00389462" u="1"/>
        <s v="00389463" u="1"/>
        <s v="00389464" u="1"/>
        <s v="00389465" u="1"/>
        <s v="00389466" u="1"/>
        <s v="00389467" u="1"/>
        <s v="00389468" u="1"/>
        <s v="00389469" u="1"/>
        <s v="00389470" u="1"/>
        <s v="00389471" u="1"/>
        <s v="00389472" u="1"/>
        <s v="00389473" u="1"/>
        <s v="00389474" u="1"/>
        <s v="00389475" u="1"/>
        <s v="00389476" u="1"/>
        <s v="00389477" u="1"/>
        <s v="00389478" u="1"/>
        <s v="00389479" u="1"/>
        <s v="00389480" u="1"/>
        <s v="00389481" u="1"/>
        <s v="00389482" u="1"/>
        <s v="00389483" u="1"/>
        <s v="00389484" u="1"/>
        <s v="00389485" u="1"/>
        <s v="00389486" u="1"/>
        <s v="00389487" u="1"/>
        <s v="00389488" u="1"/>
        <s v="00389489" u="1"/>
        <s v="00389490" u="1"/>
        <s v="00389491" u="1"/>
        <s v="00389492" u="1"/>
        <s v="00323220" u="1"/>
        <s v="00388989" u="1"/>
        <s v="00388990" u="1"/>
        <s v="00388991" u="1"/>
        <s v="00388992" u="1"/>
        <s v="00388993" u="1"/>
        <s v="00388994" u="1"/>
        <s v="00388995" u="1"/>
        <s v="00388996" u="1"/>
        <s v="00388997" u="1"/>
        <s v="00388998" u="1"/>
        <s v="00388999" u="1"/>
        <s v="00389000" u="1"/>
        <s v="00389001" u="1"/>
        <s v="00389002" u="1"/>
        <s v="00389003" u="1"/>
        <s v="00389004" u="1"/>
        <s v="00389005" u="1"/>
        <s v="00389006" u="1"/>
        <s v="00389007" u="1"/>
        <s v="00389008" u="1"/>
        <s v="00389009" u="1"/>
        <s v="00389010" u="1"/>
        <s v="00389011" u="1"/>
        <s v="00389012" u="1"/>
        <s v="00389013" u="1"/>
        <s v="00389014" u="1"/>
        <s v="00389015" u="1"/>
        <s v="00389016" u="1"/>
        <s v="00389017" u="1"/>
        <s v="00389018" u="1"/>
        <s v="00389019" u="1"/>
        <s v="00389020" u="1"/>
        <s v="00389021" u="1"/>
        <s v="00389022" u="1"/>
        <s v="00389023" u="1"/>
        <s v="00389024" u="1"/>
        <s v="00389025" u="1"/>
        <s v="00389026" u="1"/>
        <s v="00389027" u="1"/>
        <s v="00389028" u="1"/>
        <s v="00389029" u="1"/>
        <s v="00389030" u="1"/>
        <s v="00389031" u="1"/>
        <s v="00389032" u="1"/>
        <s v="00389033" u="1"/>
        <s v="00389034" u="1"/>
        <s v="00389035" u="1"/>
        <s v="00389036" u="1"/>
        <s v="00389037" u="1"/>
        <s v="00389038" u="1"/>
        <s v="00389039" u="1"/>
        <s v="00389040" u="1"/>
        <s v="00389041" u="1"/>
        <s v="00389042" u="1"/>
        <s v="00389043" u="1"/>
        <s v="00389044" u="1"/>
        <s v="00389045" u="1"/>
        <s v="00389046" u="1"/>
        <s v="00389047" u="1"/>
        <s v="00389048" u="1"/>
        <s v="00389049" u="1"/>
        <s v="00389050" u="1"/>
        <s v="00389051" u="1"/>
        <s v="00389052" u="1"/>
        <s v="00389053" u="1"/>
        <s v="00389054" u="1"/>
        <s v="00389055" u="1"/>
        <s v="00389056" u="1"/>
        <s v="00389057" u="1"/>
        <s v="00389058" u="1"/>
        <s v="00389059" u="1"/>
        <s v="00389060" u="1"/>
        <s v="00389061" u="1"/>
        <s v="00389062" u="1"/>
        <s v="00389063" u="1"/>
        <s v="00389064" u="1"/>
        <s v="00389065" u="1"/>
        <s v="00389066" u="1"/>
        <s v="00389067" u="1"/>
        <s v="00389068" u="1"/>
        <s v="00389069" u="1"/>
        <s v="00389070" u="1"/>
        <s v="00389071" u="1"/>
        <s v="00389072" u="1"/>
        <s v="00389073" u="1"/>
        <s v="00389074" u="1"/>
        <s v="00389075" u="1"/>
        <s v="00389076" u="1"/>
        <s v="00389077" u="1"/>
        <s v="00389078" u="1"/>
        <s v="00389079" u="1"/>
        <s v="00389080" u="1"/>
        <s v="00389081" u="1"/>
        <s v="00389082" u="1"/>
        <s v="00389083" u="1"/>
        <s v="00389084" u="1"/>
        <s v="00389085" u="1"/>
        <s v="00389086" u="1"/>
        <s v="00389087" u="1"/>
        <s v="00389088" u="1"/>
        <s v="00389089" u="1"/>
        <s v="00389090" u="1"/>
        <s v="00389091" u="1"/>
        <s v="00389092" u="1"/>
        <s v="00389093" u="1"/>
        <s v="00389094" u="1"/>
        <s v="00389095" u="1"/>
        <s v="00389096" u="1"/>
        <s v="00389097" u="1"/>
        <s v="00389098" u="1"/>
        <s v="00389099" u="1"/>
        <s v="00389100" u="1"/>
        <s v="00389101" u="1"/>
        <s v="00389102" u="1"/>
        <s v="00389103" u="1"/>
        <s v="00389104" u="1"/>
        <s v="00389105" u="1"/>
        <s v="00389106" u="1"/>
        <s v="00389107" u="1"/>
        <s v="00389108" u="1"/>
        <s v="00389109" u="1"/>
        <s v="00389110" u="1"/>
        <s v="00389111" u="1"/>
        <s v="00389112" u="1"/>
        <s v="00389113" u="1"/>
        <s v="00389114" u="1"/>
        <s v="00389115" u="1"/>
        <s v="00389116" u="1"/>
        <s v="00389117" u="1"/>
        <s v="00389118" u="1"/>
        <s v="00389119" u="1"/>
        <s v="00389120" u="1"/>
        <s v="00389121" u="1"/>
        <s v="00389122" u="1"/>
        <s v="00389123" u="1"/>
        <s v="00389124" u="1"/>
        <s v="00389125" u="1"/>
        <s v="00389126" u="1"/>
        <s v="00389127" u="1"/>
        <s v="00389128" u="1"/>
        <s v="00378186" u="1"/>
        <s v="00378217" u="1"/>
        <s v="00378228" u="1"/>
        <s v="00378260" u="1"/>
        <s v="00378303" u="1"/>
        <s v="00378343" u="1"/>
        <s v="00378415" u="1"/>
        <s v="00388516" u="1"/>
        <s v="00388517" u="1"/>
        <s v="00388518" u="1"/>
        <s v="00388519" u="1"/>
        <s v="00388520" u="1"/>
        <s v="00388521" u="1"/>
        <s v="00388522" u="1"/>
        <s v="00388523" u="1"/>
        <s v="00388524" u="1"/>
        <s v="00388525" u="1"/>
        <s v="00388526" u="1"/>
        <s v="00388527" u="1"/>
        <s v="00388528" u="1"/>
        <s v="00388529" u="1"/>
        <s v="00388530" u="1"/>
        <s v="00388531" u="1"/>
        <s v="00388532" u="1"/>
        <s v="00388533" u="1"/>
        <s v="00388534" u="1"/>
        <s v="00388535" u="1"/>
        <s v="00388536" u="1"/>
        <s v="00388537" u="1"/>
        <s v="00388538" u="1"/>
        <s v="00388539" u="1"/>
        <s v="00388540" u="1"/>
        <s v="00388541" u="1"/>
        <s v="00388542" u="1"/>
        <s v="00388543" u="1"/>
        <s v="00388544" u="1"/>
        <s v="00388545" u="1"/>
        <s v="00388546" u="1"/>
        <s v="00388547" u="1"/>
        <s v="00388548" u="1"/>
        <s v="00388549" u="1"/>
        <s v="00388550" u="1"/>
        <s v="00388551" u="1"/>
        <s v="00388552" u="1"/>
        <s v="00388553" u="1"/>
        <s v="00388554" u="1"/>
        <s v="00388555" u="1"/>
        <s v="00388556" u="1"/>
        <s v="00388557" u="1"/>
        <s v="00388558" u="1"/>
        <s v="00388559" u="1"/>
        <s v="00388560" u="1"/>
        <s v="00388561" u="1"/>
        <s v="00388562" u="1"/>
        <s v="00388563" u="1"/>
        <s v="00388564" u="1"/>
        <s v="00388565" u="1"/>
        <s v="00388566" u="1"/>
        <s v="00388567" u="1"/>
        <s v="00388568" u="1"/>
        <s v="00388569" u="1"/>
        <s v="00388570" u="1"/>
        <s v="00388571" u="1"/>
        <s v="00388572" u="1"/>
        <s v="00388573" u="1"/>
        <s v="00388574" u="1"/>
        <s v="00388575" u="1"/>
        <s v="00388576" u="1"/>
        <s v="00388577" u="1"/>
        <s v="00388578" u="1"/>
        <s v="00388579" u="1"/>
        <s v="00388580" u="1"/>
        <s v="00388581" u="1"/>
        <s v="00388582" u="1"/>
        <s v="00388583" u="1"/>
        <s v="00388584" u="1"/>
        <s v="00388585" u="1"/>
        <s v="00388586" u="1"/>
        <s v="00388587" u="1"/>
        <s v="00388588" u="1"/>
        <s v="00388589" u="1"/>
        <s v="00388590" u="1"/>
        <s v="00388591" u="1"/>
        <s v="00388592" u="1"/>
        <s v="00388593" u="1"/>
        <s v="00388594" u="1"/>
        <s v="00388595" u="1"/>
        <s v="00388596" u="1"/>
        <s v="00388597" u="1"/>
        <s v="00388598" u="1"/>
        <s v="00388599" u="1"/>
        <s v="00388600" u="1"/>
        <s v="00388601" u="1"/>
        <s v="00388602" u="1"/>
        <s v="00388603" u="1"/>
        <s v="00388604" u="1"/>
        <s v="00388605" u="1"/>
        <s v="00388606" u="1"/>
        <s v="00388607" u="1"/>
        <s v="00388608" u="1"/>
        <s v="00388609" u="1"/>
        <s v="00388610" u="1"/>
        <s v="00388611" u="1"/>
        <s v="00388612" u="1"/>
        <s v="00388613" u="1"/>
        <s v="00388614" u="1"/>
        <s v="00388615" u="1"/>
        <s v="00388616" u="1"/>
        <s v="00388617" u="1"/>
        <s v="00388618" u="1"/>
        <s v="00388619" u="1"/>
        <s v="00388620" u="1"/>
        <s v="00388621" u="1"/>
        <s v="00388622" u="1"/>
        <s v="00388623" u="1"/>
        <s v="00388624" u="1"/>
        <s v="00388625" u="1"/>
        <s v="00388626" u="1"/>
        <s v="00388627" u="1"/>
        <s v="00388628" u="1"/>
        <s v="00388629" u="1"/>
        <s v="00388630" u="1"/>
        <s v="00388631" u="1"/>
        <s v="00388632" u="1"/>
        <s v="00388633" u="1"/>
        <s v="00388634" u="1"/>
        <s v="00388635" u="1"/>
        <s v="00388636" u="1"/>
        <s v="00388637" u="1"/>
        <s v="00388638" u="1"/>
        <s v="00388639" u="1"/>
        <s v="00388640" u="1"/>
        <s v="00388641" u="1"/>
        <s v="00388642" u="1"/>
        <s v="00388643" u="1"/>
        <s v="00388644" u="1"/>
        <s v="00388645" u="1"/>
        <s v="00388646" u="1"/>
        <s v="00388647" u="1"/>
        <s v="00388648" u="1"/>
        <s v="00388649" u="1"/>
        <s v="00388650" u="1"/>
        <s v="00388651" u="1"/>
        <s v="00388652" u="1"/>
        <s v="00388653" u="1"/>
        <s v="00388654" u="1"/>
        <s v="00388655" u="1"/>
        <s v="00388656" u="1"/>
        <s v="00388657" u="1"/>
        <s v="00388658" u="1"/>
        <s v="00388659" u="1"/>
        <s v="00388660" u="1"/>
        <s v="00388661" u="1"/>
        <s v="00388662" u="1"/>
        <s v="00388663" u="1"/>
        <s v="00388664" u="1"/>
        <s v="00388665" u="1"/>
        <s v="00388666" u="1"/>
        <s v="00388667" u="1"/>
        <s v="00388668" u="1"/>
        <s v="00388669" u="1"/>
        <s v="00388670" u="1"/>
        <s v="00388671" u="1"/>
        <s v="00388672" u="1"/>
        <s v="00388673" u="1"/>
        <s v="00388674" u="1"/>
        <s v="00388675" u="1"/>
        <s v="00388676" u="1"/>
        <s v="00388677" u="1"/>
        <s v="00388678" u="1"/>
        <s v="00388679" u="1"/>
        <s v="00388680" u="1"/>
        <s v="00388681" u="1"/>
        <s v="00388682" u="1"/>
        <s v="00388683" u="1"/>
        <s v="00388684" u="1"/>
        <s v="00388685" u="1"/>
        <s v="00388686" u="1"/>
        <s v="00388687" u="1"/>
        <s v="00388688" u="1"/>
        <s v="00388689" u="1"/>
        <s v="00388690" u="1"/>
        <s v="00388691" u="1"/>
        <s v="00388692" u="1"/>
        <s v="00388693" u="1"/>
        <s v="00388694" u="1"/>
        <s v="00388695" u="1"/>
        <s v="00388696" u="1"/>
        <s v="00388697" u="1"/>
        <s v="00388698" u="1"/>
        <s v="00388699" u="1"/>
        <s v="00388700" u="1"/>
        <s v="00388701" u="1"/>
        <s v="00388702" u="1"/>
        <s v="00388703" u="1"/>
        <s v="00388704" u="1"/>
        <s v="00388705" u="1"/>
        <s v="00388706" u="1"/>
        <s v="00388707" u="1"/>
        <s v="00388708" u="1"/>
        <s v="00388709" u="1"/>
        <s v="00388710" u="1"/>
        <s v="00388711" u="1"/>
        <s v="00388712" u="1"/>
        <s v="00388713" u="1"/>
        <s v="00388714" u="1"/>
        <s v="00388715" u="1"/>
        <s v="00388716" u="1"/>
        <s v="00388717" u="1"/>
        <s v="00388718" u="1"/>
        <s v="00388719" u="1"/>
        <s v="00388720" u="1"/>
        <s v="00388721" u="1"/>
        <s v="00388722" u="1"/>
        <s v="00388723" u="1"/>
        <s v="00388724" u="1"/>
        <s v="00388725" u="1"/>
        <s v="00388726" u="1"/>
        <s v="00388727" u="1"/>
        <s v="00388728" u="1"/>
        <s v="00388729" u="1"/>
        <s v="00388730" u="1"/>
        <s v="00388731" u="1"/>
        <s v="00388732" u="1"/>
        <s v="00388733" u="1"/>
        <s v="00388734" u="1"/>
        <s v="00388735" u="1"/>
        <s v="00388736" u="1"/>
        <s v="00388737" u="1"/>
        <s v="00388738" u="1"/>
        <s v="00388739" u="1"/>
        <s v="00388740" u="1"/>
        <s v="00388741" u="1"/>
        <s v="00388742" u="1"/>
        <s v="00388743" u="1"/>
        <s v="00388744" u="1"/>
        <s v="00388745" u="1"/>
        <s v="00388746" u="1"/>
        <s v="00388747" u="1"/>
        <s v="00388748" u="1"/>
        <s v="00388749" u="1"/>
        <s v="00388750" u="1"/>
        <s v="00388751" u="1"/>
        <s v="00388752" u="1"/>
        <s v="00388753" u="1"/>
        <s v="00388754" u="1"/>
        <s v="00388755" u="1"/>
        <s v="00388756" u="1"/>
        <s v="00388757" u="1"/>
        <s v="00388758" u="1"/>
        <s v="00388759" u="1"/>
        <s v="00388760" u="1"/>
        <s v="00388761" u="1"/>
        <s v="00388762" u="1"/>
        <s v="00388763" u="1"/>
        <s v="00388764" u="1"/>
        <s v="00388765" u="1"/>
        <s v="00388766" u="1"/>
        <s v="00388767" u="1"/>
        <s v="00388768" u="1"/>
        <s v="00388769" u="1"/>
        <s v="00388770" u="1"/>
        <s v="00388771" u="1"/>
        <s v="00388772" u="1"/>
        <s v="00388773" u="1"/>
        <s v="00388774" u="1"/>
        <s v="00388775" u="1"/>
        <s v="00388776" u="1"/>
        <s v="00388777" u="1"/>
        <s v="00388778" u="1"/>
        <s v="00388779" u="1"/>
        <s v="00388780" u="1"/>
        <s v="00388781" u="1"/>
        <s v="00388782" u="1"/>
        <s v="00388783" u="1"/>
        <s v="00388784" u="1"/>
        <s v="00388785" u="1"/>
        <s v="00388786" u="1"/>
        <s v="00388787" u="1"/>
        <s v="00388788" u="1"/>
        <s v="00388789" u="1"/>
        <s v="00388790" u="1"/>
        <s v="00388791" u="1"/>
        <s v="00388792" u="1"/>
        <s v="00388793" u="1"/>
        <s v="00388794" u="1"/>
        <s v="00388795" u="1"/>
        <s v="00388796" u="1"/>
        <s v="00388797" u="1"/>
        <s v="00388798" u="1"/>
        <s v="00388799" u="1"/>
        <s v="00388800" u="1"/>
        <s v="00388801" u="1"/>
        <s v="00388802" u="1"/>
        <s v="00388803" u="1"/>
        <s v="00388804" u="1"/>
        <s v="00388805" u="1"/>
        <s v="00388806" u="1"/>
        <s v="00388807" u="1"/>
        <s v="00388808" u="1"/>
        <s v="00388809" u="1"/>
        <s v="00388810" u="1"/>
        <s v="00388811" u="1"/>
        <s v="00388812" u="1"/>
        <s v="00388813" u="1"/>
        <s v="00388814" u="1"/>
        <s v="00388815" u="1"/>
        <s v="00388816" u="1"/>
        <s v="00388817" u="1"/>
        <s v="00388818" u="1"/>
        <s v="00388819" u="1"/>
        <s v="00388820" u="1"/>
        <s v="00388821" u="1"/>
        <s v="00388822" u="1"/>
        <s v="00388823" u="1"/>
        <s v="00388824" u="1"/>
        <s v="00388825" u="1"/>
        <s v="00388826" u="1"/>
        <s v="00388827" u="1"/>
        <s v="00388828" u="1"/>
        <s v="00388829" u="1"/>
        <s v="00388830" u="1"/>
        <s v="00388831" u="1"/>
        <s v="00388832" u="1"/>
        <s v="00388833" u="1"/>
        <s v="00388834" u="1"/>
        <s v="00388835" u="1"/>
        <s v="00388836" u="1"/>
        <s v="00388837" u="1"/>
        <s v="00388838" u="1"/>
        <s v="00388839" u="1"/>
        <s v="00388840" u="1"/>
        <s v="00388841" u="1"/>
        <s v="00388842" u="1"/>
        <s v="00388843" u="1"/>
        <s v="00388844" u="1"/>
        <s v="00388845" u="1"/>
        <s v="00388846" u="1"/>
        <s v="00388847" u="1"/>
        <s v="00388848" u="1"/>
        <s v="00388849" u="1"/>
        <s v="00388850" u="1"/>
        <s v="00388851" u="1"/>
        <s v="00388852" u="1"/>
        <s v="00388853" u="1"/>
        <s v="00388854" u="1"/>
        <s v="00388855" u="1"/>
        <s v="00388856" u="1"/>
        <s v="00388857" u="1"/>
        <s v="00388858" u="1"/>
        <s v="00388859" u="1"/>
        <s v="00388860" u="1"/>
        <s v="00388861" u="1"/>
        <s v="00388862" u="1"/>
        <s v="00388863" u="1"/>
        <s v="00388864" u="1"/>
        <s v="00388865" u="1"/>
        <s v="00388866" u="1"/>
        <s v="00388867" u="1"/>
        <s v="00388868" u="1"/>
        <s v="00388869" u="1"/>
        <s v="00388870" u="1"/>
        <s v="00388871" u="1"/>
        <s v="00388872" u="1"/>
        <s v="00388873" u="1"/>
        <s v="00388874" u="1"/>
        <s v="00388875" u="1"/>
        <s v="00388876" u="1"/>
        <s v="00387994" u="1"/>
        <s v="00387995" u="1"/>
        <s v="00387996" u="1"/>
        <s v="00387997" u="1"/>
        <s v="00387998" u="1"/>
        <s v="00387999" u="1"/>
        <s v="00388000" u="1"/>
        <s v="00388001" u="1"/>
        <s v="00388002" u="1"/>
        <s v="00388003" u="1"/>
        <s v="00388004" u="1"/>
        <s v="00388005" u="1"/>
        <s v="00388006" u="1"/>
        <s v="00388007" u="1"/>
        <s v="00388008" u="1"/>
        <s v="00388009" u="1"/>
        <s v="00388010" u="1"/>
        <s v="00388011" u="1"/>
        <s v="00388012" u="1"/>
        <s v="00388013" u="1"/>
        <s v="00388014" u="1"/>
        <s v="00388015" u="1"/>
        <s v="00388016" u="1"/>
        <s v="00388017" u="1"/>
        <s v="00388018" u="1"/>
        <s v="00388019" u="1"/>
        <s v="00388020" u="1"/>
        <s v="00388021" u="1"/>
        <s v="00388022" u="1"/>
        <s v="00388023" u="1"/>
        <s v="00388024" u="1"/>
        <s v="00388025" u="1"/>
        <s v="00388026" u="1"/>
        <s v="00388027" u="1"/>
        <s v="00388028" u="1"/>
        <s v="00388029" u="1"/>
        <s v="00388030" u="1"/>
        <s v="00388031" u="1"/>
        <s v="00388032" u="1"/>
        <s v="00388033" u="1"/>
        <s v="00388034" u="1"/>
        <s v="00388035" u="1"/>
        <s v="00388036" u="1"/>
        <s v="00388037" u="1"/>
        <s v="00388038" u="1"/>
        <s v="00388039" u="1"/>
        <s v="00388040" u="1"/>
        <s v="00388041" u="1"/>
        <s v="00388042" u="1"/>
        <s v="00388043" u="1"/>
        <s v="00388044" u="1"/>
        <s v="00388045" u="1"/>
        <s v="00388046" u="1"/>
        <s v="00388047" u="1"/>
        <s v="00388048" u="1"/>
        <s v="00388049" u="1"/>
        <s v="00388050" u="1"/>
        <s v="00388051" u="1"/>
        <s v="00388052" u="1"/>
        <s v="00388053" u="1"/>
        <s v="00388054" u="1"/>
        <s v="00388055" u="1"/>
        <s v="00388056" u="1"/>
        <s v="00388057" u="1"/>
        <s v="00388058" u="1"/>
        <s v="00388059" u="1"/>
        <s v="00388060" u="1"/>
        <s v="00388061" u="1"/>
        <s v="00388062" u="1"/>
        <s v="00388063" u="1"/>
        <s v="00388064" u="1"/>
        <s v="00388065" u="1"/>
        <s v="00388066" u="1"/>
        <s v="00388067" u="1"/>
        <s v="00388068" u="1"/>
        <s v="00388069" u="1"/>
        <s v="00388070" u="1"/>
        <s v="00388071" u="1"/>
        <s v="00388072" u="1"/>
        <s v="00388073" u="1"/>
        <s v="00388074" u="1"/>
        <s v="00388075" u="1"/>
        <s v="00388076" u="1"/>
        <s v="00388077" u="1"/>
        <s v="00388078" u="1"/>
        <s v="00388079" u="1"/>
        <s v="00388080" u="1"/>
        <s v="00388081" u="1"/>
        <s v="00388082" u="1"/>
        <s v="00388083" u="1"/>
        <s v="00388084" u="1"/>
        <s v="00388085" u="1"/>
        <s v="00388086" u="1"/>
        <s v="00388087" u="1"/>
        <s v="00388088" u="1"/>
        <s v="00388089" u="1"/>
        <s v="00388090" u="1"/>
        <s v="00388091" u="1"/>
        <s v="00388092" u="1"/>
        <s v="00388093" u="1"/>
        <s v="00388094" u="1"/>
        <s v="00388095" u="1"/>
        <s v="00388096" u="1"/>
        <s v="00388097" u="1"/>
        <s v="00388098" u="1"/>
        <s v="00388099" u="1"/>
        <s v="00388100" u="1"/>
        <s v="00388101" u="1"/>
        <s v="00388102" u="1"/>
        <s v="00388103" u="1"/>
        <s v="00388104" u="1"/>
        <s v="00388105" u="1"/>
        <s v="00388106" u="1"/>
        <s v="00388107" u="1"/>
        <s v="00388108" u="1"/>
        <s v="00388109" u="1"/>
        <s v="00383064" u="1"/>
        <s v="00383065" u="1"/>
        <s v="00383066" u="1"/>
        <s v="00383067" u="1"/>
        <s v="00383068" u="1"/>
        <s v="00383069" u="1"/>
        <s v="00383070" u="1"/>
        <s v="00383071" u="1"/>
        <s v="00383072" u="1"/>
        <s v="00383073" u="1"/>
        <s v="00345099" u="1"/>
        <s v="00386939" u="1"/>
        <s v="00386940" u="1"/>
        <s v="00386941" u="1"/>
        <s v="00386942" u="1"/>
        <s v="00386943" u="1"/>
        <s v="00386945" u="1"/>
        <s v="00386946" u="1"/>
        <s v="00386947" u="1"/>
        <s v="00386948" u="1"/>
        <s v="00386950" u="1"/>
        <s v="00386960" u="1"/>
        <s v="00386961" u="1"/>
        <s v="00386962" u="1"/>
        <s v="00386963" u="1"/>
        <s v="00386964" u="1"/>
        <s v="00386965" u="1"/>
        <s v="00386966" u="1"/>
        <s v="00386967" u="1"/>
        <s v="00386968" u="1"/>
        <s v="00386969" u="1"/>
        <s v="00386971" u="1"/>
        <s v="00386972" u="1"/>
        <s v="00386973" u="1"/>
        <s v="00386974" u="1"/>
        <s v="00386975" u="1"/>
        <s v="00386976" u="1"/>
        <s v="00386977" u="1"/>
        <s v="00386979" u="1"/>
        <s v="00386981" u="1"/>
        <s v="00386983" u="1"/>
        <s v="00386984" u="1"/>
        <s v="00386985" u="1"/>
        <s v="00386986" u="1"/>
        <s v="00386987" u="1"/>
        <s v="00386989" u="1"/>
        <s v="00387014" u="1"/>
        <s v="00387017" u="1"/>
        <s v="00387018" u="1"/>
        <s v="00387019" u="1"/>
        <s v="00387020" u="1"/>
        <s v="00387021" u="1"/>
        <s v="00387022" u="1"/>
        <s v="00387023" u="1"/>
        <s v="00387024" u="1"/>
        <s v="00387025" u="1"/>
        <s v="00387026" u="1"/>
        <s v="00387028" u="1"/>
        <s v="00387029" u="1"/>
        <s v="00387030" u="1"/>
        <s v="00387031" u="1"/>
        <s v="00387032" u="1"/>
        <s v="00387033" u="1"/>
        <s v="00387034" u="1"/>
        <s v="00387036" u="1"/>
        <s v="00387038" u="1"/>
        <s v="00387040" u="1"/>
        <s v="00387041" u="1"/>
        <s v="00387042" u="1"/>
        <s v="00387043" u="1"/>
        <s v="00387044" u="1"/>
        <s v="00387046" u="1"/>
        <s v="00387047" u="1"/>
        <s v="00387048" u="1"/>
        <s v="00387049" u="1"/>
        <s v="00387050" u="1"/>
        <s v="00387051" u="1"/>
        <s v="00387052" u="1"/>
        <s v="00387053" u="1"/>
        <s v="00387054" u="1"/>
        <s v="00387055" u="1"/>
        <s v="00387056" u="1"/>
        <s v="00387057" u="1"/>
        <s v="00387058" u="1"/>
        <s v="00387059" u="1"/>
        <s v="00387060" u="1"/>
        <s v="00387061" u="1"/>
        <s v="00387062" u="1"/>
        <s v="00387064" u="1"/>
        <s v="00387066" u="1"/>
        <s v="00387081" u="1"/>
        <s v="00387084" u="1"/>
        <s v="00387085" u="1"/>
        <s v="00387086" u="1"/>
        <s v="00387087" u="1"/>
        <s v="00387089" u="1"/>
        <s v="00387092" u="1"/>
        <s v="00387093" u="1"/>
        <s v="00387094" u="1"/>
        <s v="00387095" u="1"/>
        <s v="00387096" u="1"/>
        <s v="00387097" u="1"/>
        <s v="00387112" u="1"/>
        <s v="00386610" u="1"/>
        <s v="00386611" u="1"/>
        <s v="00386612" u="1"/>
        <s v="00386613" u="1"/>
        <s v="00386614" u="1"/>
        <s v="00386615" u="1"/>
        <s v="00386616" u="1"/>
        <s v="00386617" u="1"/>
        <s v="00386618" u="1"/>
        <s v="00386619" u="1"/>
        <s v="00386620" u="1"/>
        <s v="00386621" u="1"/>
        <s v="00386622" u="1"/>
        <s v="00386623" u="1"/>
        <s v="00386624" u="1"/>
        <s v="00386625" u="1"/>
        <s v="00386626" u="1"/>
        <s v="00386627" u="1"/>
        <s v="00386628" u="1"/>
        <s v="00386629" u="1"/>
        <s v="00386630" u="1"/>
        <s v="00386631" u="1"/>
        <s v="00386632" u="1"/>
        <s v="00386633" u="1"/>
        <s v="00386634" u="1"/>
        <s v="00386635" u="1"/>
        <s v="00386636" u="1"/>
        <s v="00386637" u="1"/>
        <s v="00386638" u="1"/>
        <s v="00386639" u="1"/>
        <s v="00386640" u="1"/>
        <s v="00386641" u="1"/>
        <s v="00386642" u="1"/>
        <s v="00386643" u="1"/>
        <s v="00386644" u="1"/>
        <s v="00386645" u="1"/>
        <s v="00386646" u="1"/>
        <s v="00386647" u="1"/>
        <s v="00386648" u="1"/>
        <s v="00386649" u="1"/>
        <s v="00386650" u="1"/>
        <s v="00386651" u="1"/>
        <s v="00386652" u="1"/>
        <s v="00386653" u="1"/>
        <s v="00386654" u="1"/>
        <s v="00386655" u="1"/>
        <s v="00386656" u="1"/>
        <s v="00386657" u="1"/>
        <s v="00386658" u="1"/>
        <s v="00386659" u="1"/>
        <s v="00386660" u="1"/>
        <s v="00386661" u="1"/>
        <s v="00386662" u="1"/>
        <s v="00386663" u="1"/>
        <s v="00386664" u="1"/>
        <s v="00386665" u="1"/>
        <s v="00386666" u="1"/>
        <s v="00386667" u="1"/>
        <s v="00386668" u="1"/>
        <s v="00386669" u="1"/>
        <s v="00386670" u="1"/>
        <s v="00386671" u="1"/>
        <s v="00386672" u="1"/>
        <s v="00386673" u="1"/>
        <s v="00386674" u="1"/>
        <s v="00386675" u="1"/>
        <s v="00386676" u="1"/>
        <s v="00386677" u="1"/>
        <s v="00386678" u="1"/>
        <s v="00386679" u="1"/>
        <s v="00386680" u="1"/>
        <s v="00386681" u="1"/>
        <s v="00386682" u="1"/>
        <s v="00386683" u="1"/>
        <s v="00386684" u="1"/>
        <s v="00386685" u="1"/>
        <s v="00386686" u="1"/>
        <s v="00386687" u="1"/>
        <s v="00386688" u="1"/>
        <s v="00386689" u="1"/>
        <s v="00386690" u="1"/>
        <s v="00386691" u="1"/>
        <s v="00386692" u="1"/>
        <s v="00386693" u="1"/>
        <s v="00386694" u="1"/>
        <s v="00386695" u="1"/>
        <s v="00386696" u="1"/>
        <s v="00386697" u="1"/>
        <s v="00386698" u="1"/>
        <s v="00386699" u="1"/>
        <s v="00386700" u="1"/>
        <s v="00386701" u="1"/>
        <s v="00386702" u="1"/>
        <s v="00386703" u="1"/>
        <s v="00386704" u="1"/>
        <s v="00386705" u="1"/>
        <s v="00386706" u="1"/>
        <s v="00386707" u="1"/>
        <s v="00386708" u="1"/>
        <s v="00386709" u="1"/>
        <s v="00386710" u="1"/>
        <s v="00386711" u="1"/>
        <s v="00386712" u="1"/>
        <s v="00386713" u="1"/>
        <s v="00386714" u="1"/>
        <s v="00386715" u="1"/>
        <s v="00386716" u="1"/>
        <s v="00386717" u="1"/>
        <s v="00386718" u="1"/>
        <s v="00386719" u="1"/>
        <s v="00386720" u="1"/>
        <s v="00386721" u="1"/>
        <s v="00386722" u="1"/>
        <s v="00386723" u="1"/>
        <s v="00386724" u="1"/>
        <s v="00386725" u="1"/>
        <s v="00386726" u="1"/>
        <s v="00386727" u="1"/>
        <s v="00386728" u="1"/>
        <s v="00386729" u="1"/>
        <s v="00386730" u="1"/>
        <s v="00386731" u="1"/>
        <s v="00386732" u="1"/>
        <s v="00386733" u="1"/>
        <s v="00386734" u="1"/>
        <s v="00386735" u="1"/>
        <s v="00386736" u="1"/>
        <s v="00386737" u="1"/>
        <s v="00386738" u="1"/>
        <s v="00386739" u="1"/>
        <s v="00386740" u="1"/>
        <s v="00386741" u="1"/>
        <s v="00386742" u="1"/>
        <s v="00386743" u="1"/>
        <s v="00386744" u="1"/>
        <s v="00386745" u="1"/>
        <s v="00386746" u="1"/>
        <s v="00386747" u="1"/>
        <s v="00386748" u="1"/>
        <s v="00386749" u="1"/>
        <s v="00386750" u="1"/>
        <s v="00386751" u="1"/>
        <s v="00386752" u="1"/>
        <s v="00386753" u="1"/>
        <s v="00386754" u="1"/>
        <s v="00386755" u="1"/>
        <s v="00386756" u="1"/>
        <s v="00386757" u="1"/>
        <s v="00386758" u="1"/>
        <s v="00386759" u="1"/>
        <s v="00386760" u="1"/>
        <s v="00386761" u="1"/>
        <s v="00386762" u="1"/>
        <s v="00386763" u="1"/>
        <s v="00386764" u="1"/>
        <s v="00386765" u="1"/>
        <s v="00386766" u="1"/>
        <s v="00386767" u="1"/>
        <s v="00386768" u="1"/>
        <s v="00386769" u="1"/>
        <s v="00386770" u="1"/>
        <s v="00386771" u="1"/>
        <s v="00386772" u="1"/>
        <s v="00386773" u="1"/>
        <s v="00386774" u="1"/>
        <s v="00386775" u="1"/>
        <s v="00386776" u="1"/>
        <s v="00386777" u="1"/>
        <s v="00386778" u="1"/>
        <s v="00386779" u="1"/>
        <s v="00386780" u="1"/>
        <s v="00386781" u="1"/>
        <s v="00386782" u="1"/>
        <s v="00386783" u="1"/>
        <s v="00386784" u="1"/>
        <s v="00386785" u="1"/>
        <s v="00386786" u="1"/>
        <s v="00386787" u="1"/>
        <s v="00386788" u="1"/>
        <s v="00386789" u="1"/>
        <s v="00386790" u="1"/>
        <s v="00386791" u="1"/>
        <s v="00386792" u="1"/>
        <s v="00386793" u="1"/>
        <s v="00386794" u="1"/>
        <s v="00386795" u="1"/>
        <s v="00386796" u="1"/>
        <s v="00386797" u="1"/>
        <s v="00386798" u="1"/>
        <s v="00386799" u="1"/>
        <s v="00386800" u="1"/>
        <s v="00386801" u="1"/>
        <s v="00386802" u="1"/>
        <s v="00386803" u="1"/>
        <s v="00386804" u="1"/>
        <s v="00386805" u="1"/>
        <s v="00386806" u="1"/>
        <s v="00386807" u="1"/>
        <s v="00386808" u="1"/>
        <s v="00386809" u="1"/>
        <s v="00386810" u="1"/>
        <s v="00386811" u="1"/>
        <s v="00386812" u="1"/>
        <s v="00386813" u="1"/>
        <s v="00386814" u="1"/>
        <s v="00386815" u="1"/>
        <s v="00386816" u="1"/>
        <s v="00386817" u="1"/>
        <s v="00386818" u="1"/>
        <s v="00386819" u="1"/>
        <s v="00386820" u="1"/>
        <s v="00386821" u="1"/>
        <s v="00386822" u="1"/>
        <s v="00386823" u="1"/>
        <s v="00386824" u="1"/>
        <s v="00386825" u="1"/>
        <s v="00386826" u="1"/>
        <s v="00386827" u="1"/>
        <s v="00386828" u="1"/>
        <s v="00386829" u="1"/>
        <s v="00386830" u="1"/>
        <s v="00386831" u="1"/>
        <s v="00386832" u="1"/>
        <s v="00386833" u="1"/>
        <s v="00386834" u="1"/>
        <s v="00386835" u="1"/>
        <s v="00386836" u="1"/>
        <s v="00386837" u="1"/>
        <s v="00386838" u="1"/>
        <s v="00386839" u="1"/>
        <s v="00386840" u="1"/>
        <s v="00386841" u="1"/>
        <s v="00386842" u="1"/>
        <s v="00386843" u="1"/>
        <s v="00386844" u="1"/>
        <s v="00386845" u="1"/>
        <s v="00386846" u="1"/>
        <s v="00386847" u="1"/>
        <s v="00386848" u="1"/>
        <s v="00386849" u="1"/>
        <s v="00386850" u="1"/>
        <s v="00386851" u="1"/>
        <s v="00386852" u="1"/>
        <s v="00386853" u="1"/>
        <s v="00386854" u="1"/>
        <s v="00386855" u="1"/>
        <s v="00386856" u="1"/>
        <s v="00386857" u="1"/>
        <s v="00386858" u="1"/>
        <s v="00386859" u="1"/>
        <s v="00386860" u="1"/>
        <s v="00386861" u="1"/>
        <s v="00386862" u="1"/>
        <s v="00386863" u="1"/>
        <s v="00386864" u="1"/>
        <s v="00386865" u="1"/>
        <s v="00386866" u="1"/>
        <s v="00386867" u="1"/>
        <s v="00386868" u="1"/>
        <s v="00386869" u="1"/>
        <s v="00386870" u="1"/>
        <s v="00386871" u="1"/>
        <s v="00386872" u="1"/>
        <s v="00386873" u="1"/>
        <s v="00386874" u="1"/>
        <s v="00386875" u="1"/>
        <s v="00386876" u="1"/>
        <s v="00386877" u="1"/>
        <s v="00386878" u="1"/>
        <s v="00386879" u="1"/>
        <s v="00386880" u="1"/>
        <s v="00386881" u="1"/>
        <s v="00386882" u="1"/>
        <s v="00386883" u="1"/>
        <s v="00386884" u="1"/>
        <s v="00386885" u="1"/>
        <s v="00386886" u="1"/>
        <s v="00386887" u="1"/>
        <s v="00386888" u="1"/>
        <s v="00386889" u="1"/>
        <s v="00386890" u="1"/>
        <s v="00386891" u="1"/>
        <s v="00386300" u="1"/>
        <s v="00386301" u="1"/>
        <s v="00386302" u="1"/>
        <s v="00386303" u="1"/>
        <s v="00386304" u="1"/>
        <s v="00386305" u="1"/>
        <s v="00386306" u="1"/>
        <s v="00386307" u="1"/>
        <s v="00386308" u="1"/>
        <s v="00386309" u="1"/>
        <s v="00386310" u="1"/>
        <s v="00386311" u="1"/>
        <s v="00386312" u="1"/>
        <s v="00386313" u="1"/>
        <s v="00386314" u="1"/>
        <s v="00386315" u="1"/>
        <s v="00386316" u="1"/>
        <s v="00386317" u="1"/>
        <s v="00386318" u="1"/>
        <s v="00386319" u="1"/>
        <s v="00386320" u="1"/>
        <s v="00386321" u="1"/>
        <s v="00386322" u="1"/>
        <s v="00386323" u="1"/>
        <s v="00386324" u="1"/>
        <s v="00386325" u="1"/>
        <s v="00386326" u="1"/>
        <s v="00386327" u="1"/>
        <s v="00386328" u="1"/>
        <s v="00386329" u="1"/>
        <s v="00386330" u="1"/>
        <s v="00386331" u="1"/>
        <s v="00386332" u="1"/>
        <s v="00386333" u="1"/>
        <s v="00386334" u="1"/>
        <s v="00386335" u="1"/>
        <s v="00386336" u="1"/>
        <s v="00386337" u="1"/>
        <s v="00386338" u="1"/>
        <s v="00386339" u="1"/>
        <s v="00386340" u="1"/>
        <s v="00386341" u="1"/>
        <s v="00386342" u="1"/>
        <s v="00386343" u="1"/>
        <s v="00386344" u="1"/>
        <s v="00386345" u="1"/>
        <s v="00386346" u="1"/>
        <s v="00386347" u="1"/>
        <s v="00386348" u="1"/>
        <s v="00386349" u="1"/>
        <s v="00386350" u="1"/>
        <s v="00386351" u="1"/>
        <s v="00386352" u="1"/>
        <s v="00386353" u="1"/>
        <s v="00386354" u="1"/>
        <s v="00386355" u="1"/>
        <s v="00386356" u="1"/>
        <s v="00386357" u="1"/>
        <s v="00386358" u="1"/>
        <s v="00386359" u="1"/>
        <s v="00386360" u="1"/>
        <s v="00386361" u="1"/>
        <s v="00386362" u="1"/>
        <s v="00386363" u="1"/>
        <s v="00386364" u="1"/>
        <s v="00386365" u="1"/>
        <s v="00386366" u="1"/>
        <s v="00386367" u="1"/>
        <s v="00386368" u="1"/>
        <s v="00386369" u="1"/>
        <s v="00386370" u="1"/>
        <s v="00386371" u="1"/>
        <s v="00386372" u="1"/>
        <s v="00386373" u="1"/>
        <s v="00386374" u="1"/>
        <s v="00386375" u="1"/>
        <s v="00386376" u="1"/>
        <s v="00386377" u="1"/>
        <s v="00386378" u="1"/>
        <s v="00386379" u="1"/>
        <s v="00386380" u="1"/>
        <s v="00386381" u="1"/>
        <s v="00386382" u="1"/>
        <s v="00386383" u="1"/>
        <s v="00386384" u="1"/>
        <s v="00386385" u="1"/>
        <s v="00386386" u="1"/>
        <s v="00386387" u="1"/>
        <s v="00386388" u="1"/>
        <s v="00386389" u="1"/>
        <s v="00386390" u="1"/>
        <s v="00386391" u="1"/>
        <s v="00386392" u="1"/>
        <s v="00386393" u="1"/>
        <s v="00386394" u="1"/>
        <s v="00384841" u="1"/>
        <s v="00384842" u="1"/>
        <s v="00384843" u="1"/>
        <s v="00384844" u="1"/>
        <s v="00384845" u="1"/>
        <s v="00384846" u="1"/>
        <s v="00384847" u="1"/>
        <s v="00384848" u="1"/>
        <s v="00384849" u="1"/>
        <s v="00384850" u="1"/>
        <s v="00384851" u="1"/>
        <s v="00384852" u="1"/>
        <s v="00384853" u="1"/>
        <s v="00385838" u="1"/>
        <s v="00385839" u="1"/>
        <s v="00385840" u="1"/>
        <s v="00385841" u="1"/>
        <s v="00385842" u="1"/>
        <s v="00385843" u="1"/>
        <s v="00385844" u="1"/>
        <s v="00385845" u="1"/>
        <s v="00385846" u="1"/>
        <s v="00385847" u="1"/>
        <s v="00385848" u="1"/>
        <s v="00385849" u="1"/>
        <s v="00385850" u="1"/>
        <s v="00385851" u="1"/>
        <s v="00385852" u="1"/>
        <s v="00385853" u="1"/>
        <s v="00385854" u="1"/>
        <s v="00385855" u="1"/>
        <s v="00385856" u="1"/>
        <s v="00385857" u="1"/>
        <s v="00385858" u="1"/>
        <s v="00385859" u="1"/>
        <s v="00385860" u="1"/>
        <s v="00385861" u="1"/>
        <s v="00385862" u="1"/>
        <s v="00385863" u="1"/>
        <s v="00385864" u="1"/>
        <s v="00385865" u="1"/>
        <s v="00385866" u="1"/>
        <s v="00385867" u="1"/>
        <s v="00385868" u="1"/>
        <s v="00385869" u="1"/>
        <s v="00385870" u="1"/>
        <s v="00385871" u="1"/>
        <s v="00385872" u="1"/>
        <s v="00385873" u="1"/>
        <s v="00385874" u="1"/>
        <s v="00385875" u="1"/>
        <s v="00385876" u="1"/>
        <s v="00385877" u="1"/>
        <s v="00385878" u="1"/>
        <s v="00385879" u="1"/>
        <s v="00385880" u="1"/>
        <s v="00385881" u="1"/>
        <s v="00385882" u="1"/>
        <s v="00385883" u="1"/>
        <s v="00385884" u="1"/>
        <s v="00385885" u="1"/>
        <s v="00385886" u="1"/>
        <s v="00385887" u="1"/>
        <s v="00385888" u="1"/>
        <s v="00385889" u="1"/>
        <s v="00385890" u="1"/>
        <s v="00385891" u="1"/>
        <s v="00385892" u="1"/>
        <s v="00385893" u="1"/>
        <s v="00385894" u="1"/>
        <s v="00385895" u="1"/>
        <s v="00385896" u="1"/>
        <s v="00385897" u="1"/>
        <s v="00385898" u="1"/>
        <s v="00385899" u="1"/>
        <s v="00385900" u="1"/>
        <s v="00385901" u="1"/>
        <s v="00385902" u="1"/>
        <s v="00385903" u="1"/>
        <s v="00385904" u="1"/>
        <s v="00385905" u="1"/>
        <s v="00385906" u="1"/>
        <s v="00385907" u="1"/>
        <s v="00385908" u="1"/>
        <s v="00385686" u="1"/>
        <s v="00385687" u="1"/>
        <s v="00385688" u="1"/>
        <s v="00385689" u="1"/>
        <s v="00385690" u="1"/>
        <s v="00385691" u="1"/>
        <s v="00385692" u="1"/>
        <s v="00385693" u="1"/>
        <s v="00385694" u="1"/>
        <s v="00385695" u="1"/>
        <s v="00385696" u="1"/>
        <s v="00385697" u="1"/>
        <s v="00385698" u="1"/>
        <s v="00385699" u="1"/>
        <s v="00385700" u="1"/>
        <s v="00385701" u="1"/>
        <s v="00385702" u="1"/>
        <s v="00385703" u="1"/>
        <s v="00385704" u="1"/>
        <s v="00385705" u="1"/>
        <s v="00385706" u="1"/>
        <s v="00385707" u="1"/>
        <s v="00385708" u="1"/>
        <s v="00385709" u="1"/>
        <s v="00385710" u="1"/>
        <s v="00385711" u="1"/>
        <s v="00385712" u="1"/>
        <s v="00385713" u="1"/>
        <s v="00385714" u="1"/>
        <s v="00385715" u="1"/>
        <s v="00385716" u="1"/>
        <s v="00385717" u="1"/>
        <s v="00385718" u="1"/>
        <s v="00385719" u="1"/>
        <s v="00385720" u="1"/>
        <s v="00385721" u="1"/>
        <s v="00385722" u="1"/>
        <s v="00385723" u="1"/>
        <s v="00385724" u="1"/>
        <s v="00385725" u="1"/>
        <s v="00385726" u="1"/>
        <s v="00385727" u="1"/>
        <s v="00385728" u="1"/>
        <s v="00385729" u="1"/>
        <s v="00385730" u="1"/>
        <s v="00385731" u="1"/>
        <s v="00385732" u="1"/>
        <s v="00385733" u="1"/>
        <s v="00385734" u="1"/>
        <s v="00385735" u="1"/>
        <s v="00385736" u="1"/>
        <s v="00385737" u="1"/>
        <s v="00385738" u="1"/>
        <s v="00385739" u="1"/>
        <s v="00385740" u="1"/>
        <s v="00385741" u="1"/>
        <s v="00385742" u="1"/>
        <s v="00385743" u="1"/>
        <s v="00385744" u="1"/>
        <s v="00385745" u="1"/>
        <s v="00385746" u="1"/>
        <s v="00385747" u="1"/>
        <s v="00385748" u="1"/>
        <s v="00385749" u="1"/>
        <s v="00385750" u="1"/>
        <s v="00385751" u="1"/>
        <s v="00385752" u="1"/>
        <s v="00385753" u="1"/>
        <s v="00385754" u="1"/>
        <s v="00385755" u="1"/>
        <s v="00385756" u="1"/>
        <s v="00385757" u="1"/>
        <s v="00385758" u="1"/>
        <s v="00385759" u="1"/>
        <s v="00385760" u="1"/>
        <s v="00385761" u="1"/>
        <s v="00385762" u="1"/>
        <s v="00385763" u="1"/>
        <s v="00385764" u="1"/>
        <s v="00385765" u="1"/>
        <s v="00385766" u="1"/>
        <s v="00385767" u="1"/>
        <s v="00385768" u="1"/>
        <s v="00385769" u="1"/>
        <s v="00385770" u="1"/>
        <s v="00385771" u="1"/>
        <s v="00385772" u="1"/>
        <s v="00385773" u="1"/>
        <s v="00385774" u="1"/>
        <s v="00385775" u="1"/>
        <s v="00385776" u="1"/>
        <s v="00385777" u="1"/>
        <s v="00385778" u="1"/>
        <s v="00385779" u="1"/>
        <s v="00385780" u="1"/>
        <s v="00385781" u="1"/>
        <s v="00385782" u="1"/>
        <s v="00385783" u="1"/>
        <s v="00385784" u="1"/>
        <s v="00385785" u="1"/>
        <s v="00385786" u="1"/>
        <s v="00385787" u="1"/>
        <s v="00385788" u="1"/>
        <s v="00385789" u="1"/>
        <s v="00385790" u="1"/>
        <s v="00385791" u="1"/>
        <s v="00385792" u="1"/>
        <s v="00385793" u="1"/>
        <s v="00385794" u="1"/>
        <s v="00385795" u="1"/>
        <s v="00385796" u="1"/>
        <s v="00385797" u="1"/>
        <s v="00385798" u="1"/>
        <s v="00385799" u="1"/>
        <s v="00385800" u="1"/>
        <s v="00385801" u="1"/>
        <s v="00385802" u="1"/>
        <s v="00385803" u="1"/>
        <s v="00385804" u="1"/>
        <s v="00385805" u="1"/>
        <s v="00385806" u="1"/>
        <s v="00385807" u="1"/>
        <s v="00385808" u="1"/>
        <s v="00385809" u="1"/>
        <s v="00385810" u="1"/>
        <s v="00385811" u="1"/>
        <s v="00385168" u="1"/>
        <s v="00385169" u="1"/>
        <s v="00385170" u="1"/>
        <s v="00385171" u="1"/>
        <s v="00385172" u="1"/>
        <s v="00385173" u="1"/>
        <s v="00385174" u="1"/>
        <s v="00385175" u="1"/>
        <s v="00385176" u="1"/>
        <s v="00385177" u="1"/>
        <s v="00385178" u="1"/>
        <s v="00385179" u="1"/>
        <s v="00385180" u="1"/>
        <s v="00385181" u="1"/>
        <s v="00385182" u="1"/>
        <s v="00385183" u="1"/>
        <s v="00385184" u="1"/>
        <s v="00385185" u="1"/>
        <s v="00385186" u="1"/>
        <s v="00385187" u="1"/>
        <s v="00385188" u="1"/>
        <s v="00385189" u="1"/>
        <s v="00385190" u="1"/>
        <s v="00385191" u="1"/>
        <s v="00385192" u="1"/>
        <s v="00385193" u="1"/>
        <s v="00385194" u="1"/>
        <s v="00385195" u="1"/>
        <s v="00385196" u="1"/>
        <s v="00385197" u="1"/>
        <s v="00385198" u="1"/>
        <s v="00385199" u="1"/>
        <s v="00385200" u="1"/>
        <s v="00385201" u="1"/>
        <s v="00385202" u="1"/>
        <s v="00385203" u="1"/>
        <s v="00385204" u="1"/>
        <s v="00385205" u="1"/>
        <s v="00385206" u="1"/>
        <s v="00385207" u="1"/>
        <s v="00385208" u="1"/>
        <s v="00385209" u="1"/>
        <s v="00385210" u="1"/>
        <s v="00385211" u="1"/>
        <s v="00385212" u="1"/>
        <s v="00385213" u="1"/>
        <s v="00385214" u="1"/>
        <s v="00385215" u="1"/>
        <s v="00385216" u="1"/>
        <s v="00385217" u="1"/>
        <s v="00385218" u="1"/>
        <s v="00385219" u="1"/>
        <s v="00385220" u="1"/>
        <s v="00385221" u="1"/>
        <s v="00385222" u="1"/>
        <s v="00385223" u="1"/>
        <s v="00385224" u="1"/>
        <s v="00385225" u="1"/>
        <s v="00385226" u="1"/>
        <s v="00385227" u="1"/>
        <s v="00385228" u="1"/>
        <s v="00385229" u="1"/>
        <s v="00385230" u="1"/>
        <s v="00385231" u="1"/>
        <s v="00385232" u="1"/>
        <s v="00385233" u="1"/>
        <s v="00385234" u="1"/>
        <s v="00385235" u="1"/>
        <s v="00385236" u="1"/>
        <s v="00385237" u="1"/>
        <s v="00385238" u="1"/>
        <s v="00385239" u="1"/>
        <s v="00385240" u="1"/>
        <s v="00385241" u="1"/>
        <s v="00385242" u="1"/>
        <s v="00385243" u="1"/>
        <s v="00385244" u="1"/>
        <s v="00385245" u="1"/>
        <s v="00385246" u="1"/>
        <s v="00385247" u="1"/>
        <s v="00385248" u="1"/>
        <s v="00385249" u="1"/>
        <s v="00385250" u="1"/>
        <s v="00385251" u="1"/>
        <s v="00385252" u="1"/>
        <s v="00385253" u="1"/>
        <s v="00385254" u="1"/>
        <s v="00385255" u="1"/>
        <s v="00385256" u="1"/>
        <s v="00385257" u="1"/>
        <s v="00385258" u="1"/>
        <s v="00385259" u="1"/>
        <s v="00385260" u="1"/>
        <s v="00385261" u="1"/>
        <s v="00385262" u="1"/>
        <s v="00385263" u="1"/>
        <s v="00385264" u="1"/>
        <s v="00385265" u="1"/>
        <s v="00385266" u="1"/>
        <s v="00385267" u="1"/>
        <s v="00385268" u="1"/>
        <s v="00385269" u="1"/>
        <s v="00385270" u="1"/>
        <s v="00385271" u="1"/>
        <s v="00385272" u="1"/>
        <s v="00385273" u="1"/>
        <s v="00385274" u="1"/>
        <s v="00385275" u="1"/>
        <s v="00385276" u="1"/>
        <s v="00385277" u="1"/>
        <s v="00385278" u="1"/>
        <s v="00385279" u="1"/>
        <s v="00385280" u="1"/>
        <s v="00385281" u="1"/>
        <s v="00385282" u="1"/>
        <s v="00385283" u="1"/>
        <s v="00385284" u="1"/>
        <s v="00385285" u="1"/>
        <s v="00385286" u="1"/>
        <s v="00385287" u="1"/>
        <s v="00385288" u="1"/>
        <s v="00385289" u="1"/>
        <s v="00385290" u="1"/>
        <s v="00385291" u="1"/>
        <s v="00385292" u="1"/>
        <s v="00385293" u="1"/>
        <s v="00385294" u="1"/>
        <s v="00385295" u="1"/>
        <s v="00385296" u="1"/>
        <s v="00385297" u="1"/>
        <s v="00385298" u="1"/>
        <s v="00385299" u="1"/>
        <s v="00385300" u="1"/>
        <s v="00385301" u="1"/>
        <s v="00385302" u="1"/>
        <s v="00385303" u="1"/>
        <s v="00385304" u="1"/>
        <s v="00385305" u="1"/>
        <s v="00385306" u="1"/>
        <s v="00385307" u="1"/>
        <s v="00385308" u="1"/>
        <s v="00385309" u="1"/>
        <s v="00385310" u="1"/>
        <s v="00385311" u="1"/>
        <s v="00385312" u="1"/>
        <s v="00385313" u="1"/>
        <s v="00385314" u="1"/>
        <s v="00385315" u="1"/>
        <s v="00385316" u="1"/>
        <s v="00385317" u="1"/>
        <s v="00385318" u="1"/>
        <s v="00385319" u="1"/>
        <s v="00385320" u="1"/>
        <s v="00385321" u="1"/>
        <s v="00385322" u="1"/>
        <s v="00385323" u="1"/>
        <s v="00385324" u="1"/>
        <s v="00385325" u="1"/>
        <s v="00385326" u="1"/>
        <s v="00385327" u="1"/>
        <s v="00385328" u="1"/>
        <s v="00385329" u="1"/>
        <s v="00385330" u="1"/>
        <s v="00385331" u="1"/>
        <s v="00385332" u="1"/>
        <s v="00385333" u="1"/>
        <s v="00385334" u="1"/>
        <s v="00385335" u="1"/>
        <s v="00385336" u="1"/>
        <s v="00385337" u="1"/>
        <s v="00385338" u="1"/>
        <s v="00385339" u="1"/>
        <s v="00385340" u="1"/>
        <s v="00385341" u="1"/>
        <s v="00385342" u="1"/>
        <s v="00385343" u="1"/>
        <s v="00385344" u="1"/>
        <s v="00385345" u="1"/>
        <s v="00385346" u="1"/>
        <s v="00385347" u="1"/>
        <s v="00385348" u="1"/>
        <s v="00385349" u="1"/>
        <s v="00385350" u="1"/>
        <s v="00385351" u="1"/>
        <s v="00385352" u="1"/>
        <s v="00385353" u="1"/>
        <s v="00385354" u="1"/>
        <s v="00385355" u="1"/>
        <s v="00385356" u="1"/>
        <s v="00385357" u="1"/>
        <s v="00385358" u="1"/>
        <s v="00385359" u="1"/>
        <s v="00385360" u="1"/>
        <s v="00385361" u="1"/>
        <s v="00385362" u="1"/>
        <s v="00385363" u="1"/>
        <s v="00385364" u="1"/>
        <s v="00385365" u="1"/>
        <s v="00385366" u="1"/>
        <s v="00385367" u="1"/>
        <s v="00385368" u="1"/>
        <s v="00385369" u="1"/>
        <s v="00385370" u="1"/>
        <s v="00385371" u="1"/>
        <s v="00385372" u="1"/>
        <s v="00385373" u="1"/>
        <s v="00385374" u="1"/>
        <s v="00385375" u="1"/>
        <s v="00385376" u="1"/>
        <s v="00385377" u="1"/>
        <s v="00385378" u="1"/>
        <s v="00385379" u="1"/>
        <s v="00385380" u="1"/>
        <s v="00385381" u="1"/>
        <s v="00385382" u="1"/>
        <s v="00385383" u="1"/>
        <s v="00385384" u="1"/>
        <s v="00385385" u="1"/>
        <s v="00385386" u="1"/>
        <s v="00385387" u="1"/>
        <s v="00385388" u="1"/>
        <s v="00385389" u="1"/>
        <s v="00385390" u="1"/>
        <s v="00385391" u="1"/>
        <s v="00385392" u="1"/>
        <s v="00385393" u="1"/>
        <s v="00385394" u="1"/>
        <s v="00385395" u="1"/>
        <s v="00385396" u="1"/>
        <s v="00385397" u="1"/>
        <s v="00385398" u="1"/>
        <s v="00385399" u="1"/>
        <s v="00385400" u="1"/>
        <s v="00385401" u="1"/>
        <s v="00385402" u="1"/>
        <s v="00385403" u="1"/>
        <s v="00385404" u="1"/>
        <s v="00385405" u="1"/>
        <s v="00385406" u="1"/>
        <s v="00385407" u="1"/>
        <s v="00385408" u="1"/>
        <s v="00385409" u="1"/>
        <s v="00385410" u="1"/>
        <s v="00385411" u="1"/>
        <s v="00385412" u="1"/>
        <s v="00385413" u="1"/>
        <s v="00385414" u="1"/>
        <s v="00385415" u="1"/>
        <s v="00385416" u="1"/>
        <s v="00385417" u="1"/>
        <s v="00385418" u="1"/>
        <s v="00385419" u="1"/>
        <s v="00385420" u="1"/>
        <s v="00385421" u="1"/>
        <s v="00385422" u="1"/>
        <s v="00385423" u="1"/>
        <s v="00385424" u="1"/>
        <s v="00385425" u="1"/>
        <s v="00385426" u="1"/>
        <s v="00385427" u="1"/>
        <s v="00385428" u="1"/>
        <s v="00385429" u="1"/>
        <s v="00385430" u="1"/>
        <s v="00385431" u="1"/>
        <s v="00385432" u="1"/>
        <s v="00385433" u="1"/>
        <s v="00385434" u="1"/>
        <s v="00385435" u="1"/>
        <s v="00385436" u="1"/>
        <s v="00385437" u="1"/>
        <s v="00385438" u="1"/>
        <s v="00385439" u="1"/>
        <s v="00385440" u="1"/>
        <s v="00385441" u="1"/>
        <s v="00385442" u="1"/>
        <s v="00385443" u="1"/>
        <s v="00385444" u="1"/>
        <s v="00385445" u="1"/>
        <s v="00385446" u="1"/>
        <s v="00385447" u="1"/>
        <s v="00385448" u="1"/>
        <s v="00385449" u="1"/>
        <s v="00385450" u="1"/>
        <s v="00385451" u="1"/>
        <s v="00385452" u="1"/>
        <s v="00385453" u="1"/>
        <s v="00385454" u="1"/>
        <s v="00385455" u="1"/>
        <s v="00385456" u="1"/>
        <s v="00385457" u="1"/>
        <s v="00385458" u="1"/>
        <s v="00385459" u="1"/>
        <s v="00385460" u="1"/>
        <s v="00385461" u="1"/>
        <s v="00385462" u="1"/>
        <s v="00385463" u="1"/>
        <s v="00385464" u="1"/>
        <s v="00385465" u="1"/>
        <s v="00385466" u="1"/>
        <s v="00385467" u="1"/>
        <s v="00385468" u="1"/>
        <s v="00385469" u="1"/>
        <s v="00385470" u="1"/>
        <s v="00385471" u="1"/>
        <s v="00385472" u="1"/>
        <s v="00385473" u="1"/>
        <s v="00385474" u="1"/>
        <s v="00384981" u="1"/>
        <s v="00384982" u="1"/>
        <s v="00384983" u="1"/>
        <s v="00384984" u="1"/>
        <s v="00384985" u="1"/>
        <s v="00384986" u="1"/>
        <s v="00384987" u="1"/>
        <s v="00384988" u="1"/>
        <s v="00384989" u="1"/>
        <s v="00384990" u="1"/>
        <s v="00384991" u="1"/>
        <s v="00384992" u="1"/>
        <s v="00384993" u="1"/>
        <s v="00384994" u="1"/>
        <s v="00384995" u="1"/>
        <s v="00384996" u="1"/>
        <s v="00384997" u="1"/>
        <s v="00384998" u="1"/>
        <s v="00384999" u="1"/>
        <s v="00385000" u="1"/>
        <s v="00385001" u="1"/>
        <s v="00385002" u="1"/>
        <s v="00385003" u="1"/>
        <s v="00385004" u="1"/>
        <s v="00385005" u="1"/>
        <s v="00385006" u="1"/>
        <s v="00385007" u="1"/>
        <s v="00385008" u="1"/>
        <s v="00385009" u="1"/>
        <s v="00385010" u="1"/>
        <s v="00385011" u="1"/>
        <s v="00385012" u="1"/>
        <s v="00385013" u="1"/>
        <s v="00385014" u="1"/>
        <s v="00385015" u="1"/>
        <s v="00385016" u="1"/>
        <s v="00385017" u="1"/>
        <s v="00385018" u="1"/>
        <s v="00385019" u="1"/>
        <s v="00385020" u="1"/>
        <s v="00385021" u="1"/>
        <s v="00385022" u="1"/>
        <s v="00385023" u="1"/>
        <s v="00385024" u="1"/>
        <s v="00385025" u="1"/>
        <s v="00385026" u="1"/>
        <s v="00385027" u="1"/>
        <s v="00385028" u="1"/>
        <s v="00385029" u="1"/>
        <s v="00385030" u="1"/>
        <s v="00385031" u="1"/>
        <s v="00385032" u="1"/>
        <s v="00385033" u="1"/>
        <s v="00385034" u="1"/>
        <s v="00385035" u="1"/>
        <s v="00385036" u="1"/>
        <s v="00385037" u="1"/>
        <s v="00385038" u="1"/>
        <s v="00385039" u="1"/>
        <s v="00385040" u="1"/>
        <s v="00385041" u="1"/>
        <s v="00385042" u="1"/>
        <s v="00385043" u="1"/>
        <s v="00385044" u="1"/>
        <s v="00385045" u="1"/>
        <s v="00385046" u="1"/>
        <s v="00385047" u="1"/>
        <s v="00385048" u="1"/>
        <s v="00385049" u="1"/>
        <s v="00385050" u="1"/>
        <s v="00385051" u="1"/>
        <s v="00385052" u="1"/>
        <s v="00385053" u="1"/>
        <s v="00385054" u="1"/>
        <s v="00385055" u="1"/>
        <s v="00385056" u="1"/>
        <s v="00385057" u="1"/>
        <s v="00385058" u="1"/>
        <s v="00385059" u="1"/>
        <s v="00385060" u="1"/>
        <s v="00385061" u="1"/>
        <s v="00385062" u="1"/>
        <s v="00385063" u="1"/>
        <s v="00385064" u="1"/>
        <s v="00385065" u="1"/>
        <s v="00385066" u="1"/>
        <s v="00385067" u="1"/>
        <s v="00385068" u="1"/>
        <s v="00385069" u="1"/>
        <s v="00385070" u="1"/>
        <s v="00385071" u="1"/>
        <s v="00385072" u="1"/>
        <s v="00385073" u="1"/>
        <s v="00385074" u="1"/>
        <s v="00385075" u="1"/>
        <s v="00385076" u="1"/>
        <s v="00385077" u="1"/>
        <s v="00385078" u="1"/>
        <s v="00385079" u="1"/>
        <s v="00385080" u="1"/>
        <s v="00385081" u="1"/>
        <s v="00385082" u="1"/>
        <s v="00385083" u="1"/>
        <s v="00385084" u="1"/>
        <s v="00385085" u="1"/>
        <s v="00385086" u="1"/>
        <s v="00385087" u="1"/>
        <s v="00385088" u="1"/>
        <s v="00385089" u="1"/>
        <s v="00385090" u="1"/>
        <s v="00385091" u="1"/>
        <s v="00385092" u="1"/>
        <s v="00385093" u="1"/>
        <s v="00385094" u="1"/>
        <s v="00385095" u="1"/>
        <s v="00385096" u="1"/>
        <s v="00385097" u="1"/>
        <s v="00385098" u="1"/>
        <s v="00385099" u="1"/>
        <s v="00385100" u="1"/>
        <s v="00385101" u="1"/>
        <s v="00385102" u="1"/>
        <s v="00385103" u="1"/>
        <s v="00385104" u="1"/>
        <s v="00385105" u="1"/>
        <s v="00385106" u="1"/>
        <s v="00385107" u="1"/>
        <s v="00385108" u="1"/>
        <s v="00385109" u="1"/>
        <s v="00385110" u="1"/>
        <s v="00385111" u="1"/>
        <s v="00385112" u="1"/>
        <s v="00385113" u="1"/>
        <s v="00385114" u="1"/>
        <s v="00385115" u="1"/>
        <s v="00385116" u="1"/>
        <s v="00385117" u="1"/>
        <s v="00385118" u="1"/>
        <s v="00385119" u="1"/>
        <s v="00385120" u="1"/>
        <s v="00385121" u="1"/>
        <s v="00385122" u="1"/>
        <s v="00385123" u="1"/>
        <s v="00385124" u="1"/>
        <s v="00385125" u="1"/>
        <s v="00385126" u="1"/>
        <s v="00385127" u="1"/>
        <s v="00385128" u="1"/>
        <s v="00385129" u="1"/>
        <s v="00385130" u="1"/>
        <s v="00385131" u="1"/>
        <s v="00385132" u="1"/>
        <s v="00385133" u="1"/>
        <s v="00385134" u="1"/>
        <s v="00385135" u="1"/>
        <s v="00385136" u="1"/>
        <s v="00385137" u="1"/>
        <s v="00385138" u="1"/>
        <s v="00385139" u="1"/>
        <s v="00385140" u="1"/>
        <s v="00385141" u="1"/>
        <s v="00385142" u="1"/>
        <s v="00385143" u="1"/>
        <s v="00385144" u="1"/>
        <s v="00385145" u="1"/>
        <s v="00385146" u="1"/>
        <s v="00385147" u="1"/>
        <s v="00385148" u="1"/>
        <s v="00385149" u="1"/>
        <s v="00385150" u="1"/>
        <s v="00385151" u="1"/>
        <s v="00385152" u="1"/>
        <s v="00385153" u="1"/>
        <s v="00385154" u="1"/>
        <s v="00385155" u="1"/>
        <s v="00385156" u="1"/>
        <s v="00385157" u="1"/>
        <s v="00385158" u="1"/>
        <s v="00385159" u="1"/>
        <s v="00385160" u="1"/>
        <s v="00385161" u="1"/>
        <s v="00385162" u="1"/>
        <s v="00385163" u="1"/>
        <s v="00385164" u="1"/>
        <s v="00385165" u="1"/>
        <s v="00384706" u="1"/>
        <s v="00384707" u="1"/>
        <s v="00384708" u="1"/>
        <s v="00384709" u="1"/>
        <s v="00384710" u="1"/>
        <s v="00384711" u="1"/>
        <s v="00384712" u="1"/>
        <s v="00384713" u="1"/>
        <s v="00384714" u="1"/>
        <s v="00384715" u="1"/>
        <s v="00384716" u="1"/>
        <s v="00384717" u="1"/>
        <s v="00384718" u="1"/>
        <s v="00384719" u="1"/>
        <s v="00384720" u="1"/>
        <s v="00384721" u="1"/>
        <s v="00384722" u="1"/>
        <s v="00384723" u="1"/>
        <s v="00384724" u="1"/>
        <s v="00384725" u="1"/>
        <s v="00384726" u="1"/>
        <s v="00384727" u="1"/>
        <s v="00384728" u="1"/>
        <s v="00384729" u="1"/>
        <s v="00384730" u="1"/>
        <s v="00384731" u="1"/>
        <s v="00384732" u="1"/>
        <s v="00384733" u="1"/>
        <s v="00384734" u="1"/>
        <s v="00384735" u="1"/>
        <s v="00384736" u="1"/>
        <s v="00384737" u="1"/>
        <s v="00384738" u="1"/>
        <s v="00384739" u="1"/>
        <s v="00384740" u="1"/>
        <s v="00384741" u="1"/>
        <s v="00384742" u="1"/>
        <s v="00384743" u="1"/>
        <s v="00384744" u="1"/>
        <s v="00384745" u="1"/>
        <s v="00384746" u="1"/>
        <s v="00384747" u="1"/>
        <s v="00384748" u="1"/>
        <s v="00384749" u="1"/>
        <s v="00384750" u="1"/>
        <s v="00384751" u="1"/>
        <s v="00384752" u="1"/>
        <s v="00384753" u="1"/>
        <s v="00384754" u="1"/>
        <s v="00384755" u="1"/>
        <s v="00384756" u="1"/>
        <s v="00384757" u="1"/>
        <s v="00384758" u="1"/>
        <s v="00384759" u="1"/>
        <s v="00384760" u="1"/>
        <s v="00384761" u="1"/>
        <s v="00384762" u="1"/>
        <s v="00384763" u="1"/>
        <s v="00384764" u="1"/>
        <s v="00384765" u="1"/>
        <s v="00384766" u="1"/>
        <s v="00384767" u="1"/>
        <s v="00384768" u="1"/>
        <s v="00384769" u="1"/>
        <s v="00384770" u="1"/>
        <s v="00384771" u="1"/>
        <s v="00384772" u="1"/>
        <s v="00384773" u="1"/>
        <s v="00384774" u="1"/>
        <s v="00384775" u="1"/>
        <s v="00384776" u="1"/>
        <s v="00384777" u="1"/>
        <s v="00384778" u="1"/>
        <s v="00384779" u="1"/>
        <s v="00384783" u="1"/>
        <s v="00384784" u="1"/>
        <s v="00384785" u="1"/>
        <s v="00384786" u="1"/>
        <s v="00384787" u="1"/>
        <s v="00384788" u="1"/>
        <s v="00384789" u="1"/>
        <s v="00384790" u="1"/>
        <s v="00384791" u="1"/>
        <s v="00384792" u="1"/>
        <s v="00384793" u="1"/>
        <s v="00384794" u="1"/>
        <s v="00384795" u="1"/>
        <s v="00384796" u="1"/>
        <s v="00384797" u="1"/>
        <s v="00384798" u="1"/>
        <s v="00384799" u="1"/>
        <s v="00384800" u="1"/>
        <s v="00384801" u="1"/>
        <s v="00384802" u="1"/>
        <s v="00384803" u="1"/>
        <s v="00384804" u="1"/>
        <s v="00384805" u="1"/>
        <s v="00384806" u="1"/>
        <s v="00384807" u="1"/>
        <s v="00384808" u="1"/>
        <s v="00384809" u="1"/>
        <s v="00384810" u="1"/>
        <s v="00384811" u="1"/>
        <s v="00384812" u="1"/>
        <s v="00384813" u="1"/>
        <s v="00384814" u="1"/>
        <s v="00384815" u="1"/>
        <s v="00384816" u="1"/>
        <s v="00384817" u="1"/>
        <s v="00384818" u="1"/>
        <s v="00384819" u="1"/>
        <s v="00384820" u="1"/>
        <s v="00384821" u="1"/>
        <s v="00384822" u="1"/>
        <s v="00384823" u="1"/>
        <s v="00384824" u="1"/>
        <s v="00384825" u="1"/>
        <s v="00384826" u="1"/>
        <s v="00384827" u="1"/>
        <s v="00384828" u="1"/>
        <s v="00384829" u="1"/>
        <s v="00384830" u="1"/>
        <s v="00384831" u="1"/>
        <s v="00384832" u="1"/>
        <s v="00384833" u="1"/>
        <s v="00384834" u="1"/>
        <s v="00384835" u="1"/>
        <s v="00384836" u="1"/>
        <s v="00384837" u="1"/>
        <s v="00384838" u="1"/>
        <s v="00384839" u="1"/>
        <s v="00384840" u="1"/>
        <s v="00384854" u="1"/>
        <s v="00384855" u="1"/>
        <s v="00384856" u="1"/>
        <s v="00384857" u="1"/>
        <s v="00384858" u="1"/>
        <s v="00384859" u="1"/>
        <s v="00384860" u="1"/>
        <s v="00384861" u="1"/>
        <s v="00384862" u="1"/>
        <s v="00384863" u="1"/>
        <s v="00384864" u="1"/>
        <s v="00384865" u="1"/>
        <s v="00384866" u="1"/>
        <s v="00384867" u="1"/>
        <s v="00384868" u="1"/>
        <s v="00384869" u="1"/>
        <s v="00384870" u="1"/>
        <s v="00384871" u="1"/>
        <s v="00384872" u="1"/>
        <s v="00384873" u="1"/>
        <s v="00384879" u="1"/>
        <s v="00384895" u="1"/>
        <s v="00384896" u="1"/>
        <s v="00384897" u="1"/>
        <s v="00384898" u="1"/>
        <s v="00384899" u="1"/>
        <s v="00384900" u="1"/>
        <s v="00384901" u="1"/>
        <s v="00384902" u="1"/>
        <s v="00384903" u="1"/>
        <s v="00384904" u="1"/>
        <s v="00384905" u="1"/>
        <s v="00384906" u="1"/>
        <s v="00384907" u="1"/>
        <s v="00384908" u="1"/>
        <s v="00384909" u="1"/>
        <s v="00384910" u="1"/>
        <s v="00384911" u="1"/>
        <s v="00384912" u="1"/>
        <s v="00384913" u="1"/>
        <s v="00384914" u="1"/>
        <s v="00384915" u="1"/>
        <s v="00384916" u="1"/>
        <s v="00384917" u="1"/>
        <s v="00384918" u="1"/>
        <s v="00384919" u="1"/>
        <s v="00384920" u="1"/>
        <s v="00384921" u="1"/>
        <s v="00384922" u="1"/>
        <s v="00384923" u="1"/>
        <s v="00384924" u="1"/>
        <s v="00384925" u="1"/>
        <s v="00384926" u="1"/>
        <s v="00384927" u="1"/>
        <s v="00384928" u="1"/>
        <s v="00384929" u="1"/>
        <s v="00384930" u="1"/>
        <s v="00384931" u="1"/>
        <s v="00384932" u="1"/>
        <s v="00384154" u="1"/>
        <s v="00384155" u="1"/>
        <s v="00384156" u="1"/>
        <s v="00384157" u="1"/>
        <s v="00384158" u="1"/>
        <s v="00384159" u="1"/>
        <s v="00384160" u="1"/>
        <s v="00384161" u="1"/>
        <s v="00384162" u="1"/>
        <s v="00384163" u="1"/>
        <s v="00384164" u="1"/>
        <s v="00384165" u="1"/>
        <s v="00384166" u="1"/>
        <s v="00384167" u="1"/>
        <s v="00384168" u="1"/>
        <s v="00384169" u="1"/>
        <s v="00384170" u="1"/>
        <s v="00384171" u="1"/>
        <s v="00384172" u="1"/>
        <s v="00384173" u="1"/>
        <s v="00384174" u="1"/>
        <s v="00384175" u="1"/>
        <s v="00384176" u="1"/>
        <s v="00384177" u="1"/>
        <s v="00384178" u="1"/>
        <s v="00384179" u="1"/>
        <s v="00384180" u="1"/>
        <s v="00384181" u="1"/>
        <s v="00384182" u="1"/>
        <s v="00384183" u="1"/>
        <s v="00384184" u="1"/>
        <s v="00384185" u="1"/>
        <s v="00384186" u="1"/>
        <s v="00384187" u="1"/>
        <s v="00384188" u="1"/>
        <s v="00384189" u="1"/>
        <s v="00384190" u="1"/>
        <s v="00384191" u="1"/>
        <s v="00384192" u="1"/>
        <s v="00384193" u="1"/>
        <s v="00384194" u="1"/>
        <s v="00384195" u="1"/>
        <s v="00384196" u="1"/>
        <s v="00384197" u="1"/>
        <s v="00384198" u="1"/>
        <s v="00384199" u="1"/>
        <s v="00384200" u="1"/>
        <s v="00384201" u="1"/>
        <s v="00384202" u="1"/>
        <s v="00384203" u="1"/>
        <s v="00384204" u="1"/>
        <s v="00384205" u="1"/>
        <s v="00384206" u="1"/>
        <s v="00384207" u="1"/>
        <s v="00384208" u="1"/>
        <s v="00384209" u="1"/>
        <s v="00384210" u="1"/>
        <s v="00384211" u="1"/>
        <s v="00384212" u="1"/>
        <s v="00384213" u="1"/>
        <s v="00384214" u="1"/>
        <s v="00384215" u="1"/>
        <s v="00384216" u="1"/>
        <s v="00384217" u="1"/>
        <s v="00384218" u="1"/>
        <s v="00384219" u="1"/>
        <s v="00384220" u="1"/>
        <s v="00384221" u="1"/>
        <s v="00384222" u="1"/>
        <s v="00384223" u="1"/>
        <s v="00384224" u="1"/>
        <s v="00384225" u="1"/>
        <s v="00384226" u="1"/>
        <s v="00384227" u="1"/>
        <s v="00384228" u="1"/>
        <s v="00384229" u="1"/>
        <s v="00384230" u="1"/>
        <s v="00384231" u="1"/>
        <s v="00384232" u="1"/>
        <s v="00384233" u="1"/>
        <s v="00384234" u="1"/>
        <s v="00384235" u="1"/>
        <s v="00384236" u="1"/>
        <s v="00384237" u="1"/>
        <s v="00384238" u="1"/>
        <s v="00384239" u="1"/>
        <s v="00384240" u="1"/>
        <s v="00384241" u="1"/>
        <s v="00384242" u="1"/>
        <s v="00384243" u="1"/>
        <s v="00384244" u="1"/>
        <s v="00384245" u="1"/>
        <s v="00384246" u="1"/>
        <s v="00384247" u="1"/>
        <s v="00384248" u="1"/>
        <s v="00384249" u="1"/>
        <s v="00384250" u="1"/>
        <s v="00384251" u="1"/>
        <s v="00384252" u="1"/>
        <s v="00384253" u="1"/>
        <s v="00384254" u="1"/>
        <s v="00384255" u="1"/>
        <s v="00384256" u="1"/>
        <s v="00384257" u="1"/>
        <s v="00384258" u="1"/>
        <s v="00384259" u="1"/>
        <s v="00384260" u="1"/>
        <s v="00384261" u="1"/>
        <s v="00384262" u="1"/>
        <s v="00384263" u="1"/>
        <s v="00384264" u="1"/>
        <s v="00384265" u="1"/>
        <s v="00384266" u="1"/>
        <s v="00384267" u="1"/>
        <s v="00384268" u="1"/>
        <s v="00384269" u="1"/>
        <s v="00384270" u="1"/>
        <s v="00384271" u="1"/>
        <s v="00384272" u="1"/>
        <s v="00384273" u="1"/>
        <s v="00384274" u="1"/>
        <s v="00384275" u="1"/>
        <s v="00384276" u="1"/>
        <s v="00384277" u="1"/>
        <s v="00384278" u="1"/>
        <s v="00384279" u="1"/>
        <s v="00384280" u="1"/>
        <s v="00384281" u="1"/>
        <s v="00384282" u="1"/>
        <s v="00384283" u="1"/>
        <s v="00384284" u="1"/>
        <s v="00384285" u="1"/>
        <s v="00384286" u="1"/>
        <s v="00384287" u="1"/>
        <s v="00384288" u="1"/>
        <s v="00384289" u="1"/>
        <s v="00384290" u="1"/>
        <s v="00384291" u="1"/>
        <s v="00384292" u="1"/>
        <s v="00384293" u="1"/>
        <s v="00384294" u="1"/>
        <s v="00384295" u="1"/>
        <s v="00384296" u="1"/>
        <s v="00384297" u="1"/>
        <s v="00384298" u="1"/>
        <s v="00384299" u="1"/>
        <s v="00384300" u="1"/>
        <s v="00384301" u="1"/>
        <s v="00384302" u="1"/>
        <s v="00384303" u="1"/>
        <s v="00384304" u="1"/>
        <s v="00384305" u="1"/>
        <s v="00384306" u="1"/>
        <s v="00384307" u="1"/>
        <s v="00384308" u="1"/>
        <s v="00384309" u="1"/>
        <s v="00384310" u="1"/>
        <s v="00384311" u="1"/>
        <s v="00384312" u="1"/>
        <s v="00384313" u="1"/>
        <s v="00384314" u="1"/>
        <s v="00384315" u="1"/>
        <s v="00384316" u="1"/>
        <s v="00384317" u="1"/>
        <s v="00384318" u="1"/>
        <s v="00384319" u="1"/>
        <s v="00384320" u="1"/>
        <s v="00384321" u="1"/>
        <s v="00384322" u="1"/>
        <s v="00384323" u="1"/>
        <s v="00384324" u="1"/>
        <s v="00384325" u="1"/>
        <s v="00384326" u="1"/>
        <s v="00384327" u="1"/>
        <s v="00384328" u="1"/>
        <s v="00384329" u="1"/>
        <s v="00384330" u="1"/>
        <s v="00384331" u="1"/>
        <s v="00384332" u="1"/>
        <s v="00384333" u="1"/>
        <s v="00384334" u="1"/>
        <s v="00384335" u="1"/>
        <s v="00384336" u="1"/>
        <s v="00384337" u="1"/>
        <s v="00384338" u="1"/>
        <s v="00384339" u="1"/>
        <s v="00384340" u="1"/>
        <s v="00384341" u="1"/>
        <s v="00384342" u="1"/>
        <s v="00384343" u="1"/>
        <s v="00384344" u="1"/>
        <s v="00384345" u="1"/>
        <s v="00384346" u="1"/>
        <s v="00384347" u="1"/>
        <s v="00384348" u="1"/>
        <s v="00384349" u="1"/>
        <s v="00384350" u="1"/>
        <s v="00384351" u="1"/>
        <s v="00384352" u="1"/>
        <s v="00384353" u="1"/>
        <s v="00384354" u="1"/>
        <s v="00384355" u="1"/>
        <s v="00384356" u="1"/>
        <s v="00384357" u="1"/>
        <s v="00384358" u="1"/>
        <s v="00384359" u="1"/>
        <s v="00384360" u="1"/>
        <s v="00384361" u="1"/>
        <s v="00384362" u="1"/>
        <s v="00384363" u="1"/>
        <s v="00384364" u="1"/>
        <s v="00384365" u="1"/>
        <s v="00384366" u="1"/>
        <s v="00384367" u="1"/>
        <s v="00384368" u="1"/>
        <s v="00384369" u="1"/>
        <s v="00384370" u="1"/>
        <s v="00384371" u="1"/>
        <s v="00384372" u="1"/>
        <s v="00384373" u="1"/>
        <s v="00384374" u="1"/>
        <s v="00384375" u="1"/>
        <s v="00384376" u="1"/>
        <s v="00384377" u="1"/>
        <s v="00384378" u="1"/>
        <s v="00384379" u="1"/>
        <s v="00384380" u="1"/>
        <s v="00384381" u="1"/>
        <s v="00384382" u="1"/>
        <s v="00384383" u="1"/>
        <s v="00384384" u="1"/>
        <s v="00384385" u="1"/>
        <s v="00384386" u="1"/>
        <s v="00384387" u="1"/>
        <s v="00384388" u="1"/>
        <s v="00384389" u="1"/>
        <s v="00384390" u="1"/>
        <s v="00384391" u="1"/>
        <s v="00384392" u="1"/>
        <s v="00384393" u="1"/>
        <s v="00384394" u="1"/>
        <s v="00384395" u="1"/>
        <s v="00384396" u="1"/>
        <s v="00384397" u="1"/>
        <s v="00384398" u="1"/>
        <s v="00384399" u="1"/>
        <s v="00384400" u="1"/>
        <s v="00384401" u="1"/>
        <s v="00384402" u="1"/>
        <s v="00384403" u="1"/>
        <s v="00384404" u="1"/>
        <s v="00384405" u="1"/>
        <s v="00384406" u="1"/>
        <s v="00384407" u="1"/>
        <s v="00384408" u="1"/>
        <s v="00384409" u="1"/>
        <s v="00384410" u="1"/>
        <s v="00384411" u="1"/>
        <s v="00384412" u="1"/>
        <s v="00384413" u="1"/>
        <s v="00384414" u="1"/>
        <s v="00384415" u="1"/>
        <s v="00384416" u="1"/>
        <s v="00384417" u="1"/>
        <s v="00384418" u="1"/>
        <s v="00384419" u="1"/>
        <s v="00384420" u="1"/>
        <s v="00384421" u="1"/>
        <s v="00384422" u="1"/>
        <s v="00384423" u="1"/>
        <s v="00384424" u="1"/>
        <s v="00384425" u="1"/>
        <s v="00384426" u="1"/>
        <s v="00384427" u="1"/>
        <s v="00384428" u="1"/>
        <s v="00384429" u="1"/>
        <s v="00384430" u="1"/>
        <s v="00384431" u="1"/>
        <s v="00384432" u="1"/>
        <s v="00384433" u="1"/>
        <s v="00384434" u="1"/>
        <s v="00384435" u="1"/>
        <s v="00384436" u="1"/>
        <s v="00384437" u="1"/>
        <s v="00384438" u="1"/>
        <s v="00384439" u="1"/>
        <s v="00384440" u="1"/>
        <s v="00384441" u="1"/>
        <s v="00384442" u="1"/>
        <s v="00384443" u="1"/>
        <s v="00384444" u="1"/>
        <s v="00384445" u="1"/>
        <s v="00384446" u="1"/>
        <s v="00384447" u="1"/>
        <s v="00384448" u="1"/>
        <s v="00384449" u="1"/>
        <s v="00384450" u="1"/>
        <s v="00384451" u="1"/>
        <s v="00384452" u="1"/>
        <s v="00384453" u="1"/>
        <s v="00384454" u="1"/>
        <s v="00384455" u="1"/>
        <s v="00384456" u="1"/>
        <s v="00384457" u="1"/>
        <s v="00384458" u="1"/>
        <s v="00384459" u="1"/>
        <s v="00384460" u="1"/>
        <s v="00384461" u="1"/>
        <s v="00384462" u="1"/>
        <s v="00384463" u="1"/>
        <s v="00384464" u="1"/>
        <s v="00384465" u="1"/>
        <s v="00384466" u="1"/>
        <s v="00384467" u="1"/>
        <s v="00384468" u="1"/>
        <s v="00384469" u="1"/>
        <s v="00384470" u="1"/>
        <s v="00384471" u="1"/>
        <s v="00384472" u="1"/>
        <s v="00384473" u="1"/>
        <s v="00384474" u="1"/>
        <s v="00384475" u="1"/>
        <s v="00384476" u="1"/>
        <s v="00384477" u="1"/>
        <s v="00384478" u="1"/>
        <s v="00384479" u="1"/>
        <s v="00384480" u="1"/>
        <s v="00384481" u="1"/>
        <s v="00384482" u="1"/>
        <s v="00384483" u="1"/>
        <s v="00384484" u="1"/>
        <s v="00384485" u="1"/>
        <s v="00384486" u="1"/>
        <s v="00384487" u="1"/>
        <s v="00384488" u="1"/>
        <s v="00384489" u="1"/>
        <s v="00384490" u="1"/>
        <s v="00384491" u="1"/>
        <s v="00384492" u="1"/>
        <s v="00384493" u="1"/>
        <s v="00384494" u="1"/>
        <s v="00384495" u="1"/>
        <s v="00384496" u="1"/>
        <s v="00384497" u="1"/>
        <s v="00384498" u="1"/>
        <s v="00384499" u="1"/>
        <s v="00384500" u="1"/>
        <s v="00384501" u="1"/>
        <s v="00384502" u="1"/>
        <s v="00384503" u="1"/>
        <s v="00384504" u="1"/>
        <s v="00384505" u="1"/>
        <s v="00384506" u="1"/>
        <s v="00384507" u="1"/>
        <s v="00384508" u="1"/>
        <s v="00384509" u="1"/>
        <s v="00384510" u="1"/>
        <s v="00384511" u="1"/>
        <s v="00384512" u="1"/>
        <s v="00384513" u="1"/>
        <s v="00384514" u="1"/>
        <s v="00384515" u="1"/>
        <s v="00384516" u="1"/>
        <s v="00384517" u="1"/>
        <s v="00384518" u="1"/>
        <s v="00384519" u="1"/>
        <s v="00384520" u="1"/>
        <s v="00384521" u="1"/>
        <s v="00383753" u="1"/>
        <s v="00383754" u="1"/>
        <s v="00383755" u="1"/>
        <s v="00383756" u="1"/>
        <s v="00383757" u="1"/>
        <s v="00383758" u="1"/>
        <s v="00383759" u="1"/>
        <s v="00383760" u="1"/>
        <s v="00383761" u="1"/>
        <s v="00383762" u="1"/>
        <s v="00383763" u="1"/>
        <s v="00383764" u="1"/>
        <s v="00383765" u="1"/>
        <s v="00383766" u="1"/>
        <s v="00383767" u="1"/>
        <s v="00383768" u="1"/>
        <s v="00383769" u="1"/>
        <s v="00383770" u="1"/>
        <s v="00383771" u="1"/>
        <s v="00383772" u="1"/>
        <s v="00383773" u="1"/>
        <s v="00383774" u="1"/>
        <s v="00383775" u="1"/>
        <s v="00383776" u="1"/>
        <s v="00383777" u="1"/>
        <s v="00383778" u="1"/>
        <s v="00383779" u="1"/>
        <s v="00383780" u="1"/>
        <s v="00383781" u="1"/>
        <s v="00383782" u="1"/>
        <s v="00383783" u="1"/>
        <s v="00383784" u="1"/>
        <s v="00383785" u="1"/>
        <s v="00383786" u="1"/>
        <s v="00383787" u="1"/>
        <s v="00383788" u="1"/>
        <s v="00383789" u="1"/>
        <s v="00383790" u="1"/>
        <s v="00383791" u="1"/>
        <s v="00383792" u="1"/>
        <s v="00383793" u="1"/>
        <s v="00383794" u="1"/>
        <s v="00383795" u="1"/>
        <s v="00383796" u="1"/>
        <s v="00383797" u="1"/>
        <s v="00383798" u="1"/>
        <s v="00383799" u="1"/>
        <s v="00383800" u="1"/>
        <s v="00383801" u="1"/>
        <s v="00383802" u="1"/>
        <s v="00383803" u="1"/>
        <s v="00383804" u="1"/>
        <s v="00383805" u="1"/>
        <s v="00383806" u="1"/>
        <s v="00383807" u="1"/>
        <s v="00383808" u="1"/>
        <s v="00383809" u="1"/>
        <s v="00383810" u="1"/>
        <s v="00383811" u="1"/>
        <s v="00383812" u="1"/>
        <s v="00383813" u="1"/>
        <s v="00383814" u="1"/>
        <s v="00383815" u="1"/>
        <s v="00383816" u="1"/>
        <s v="00383817" u="1"/>
        <s v="00383818" u="1"/>
        <s v="00383819" u="1"/>
        <s v="00383820" u="1"/>
        <s v="00383821" u="1"/>
        <s v="00383822" u="1"/>
        <s v="00383823" u="1"/>
        <s v="00383824" u="1"/>
        <s v="00383825" u="1"/>
        <s v="00383826" u="1"/>
        <s v="00383827" u="1"/>
        <s v="00383828" u="1"/>
        <s v="00383829" u="1"/>
        <s v="00383830" u="1"/>
        <s v="00383831" u="1"/>
        <s v="00383832" u="1"/>
        <s v="00383833" u="1"/>
        <s v="00383834" u="1"/>
        <s v="00383835" u="1"/>
        <s v="00383836" u="1"/>
        <s v="00383837" u="1"/>
        <s v="00383838" u="1"/>
        <s v="00383839" u="1"/>
        <s v="00383840" u="1"/>
        <s v="00383841" u="1"/>
        <s v="00383842" u="1"/>
        <s v="00383843" u="1"/>
        <s v="00383844" u="1"/>
        <s v="00383845" u="1"/>
        <s v="00383846" u="1"/>
        <s v="00383847" u="1"/>
        <s v="00383848" u="1"/>
        <s v="00383849" u="1"/>
        <s v="00383850" u="1"/>
        <s v="00383851" u="1"/>
        <s v="00383852" u="1"/>
        <s v="00383853" u="1"/>
        <s v="00383854" u="1"/>
        <s v="00383855" u="1"/>
        <s v="00383856" u="1"/>
        <s v="00383857" u="1"/>
        <s v="00383858" u="1"/>
        <s v="00383859" u="1"/>
        <s v="00383860" u="1"/>
        <s v="00383861" u="1"/>
        <s v="00383862" u="1"/>
        <s v="00383863" u="1"/>
        <s v="00383864" u="1"/>
        <s v="00383865" u="1"/>
        <s v="00383866" u="1"/>
        <s v="00383867" u="1"/>
        <s v="00383868" u="1"/>
        <s v="00383869" u="1"/>
        <s v="00383870" u="1"/>
        <s v="00383871" u="1"/>
        <s v="00383872" u="1"/>
        <s v="00383873" u="1"/>
        <s v="00383874" u="1"/>
        <s v="00383875" u="1"/>
        <s v="00383876" u="1"/>
        <s v="00383877" u="1"/>
        <s v="00383878" u="1"/>
        <s v="00383879" u="1"/>
        <s v="00383880" u="1"/>
        <s v="00383881" u="1"/>
        <s v="00383882" u="1"/>
        <s v="00383883" u="1"/>
        <s v="00383884" u="1"/>
        <s v="00382942" u="1"/>
        <s v="00382943" u="1"/>
        <s v="00382944" u="1"/>
        <s v="00382945" u="1"/>
        <s v="00382946" u="1"/>
        <s v="00382947" u="1"/>
        <s v="00382948" u="1"/>
        <s v="00382949" u="1"/>
        <s v="00382950" u="1"/>
        <s v="00382951" u="1"/>
        <s v="00382952" u="1"/>
        <s v="00382953" u="1"/>
        <s v="00382954" u="1"/>
        <s v="00382955" u="1"/>
        <s v="00382956" u="1"/>
        <s v="00382957" u="1"/>
        <s v="00382958" u="1"/>
        <s v="00382959" u="1"/>
        <s v="00382960" u="1"/>
        <s v="00382961" u="1"/>
        <s v="00382962" u="1"/>
        <s v="00382963" u="1"/>
        <s v="00382964" u="1"/>
        <s v="00382965" u="1"/>
        <s v="00382966" u="1"/>
        <s v="00382967" u="1"/>
        <s v="00382968" u="1"/>
        <s v="00382969" u="1"/>
        <s v="00382970" u="1"/>
        <s v="00382971" u="1"/>
        <s v="00382972" u="1"/>
        <s v="00382973" u="1"/>
        <s v="00382974" u="1"/>
        <s v="00382975" u="1"/>
        <s v="00382976" u="1"/>
        <s v="00382977" u="1"/>
        <s v="00382978" u="1"/>
        <s v="00382979" u="1"/>
        <s v="00382980" u="1"/>
        <s v="00382981" u="1"/>
        <s v="00382982" u="1"/>
        <s v="00382983" u="1"/>
        <s v="00382984" u="1"/>
        <s v="00382985" u="1"/>
        <s v="00382986" u="1"/>
        <s v="00382987" u="1"/>
        <s v="00382988" u="1"/>
        <s v="00382989" u="1"/>
        <s v="00382990" u="1"/>
        <s v="00382991" u="1"/>
        <s v="00382992" u="1"/>
        <s v="00382993" u="1"/>
        <s v="00382994" u="1"/>
        <s v="00382995" u="1"/>
        <s v="00382996" u="1"/>
        <s v="00382997" u="1"/>
        <s v="00382998" u="1"/>
        <s v="00382999" u="1"/>
        <s v="00383000" u="1"/>
        <s v="00383001" u="1"/>
        <s v="00383002" u="1"/>
        <s v="00383003" u="1"/>
        <s v="00383004" u="1"/>
        <s v="00383005" u="1"/>
        <s v="00383006" u="1"/>
        <s v="00383007" u="1"/>
        <s v="00383008" u="1"/>
        <s v="00383009" u="1"/>
        <s v="00383010" u="1"/>
        <s v="00383011" u="1"/>
        <s v="00383012" u="1"/>
        <s v="00383013" u="1"/>
        <s v="00383014" u="1"/>
        <s v="00383015" u="1"/>
        <s v="00383016" u="1"/>
        <s v="00383017" u="1"/>
        <s v="00383018" u="1"/>
        <s v="00383019" u="1"/>
        <s v="00383020" u="1"/>
        <s v="00383021" u="1"/>
        <s v="00383022" u="1"/>
        <s v="00383023" u="1"/>
        <s v="00383024" u="1"/>
        <s v="00383025" u="1"/>
        <s v="00383026" u="1"/>
        <s v="00383027" u="1"/>
        <s v="00383028" u="1"/>
        <s v="00383029" u="1"/>
        <s v="00383030" u="1"/>
        <s v="00383031" u="1"/>
        <s v="00383032" u="1"/>
        <s v="00383033" u="1"/>
        <s v="00383034" u="1"/>
        <s v="00383035" u="1"/>
        <s v="00383036" u="1"/>
        <s v="00383037" u="1"/>
        <s v="00383038" u="1"/>
        <s v="00383039" u="1"/>
        <s v="00383040" u="1"/>
        <s v="00383041" u="1"/>
        <s v="00383042" u="1"/>
        <s v="00383043" u="1"/>
        <s v="00383044" u="1"/>
        <s v="00383045" u="1"/>
        <s v="00383046" u="1"/>
        <s v="00383047" u="1"/>
        <s v="00383048" u="1"/>
        <s v="00383049" u="1"/>
        <s v="00382469" u="1"/>
        <s v="00382470" u="1"/>
        <s v="00382471" u="1"/>
        <s v="00382472" u="1"/>
        <s v="00382473" u="1"/>
        <s v="00382474" u="1"/>
        <s v="00382475" u="1"/>
        <s v="00382476" u="1"/>
        <s v="00382477" u="1"/>
        <s v="00382478" u="1"/>
        <s v="00382479" u="1"/>
        <s v="00382480" u="1"/>
        <s v="00382481" u="1"/>
        <s v="00382482" u="1"/>
        <s v="00382483" u="1"/>
        <s v="00382484" u="1"/>
        <s v="00382485" u="1"/>
        <s v="00382486" u="1"/>
        <s v="00382487" u="1"/>
        <s v="00382488" u="1"/>
        <s v="00382489" u="1"/>
        <s v="00382490" u="1"/>
        <s v="00382491" u="1"/>
        <s v="00382492" u="1"/>
        <s v="00382493" u="1"/>
        <s v="00382494" u="1"/>
        <s v="00382495" u="1"/>
        <s v="00382496" u="1"/>
        <s v="00382497" u="1"/>
        <s v="00382498" u="1"/>
        <s v="00382499" u="1"/>
        <s v="00382500" u="1"/>
        <s v="00382501" u="1"/>
        <s v="00382502" u="1"/>
        <s v="00382503" u="1"/>
        <s v="00382504" u="1"/>
        <s v="00382505" u="1"/>
        <s v="00382506" u="1"/>
        <s v="00382507" u="1"/>
        <s v="00382508" u="1"/>
        <s v="00382509" u="1"/>
        <s v="00382510" u="1"/>
        <s v="00382511" u="1"/>
        <s v="00382512" u="1"/>
        <s v="00382513" u="1"/>
        <s v="00382514" u="1"/>
        <s v="00382515" u="1"/>
        <s v="00382516" u="1"/>
        <s v="00382517" u="1"/>
        <s v="00382518" u="1"/>
        <s v="00382519" u="1"/>
        <s v="00382520" u="1"/>
        <s v="00382521" u="1"/>
        <s v="00382522" u="1"/>
        <s v="00382523" u="1"/>
        <s v="00382524" u="1"/>
        <s v="00382525" u="1"/>
        <s v="00382526" u="1"/>
        <s v="00382527" u="1"/>
        <s v="00382528" u="1"/>
        <s v="00382529" u="1"/>
        <s v="00382530" u="1"/>
        <s v="00382531" u="1"/>
        <s v="00382532" u="1"/>
        <s v="00382533" u="1"/>
        <s v="00382534" u="1"/>
        <s v="00382535" u="1"/>
        <s v="00382536" u="1"/>
        <s v="00382537" u="1"/>
        <s v="00382538" u="1"/>
        <s v="00382539" u="1"/>
        <s v="00382540" u="1"/>
        <s v="00382541" u="1"/>
        <s v="00382542" u="1"/>
        <s v="00382543" u="1"/>
        <s v="00382544" u="1"/>
        <s v="00382545" u="1"/>
        <s v="00382546" u="1"/>
        <s v="00382547" u="1"/>
        <s v="00382548" u="1"/>
        <s v="00382549" u="1"/>
        <s v="00382550" u="1"/>
        <s v="00382551" u="1"/>
        <s v="00382552" u="1"/>
        <s v="00382553" u="1"/>
        <s v="00382554" u="1"/>
        <s v="00382555" u="1"/>
        <s v="00382556" u="1"/>
        <s v="00382557" u="1"/>
        <s v="00382558" u="1"/>
        <s v="00382559" u="1"/>
        <s v="00382560" u="1"/>
        <s v="00382561" u="1"/>
        <s v="00382562" u="1"/>
        <s v="00382563" u="1"/>
        <s v="00382564" u="1"/>
        <s v="00382565" u="1"/>
        <s v="00382566" u="1"/>
        <s v="00382567" u="1"/>
        <s v="00382568" u="1"/>
        <s v="00382569" u="1"/>
        <s v="00382570" u="1"/>
        <s v="00382571" u="1"/>
        <s v="00382572" u="1"/>
        <s v="00382573" u="1"/>
        <s v="00382574" u="1"/>
        <s v="00382575" u="1"/>
        <s v="00382576" u="1"/>
        <s v="00382577" u="1"/>
        <s v="00382578" u="1"/>
        <s v="00382579" u="1"/>
        <s v="00382580" u="1"/>
        <s v="00382581" u="1"/>
        <s v="00382582" u="1"/>
        <s v="00382583" u="1"/>
        <s v="00382584" u="1"/>
        <s v="00382585" u="1"/>
        <s v="00382586" u="1"/>
        <s v="00382587" u="1"/>
        <s v="00382588" u="1"/>
        <s v="00382589" u="1"/>
        <s v="00382590" u="1"/>
        <s v="00382591" u="1"/>
        <s v="00382592" u="1"/>
        <s v="00382593" u="1"/>
        <s v="00382594" u="1"/>
        <s v="00382595" u="1"/>
        <s v="00382596" u="1"/>
        <s v="00382597" u="1"/>
        <s v="00382598" u="1"/>
        <s v="00382599" u="1"/>
        <s v="00382600" u="1"/>
        <s v="00382601" u="1"/>
        <s v="00382602" u="1"/>
        <s v="00382603" u="1"/>
        <s v="00382604" u="1"/>
        <s v="00382605" u="1"/>
        <s v="00382606" u="1"/>
        <s v="00382607" u="1"/>
        <s v="00382608" u="1"/>
        <s v="00382609" u="1"/>
        <s v="00382610" u="1"/>
        <s v="00382611" u="1"/>
        <s v="00382612" u="1"/>
        <s v="00382613" u="1"/>
        <s v="00382614" u="1"/>
        <s v="00382615" u="1"/>
        <s v="00382616" u="1"/>
        <s v="00382617" u="1"/>
        <s v="00382618" u="1"/>
        <s v="00382619" u="1"/>
        <s v="00382620" u="1"/>
        <s v="00382621" u="1"/>
        <s v="00382622" u="1"/>
        <s v="00382623" u="1"/>
        <s v="00382624" u="1"/>
        <s v="00382625" u="1"/>
        <s v="00382626" u="1"/>
        <s v="00382627" u="1"/>
        <s v="00382628" u="1"/>
        <s v="00382629" u="1"/>
        <s v="00381899" u="1"/>
        <s v="00381900" u="1"/>
        <s v="00381901" u="1"/>
        <s v="00381902" u="1"/>
        <s v="00381903" u="1"/>
        <s v="00381904" u="1"/>
        <s v="00381905" u="1"/>
        <s v="00381906" u="1"/>
        <s v="00381907" u="1"/>
        <s v="00381908" u="1"/>
        <s v="00381909" u="1"/>
        <s v="00381910" u="1"/>
        <s v="00381911" u="1"/>
        <s v="00381912" u="1"/>
        <s v="00381913" u="1"/>
        <s v="00381914" u="1"/>
        <s v="00381915" u="1"/>
        <s v="00381916" u="1"/>
        <s v="00381917" u="1"/>
        <s v="00381918" u="1"/>
        <s v="00381919" u="1"/>
        <s v="00381920" u="1"/>
        <s v="00381921" u="1"/>
        <s v="00381922" u="1"/>
        <s v="00381923" u="1"/>
        <s v="00381924" u="1"/>
        <s v="00381925" u="1"/>
        <s v="00381926" u="1"/>
        <s v="00381927" u="1"/>
        <s v="00381928" u="1"/>
        <s v="00381929" u="1"/>
        <s v="00381930" u="1"/>
        <s v="00381931" u="1"/>
        <s v="00381932" u="1"/>
        <s v="00381933" u="1"/>
        <s v="00381934" u="1"/>
        <s v="00381935" u="1"/>
        <s v="00381936" u="1"/>
        <s v="00381937" u="1"/>
        <s v="00381938" u="1"/>
        <s v="00381939" u="1"/>
        <s v="00381940" u="1"/>
        <s v="00381941" u="1"/>
        <s v="00381942" u="1"/>
        <s v="00381943" u="1"/>
        <s v="00381944" u="1"/>
        <s v="00381945" u="1"/>
        <s v="00381946" u="1"/>
        <s v="00381947" u="1"/>
        <s v="00381948" u="1"/>
        <s v="00381949" u="1"/>
        <s v="00381950" u="1"/>
        <s v="00381951" u="1"/>
        <s v="00381952" u="1"/>
        <s v="00381953" u="1"/>
        <s v="00381954" u="1"/>
        <s v="00381955" u="1"/>
        <s v="00381956" u="1"/>
        <s v="00381957" u="1"/>
        <s v="00381958" u="1"/>
        <s v="00381959" u="1"/>
        <s v="00381960" u="1"/>
        <s v="00381961" u="1"/>
        <s v="00381962" u="1"/>
        <s v="00381963" u="1"/>
        <s v="00381964" u="1"/>
        <s v="00381965" u="1"/>
        <s v="00381966" u="1"/>
        <s v="00381967" u="1"/>
        <s v="00381968" u="1"/>
        <s v="00381969" u="1"/>
        <s v="00381970" u="1"/>
        <s v="00381971" u="1"/>
        <s v="00381972" u="1"/>
        <s v="00381973" u="1"/>
        <s v="00381974" u="1"/>
        <s v="00381975" u="1"/>
        <s v="00381976" u="1"/>
        <s v="00381977" u="1"/>
        <s v="00381978" u="1"/>
        <s v="00381979" u="1"/>
        <s v="00381980" u="1"/>
        <s v="00381981" u="1"/>
        <s v="00381982" u="1"/>
        <s v="00381983" u="1"/>
        <s v="00381984" u="1"/>
        <s v="00381985" u="1"/>
        <s v="00381986" u="1"/>
        <s v="00381987" u="1"/>
        <s v="00381988" u="1"/>
        <s v="00381989" u="1"/>
        <s v="00381990" u="1"/>
        <s v="00381991" u="1"/>
        <s v="00381992" u="1"/>
        <s v="00381993" u="1"/>
        <s v="00381994" u="1"/>
        <s v="00381995" u="1"/>
        <s v="00381996" u="1"/>
        <s v="00381997" u="1"/>
        <s v="00381998" u="1"/>
        <s v="00381999" u="1"/>
        <s v="00382000" u="1"/>
        <s v="00382001" u="1"/>
        <s v="00382002" u="1"/>
        <s v="00382003" u="1"/>
        <s v="00382004" u="1"/>
        <s v="00382005" u="1"/>
        <s v="00382006" u="1"/>
        <s v="00382007" u="1"/>
        <s v="00382008" u="1"/>
        <s v="00382009" u="1"/>
        <s v="00382010" u="1"/>
        <s v="00382011" u="1"/>
        <s v="00382012" u="1"/>
        <s v="00382013" u="1"/>
        <s v="00382014" u="1"/>
        <s v="00382015" u="1"/>
        <s v="00382016" u="1"/>
        <s v="00382017" u="1"/>
        <s v="00382018" u="1"/>
        <s v="00382019" u="1"/>
        <s v="00382020" u="1"/>
        <s v="00382021" u="1"/>
        <s v="00382022" u="1"/>
        <s v="00382023" u="1"/>
        <s v="00382024" u="1"/>
        <s v="00382025" u="1"/>
        <s v="00382026" u="1"/>
        <s v="00382027" u="1"/>
        <s v="00382028" u="1"/>
        <s v="00382029" u="1"/>
        <s v="00382030" u="1"/>
        <s v="00382031" u="1"/>
        <s v="00382032" u="1"/>
        <s v="00382033" u="1"/>
        <s v="00382034" u="1"/>
        <s v="00382035" u="1"/>
        <s v="00382036" u="1"/>
        <s v="00382037" u="1"/>
        <s v="00382038" u="1"/>
        <s v="00382039" u="1"/>
        <s v="00382040" u="1"/>
        <s v="00382041" u="1"/>
        <s v="00382042" u="1"/>
        <s v="00382043" u="1"/>
        <s v="00382044" u="1"/>
        <s v="00382045" u="1"/>
        <s v="00382046" u="1"/>
        <s v="00382047" u="1"/>
        <s v="00382048" u="1"/>
        <s v="00382049" u="1"/>
        <s v="00382050" u="1"/>
        <s v="00382051" u="1"/>
        <s v="00382052" u="1"/>
        <s v="00382053" u="1"/>
        <s v="00382054" u="1"/>
        <s v="00382055" u="1"/>
        <s v="00382056" u="1"/>
        <s v="00382057" u="1"/>
        <s v="00382058" u="1"/>
        <s v="00382059" u="1"/>
        <s v="00382060" u="1"/>
        <s v="00382061" u="1"/>
        <s v="00382062" u="1"/>
        <s v="00382063" u="1"/>
        <s v="00382064" u="1"/>
        <s v="00382065" u="1"/>
        <s v="00382066" u="1"/>
        <s v="00382067" u="1"/>
        <s v="00382068" u="1"/>
        <s v="00382069" u="1"/>
        <s v="00382070" u="1"/>
        <s v="00382071" u="1"/>
        <s v="00382072" u="1"/>
        <s v="00382073" u="1"/>
        <s v="00382074" u="1"/>
        <s v="00382075" u="1"/>
        <s v="00382076" u="1"/>
        <s v="00382077" u="1"/>
        <s v="00382078" u="1"/>
        <s v="00382079" u="1"/>
        <s v="00382080" u="1"/>
        <s v="00382081" u="1"/>
        <s v="00382082" u="1"/>
        <s v="00382083" u="1"/>
        <s v="00382084" u="1"/>
        <s v="00382085" u="1"/>
        <s v="00382086" u="1"/>
        <s v="00382087" u="1"/>
        <s v="00382088" u="1"/>
        <s v="00382089" u="1"/>
        <s v="00382090" u="1"/>
        <s v="00382091" u="1"/>
        <s v="00382092" u="1"/>
        <s v="00382093" u="1"/>
        <s v="00382094" u="1"/>
        <s v="00382095" u="1"/>
        <s v="00382096" u="1"/>
        <s v="00382097" u="1"/>
        <s v="00382098" u="1"/>
        <s v="00382099" u="1"/>
        <s v="00382100" u="1"/>
        <s v="00382101" u="1"/>
        <s v="00382102" u="1"/>
        <s v="00382103" u="1"/>
        <s v="00382104" u="1"/>
        <s v="00382105" u="1"/>
        <s v="00382106" u="1"/>
        <s v="00382107" u="1"/>
        <s v="00382108" u="1"/>
        <s v="00382109" u="1"/>
        <s v="00382110" u="1"/>
        <s v="00382111" u="1"/>
        <s v="00382112" u="1"/>
        <s v="00382113" u="1"/>
        <s v="00382114" u="1"/>
        <s v="00382115" u="1"/>
        <s v="00382116" u="1"/>
        <s v="00382117" u="1"/>
        <s v="00382118" u="1"/>
        <s v="00382119" u="1"/>
        <s v="00382120" u="1"/>
        <s v="00382121" u="1"/>
        <s v="00382122" u="1"/>
        <s v="00382123" u="1"/>
        <s v="00382124" u="1"/>
        <s v="00382125" u="1"/>
        <s v="00382126" u="1"/>
        <s v="00382127" u="1"/>
        <s v="00382128" u="1"/>
        <s v="00382129" u="1"/>
        <s v="00382130" u="1"/>
        <s v="00382131" u="1"/>
        <s v="00382132" u="1"/>
        <s v="00382133" u="1"/>
        <s v="00382134" u="1"/>
        <s v="00382135" u="1"/>
        <s v="00382136" u="1"/>
        <s v="00382137" u="1"/>
        <s v="00382138" u="1"/>
        <s v="00382139" u="1"/>
        <s v="00382140" u="1"/>
        <s v="00382141" u="1"/>
        <s v="00382142" u="1"/>
        <s v="00382143" u="1"/>
        <s v="00382144" u="1"/>
        <s v="00382145" u="1"/>
        <s v="00382146" u="1"/>
        <s v="00382147" u="1"/>
        <s v="00382148" u="1"/>
        <s v="00382149" u="1"/>
        <s v="00382150" u="1"/>
        <s v="00382151" u="1"/>
        <s v="00382152" u="1"/>
        <s v="00382153" u="1"/>
        <s v="00382154" u="1"/>
        <s v="00382155" u="1"/>
        <s v="00382156" u="1"/>
        <s v="00382157" u="1"/>
        <s v="00382158" u="1"/>
        <s v="00382159" u="1"/>
        <s v="00382160" u="1"/>
        <s v="00382161" u="1"/>
        <s v="00382162" u="1"/>
        <s v="00382163" u="1"/>
        <s v="00382164" u="1"/>
        <s v="00382165" u="1"/>
        <s v="00382166" u="1"/>
        <s v="00382167" u="1"/>
        <s v="00382168" u="1"/>
        <s v="00382169" u="1"/>
        <s v="00382170" u="1"/>
        <s v="00382171" u="1"/>
        <s v="00382172" u="1"/>
        <s v="00382173" u="1"/>
        <s v="00382174" u="1"/>
        <s v="00382175" u="1"/>
        <s v="00382176" u="1"/>
        <s v="00382177" u="1"/>
        <s v="00382178" u="1"/>
        <s v="00382179" u="1"/>
        <s v="00382180" u="1"/>
        <s v="00382181" u="1"/>
        <s v="00382182" u="1"/>
        <s v="00382183" u="1"/>
        <s v="00382184" u="1"/>
        <s v="00382185" u="1"/>
        <s v="00382186" u="1"/>
        <s v="00382187" u="1"/>
        <s v="00382188" u="1"/>
        <s v="00382189" u="1"/>
        <s v="00382190" u="1"/>
        <s v="00382191" u="1"/>
        <s v="00382192" u="1"/>
        <s v="00382193" u="1"/>
        <s v="00382194" u="1"/>
        <s v="00382195" u="1"/>
        <s v="00382196" u="1"/>
        <s v="00382197" u="1"/>
        <s v="00382198" u="1"/>
        <s v="00382199" u="1"/>
        <s v="00382200" u="1"/>
        <s v="00382201" u="1"/>
        <s v="00382202" u="1"/>
        <s v="00382203" u="1"/>
        <s v="00382204" u="1"/>
        <s v="00382205" u="1"/>
        <s v="00382206" u="1"/>
        <s v="00382207" u="1"/>
        <s v="00382208" u="1"/>
        <s v="00382209" u="1"/>
        <s v="00382210" u="1"/>
        <s v="00382211" u="1"/>
        <s v="00382212" u="1"/>
        <s v="00382213" u="1"/>
        <s v="00382214" u="1"/>
        <s v="00382215" u="1"/>
        <s v="00382216" u="1"/>
        <s v="00382217" u="1"/>
        <s v="00382218" u="1"/>
        <s v="00382219" u="1"/>
        <s v="00382220" u="1"/>
        <s v="00382221" u="1"/>
        <s v="00382222" u="1"/>
        <s v="00382223" u="1"/>
        <s v="00382224" u="1"/>
        <s v="00382225" u="1"/>
        <s v="00382226" u="1"/>
        <s v="00382227" u="1"/>
        <s v="00382228" u="1"/>
        <s v="00382229" u="1"/>
        <s v="00382230" u="1"/>
        <s v="00382231" u="1"/>
        <s v="00382232" u="1"/>
        <s v="00382233" u="1"/>
        <s v="00382234" u="1"/>
        <s v="00382235" u="1"/>
        <s v="00382236" u="1"/>
        <s v="00382237" u="1"/>
        <s v="00382238" u="1"/>
        <s v="00382239" u="1"/>
        <s v="00382240" u="1"/>
        <s v="00382241" u="1"/>
        <s v="00382242" u="1"/>
        <s v="00382243" u="1"/>
        <s v="00382244" u="1"/>
        <s v="00382245" u="1"/>
        <s v="00382246" u="1"/>
        <s v="00382247" u="1"/>
        <s v="00382248" u="1"/>
        <s v="00382249" u="1"/>
        <s v="00382250" u="1"/>
        <s v="00382251" u="1"/>
        <s v="00382252" u="1"/>
        <s v="00382253" u="1"/>
        <s v="00382254" u="1"/>
        <s v="00382255" u="1"/>
        <s v="00381795" u="1"/>
        <s v="00381796" u="1"/>
        <s v="00381797" u="1"/>
        <s v="00381798" u="1"/>
        <s v="00381799" u="1"/>
        <s v="00381800" u="1"/>
        <s v="00381801" u="1"/>
        <s v="00381802" u="1"/>
        <s v="00381803" u="1"/>
        <s v="00381804" u="1"/>
        <s v="00381805" u="1"/>
        <s v="00381806" u="1"/>
        <s v="00381807" u="1"/>
        <s v="00381808" u="1"/>
        <s v="00381809" u="1"/>
        <s v="00381810" u="1"/>
        <s v="00381811" u="1"/>
        <s v="00381812" u="1"/>
        <s v="00381813" u="1"/>
        <s v="00381814" u="1"/>
        <s v="00381815" u="1"/>
        <s v="00381816" u="1"/>
        <s v="00381817" u="1"/>
        <s v="00381818" u="1"/>
        <s v="00381819" u="1"/>
        <s v="00381820" u="1"/>
        <s v="00381821" u="1"/>
        <s v="00381822" u="1"/>
        <s v="00381823" u="1"/>
        <s v="00381824" u="1"/>
        <s v="00381825" u="1"/>
        <s v="00381826" u="1"/>
        <s v="00381827" u="1"/>
        <s v="00381828" u="1"/>
        <s v="00381829" u="1"/>
        <s v="00381830" u="1"/>
        <s v="00381831" u="1"/>
        <s v="00381832" u="1"/>
        <s v="00381833" u="1"/>
        <s v="00381834" u="1"/>
        <s v="00381835" u="1"/>
        <s v="00381836" u="1"/>
        <s v="00381837" u="1"/>
        <s v="00381838" u="1"/>
        <s v="00381839" u="1"/>
        <s v="00381840" u="1"/>
        <s v="00381841" u="1"/>
        <s v="00381842" u="1"/>
        <s v="00381843" u="1"/>
        <s v="00381844" u="1"/>
        <s v="00381845" u="1"/>
        <s v="00381846" u="1"/>
        <s v="00381847" u="1"/>
        <s v="00381848" u="1"/>
        <s v="00381849" u="1"/>
        <s v="00381850" u="1"/>
        <s v="00381851" u="1"/>
        <s v="00381852" u="1"/>
        <s v="00381853" u="1"/>
        <s v="00381854" u="1"/>
        <s v="00381395" u="1"/>
        <s v="00381396" u="1"/>
        <s v="00381397" u="1"/>
        <s v="00381398" u="1"/>
        <s v="00381399" u="1"/>
        <s v="00381400" u="1"/>
        <s v="00381401" u="1"/>
        <s v="00381402" u="1"/>
        <s v="00381403" u="1"/>
        <s v="00381404" u="1"/>
        <s v="00381405" u="1"/>
        <s v="00381406" u="1"/>
        <s v="00381407" u="1"/>
        <s v="00381408" u="1"/>
        <s v="00381409" u="1"/>
        <s v="00381410" u="1"/>
        <s v="00381411" u="1"/>
        <s v="00381412" u="1"/>
        <s v="00381413" u="1"/>
        <s v="00381414" u="1"/>
        <s v="00381415" u="1"/>
        <s v="00381416" u="1"/>
        <s v="00381417" u="1"/>
        <s v="00381418" u="1"/>
        <s v="00381419" u="1"/>
        <s v="00381420" u="1"/>
        <s v="00381421" u="1"/>
        <s v="00381422" u="1"/>
        <s v="00381423" u="1"/>
        <s v="00381424" u="1"/>
        <s v="00381425" u="1"/>
        <s v="00381426" u="1"/>
        <s v="00381427" u="1"/>
        <s v="00381428" u="1"/>
        <s v="00381429" u="1"/>
        <s v="00381430" u="1"/>
        <s v="00381431" u="1"/>
        <s v="00381432" u="1"/>
        <s v="00381433" u="1"/>
        <s v="00381434" u="1"/>
        <s v="00381435" u="1"/>
        <s v="00381436" u="1"/>
        <s v="00381437" u="1"/>
        <s v="00381438" u="1"/>
        <s v="00381439" u="1"/>
        <s v="00381440" u="1"/>
        <s v="00381441" u="1"/>
        <s v="00381442" u="1"/>
        <s v="00381443" u="1"/>
        <s v="00381444" u="1"/>
        <s v="00381445" u="1"/>
        <s v="00381446" u="1"/>
        <s v="00381447" u="1"/>
        <s v="00381448" u="1"/>
        <s v="00381449" u="1"/>
        <s v="00381450" u="1"/>
        <s v="00381451" u="1"/>
        <s v="00381452" u="1"/>
        <s v="00381453" u="1"/>
        <s v="00381454" u="1"/>
        <s v="00381455" u="1"/>
        <s v="00381456" u="1"/>
        <s v="00381457" u="1"/>
        <s v="00381458" u="1"/>
        <s v="00381459" u="1"/>
        <s v="00381460" u="1"/>
        <s v="00381461" u="1"/>
        <s v="00381462" u="1"/>
        <s v="00381463" u="1"/>
        <s v="00381464" u="1"/>
        <s v="00381465" u="1"/>
        <s v="00381466" u="1"/>
        <s v="00381467" u="1"/>
        <s v="00381468" u="1"/>
        <s v="00381276" u="1"/>
        <s v="00381279" u="1"/>
        <s v="00381282" u="1"/>
        <s v="00381354" u="1"/>
        <s v="00381358" u="1"/>
        <s v="00381283" u="1"/>
        <s v="00381355" u="1"/>
        <s v="00381359" u="1"/>
        <s v="00381258" u="1"/>
        <s v="00381274" u="1"/>
        <s v="00381277" u="1"/>
        <s v="00381280" u="1"/>
        <s v="00381284" u="1"/>
        <s v="00381300" u="1"/>
        <s v="00381302" u="1"/>
        <s v="00381323" u="1"/>
        <s v="00381352" u="1"/>
        <s v="00381356" u="1"/>
        <s v="00381360" u="1"/>
        <s v="00381304" u="1"/>
        <s v="00381306" u="1"/>
        <s v="00381308" u="1"/>
        <s v="00381311" u="1"/>
        <s v="00381314" u="1"/>
        <s v="00381330" u="1"/>
        <s v="00381339" u="1"/>
        <s v="00381368" u="1"/>
        <s v="00381371" u="1"/>
        <s v="00381309" u="1"/>
        <s v="00381312" u="1"/>
        <s v="00381315" u="1"/>
        <s v="00381331" u="1"/>
        <s v="00381340" u="1"/>
        <s v="00381369" u="1"/>
        <s v="00381341" u="1"/>
        <s v="00381305" u="1"/>
        <s v="00381307" u="1"/>
        <s v="00381332" u="1"/>
        <s v="00381342" u="1"/>
        <s v="00381370" u="1"/>
        <s v="00381372" u="1"/>
        <s v="00381333" u="1"/>
        <s v="00381343" u="1"/>
        <s v="00381310" u="1"/>
        <s v="00381313" u="1"/>
        <s v="00381316" u="1"/>
        <s v="00381334" u="1"/>
        <s v="00381335" u="1"/>
        <s v="00381336" u="1"/>
        <s v="00381344" u="1"/>
        <s v="00381292" u="1"/>
        <s v="00381329" u="1"/>
        <s v="00381338" u="1"/>
        <s v="00381345" u="1"/>
        <s v="00381317" u="1"/>
        <s v="00381262" u="1"/>
        <s v="00381263" u="1"/>
        <s v="00381346" u="1"/>
        <s v="00381293" u="1"/>
        <s v="00381264" u="1"/>
        <s v="00381250" u="1"/>
        <s v="00381269" u="1"/>
        <s v="00381285" u="1"/>
        <s v="00381294" u="1"/>
        <s v="00381297" u="1"/>
        <s v="00381357" u="1"/>
        <s v="00381361" u="1"/>
        <s v="00381337" u="1"/>
        <s v="00381325" u="1"/>
        <s v="00381364" u="1"/>
        <s v="00381251" u="1"/>
        <s v="00381320" u="1"/>
        <s v="00381265" u="1"/>
        <s v="00381270" u="1"/>
        <s v="00381326" u="1"/>
        <s v="00381365" u="1"/>
        <s v="00381252" u="1"/>
        <s v="00381266" u="1"/>
        <s v="00381347" u="1"/>
        <s v="00381271" u="1"/>
        <s v="00381259" u="1"/>
        <s v="00381275" u="1"/>
        <s v="00381278" u="1"/>
        <s v="00381281" u="1"/>
        <s v="00381301" u="1"/>
        <s v="00381303" u="1"/>
        <s v="00381353" u="1"/>
        <s v="00381286" u="1"/>
        <s v="00381289" u="1"/>
        <s v="00381253" u="1"/>
        <s v="00381254" u="1"/>
        <s v="00381272" u="1"/>
        <s v="00381295" u="1"/>
        <s v="00381298" u="1"/>
        <s v="00381296" u="1"/>
        <s v="00381299" u="1"/>
        <s v="00381267" u="1"/>
        <s v="00381268" u="1"/>
        <s v="00381255" u="1"/>
        <s v="00381318" u="1"/>
        <s v="00381348" u="1"/>
        <s v="00381349" u="1"/>
        <s v="00381350" u="1"/>
        <s v="00381351" u="1"/>
        <s v="00381256" u="1"/>
        <s v="00381273" u="1"/>
        <s v="00381319" u="1"/>
        <s v="00381257" u="1"/>
        <s v="00381260" u="1"/>
        <s v="00381287" u="1"/>
        <s v="00381290" u="1"/>
        <s v="00381327" u="1"/>
        <s v="00381362" u="1"/>
        <s v="00381366" u="1"/>
        <s v="00381261" u="1"/>
        <s v="00381288" u="1"/>
        <s v="00381291" u="1"/>
        <s v="00381363" u="1"/>
        <s v="00381324" u="1"/>
        <s v="00381328" u="1"/>
        <s v="00381367" u="1"/>
        <s v="00381321" u="1"/>
        <s v="00381322" u="1"/>
        <s v="00380993" u="1"/>
        <s v="00380994" u="1"/>
        <s v="00380995" u="1"/>
        <s v="00380996" u="1"/>
        <s v="00380997" u="1"/>
        <s v="00380998" u="1"/>
        <s v="00380999" u="1"/>
        <s v="00381000" u="1"/>
        <s v="00381001" u="1"/>
        <s v="00381002" u="1"/>
        <s v="00381003" u="1"/>
        <s v="00381004" u="1"/>
        <s v="00381005" u="1"/>
        <s v="00381006" u="1"/>
        <s v="00381007" u="1"/>
        <s v="00381008" u="1"/>
        <s v="00381009" u="1"/>
        <s v="00381010" u="1"/>
        <s v="00381011" u="1"/>
        <s v="00381012" u="1"/>
        <s v="00381013" u="1"/>
        <s v="00381014" u="1"/>
        <s v="00381015" u="1"/>
        <s v="00381016" u="1"/>
        <s v="00381017" u="1"/>
        <s v="00381018" u="1"/>
        <s v="00381019" u="1"/>
        <s v="00381020" u="1"/>
        <s v="00381021" u="1"/>
        <s v="00381022" u="1"/>
        <s v="00381023" u="1"/>
        <s v="00381024" u="1"/>
        <s v="00381025" u="1"/>
        <s v="00381026" u="1"/>
        <s v="00381027" u="1"/>
        <s v="00381028" u="1"/>
        <s v="00381029" u="1"/>
        <s v="00381030" u="1"/>
        <s v="00381031" u="1"/>
        <s v="00381032" u="1"/>
        <s v="00381033" u="1"/>
        <s v="00381034" u="1"/>
        <s v="00381035" u="1"/>
        <s v="00381036" u="1"/>
        <s v="00381037" u="1"/>
        <s v="00381038" u="1"/>
        <s v="00381039" u="1"/>
        <s v="00381040" u="1"/>
        <s v="00381041" u="1"/>
        <s v="00381042" u="1"/>
        <s v="00381043" u="1"/>
        <s v="00381044" u="1"/>
        <s v="00381045" u="1"/>
        <s v="00381046" u="1"/>
        <s v="00381047" u="1"/>
        <s v="00381048" u="1"/>
        <s v="00381049" u="1"/>
        <s v="00381050" u="1"/>
        <s v="00381051" u="1"/>
        <s v="00381052" u="1"/>
        <s v="00381053" u="1"/>
        <s v="00381054" u="1"/>
        <s v="00381055" u="1"/>
        <s v="00381056" u="1"/>
        <s v="00381057" u="1"/>
        <s v="00381058" u="1"/>
        <s v="00381059" u="1"/>
        <s v="00381060" u="1"/>
        <s v="00381061" u="1"/>
        <s v="00381062" u="1"/>
        <s v="00381063" u="1"/>
        <s v="00381064" u="1"/>
        <s v="00381065" u="1"/>
        <s v="00381066" u="1"/>
        <s v="00381067" u="1"/>
        <s v="00381068" u="1"/>
        <s v="00381069" u="1"/>
        <s v="00381070" u="1"/>
        <s v="00381071" u="1"/>
        <s v="00381072" u="1"/>
        <s v="00381073" u="1"/>
        <s v="00381074" u="1"/>
        <s v="00381075" u="1"/>
        <s v="00381076" u="1"/>
        <s v="00381077" u="1"/>
        <s v="00381078" u="1"/>
        <s v="00381079" u="1"/>
        <s v="00381080" u="1"/>
        <s v="00381081" u="1"/>
        <s v="00381082" u="1"/>
        <s v="00381083" u="1"/>
        <s v="00381084" u="1"/>
        <s v="00381085" u="1"/>
        <s v="00381086" u="1"/>
        <s v="00381087" u="1"/>
        <s v="00381088" u="1"/>
        <s v="00381089" u="1"/>
        <s v="00381090" u="1"/>
        <s v="00381091" u="1"/>
        <s v="00381092" u="1"/>
        <s v="00381093" u="1"/>
        <s v="00381094" u="1"/>
        <s v="00381095" u="1"/>
        <s v="00381096" u="1"/>
        <s v="00381097" u="1"/>
        <s v="00381098" u="1"/>
        <s v="00381099" u="1"/>
        <s v="00381100" u="1"/>
        <s v="00381101" u="1"/>
        <s v="00381102" u="1"/>
        <s v="00381103" u="1"/>
        <s v="00381104" u="1"/>
        <s v="00381105" u="1"/>
        <s v="00381106" u="1"/>
        <s v="00381107" u="1"/>
        <s v="00381108" u="1"/>
        <s v="00381109" u="1"/>
        <s v="00381110" u="1"/>
        <s v="00381111" u="1"/>
        <s v="00381112" u="1"/>
        <s v="00381113" u="1"/>
        <s v="00381114" u="1"/>
        <s v="00381115" u="1"/>
        <s v="00381116" u="1"/>
        <s v="00381117" u="1"/>
        <s v="00381118" u="1"/>
        <s v="00381119" u="1"/>
        <s v="00381120" u="1"/>
        <s v="00381121" u="1"/>
        <s v="00381122" u="1"/>
        <s v="00381123" u="1"/>
        <s v="00381124" u="1"/>
        <s v="00381125" u="1"/>
        <s v="00381126" u="1"/>
        <s v="00381127" u="1"/>
        <s v="00381128" u="1"/>
        <s v="00381129" u="1"/>
        <s v="00381130" u="1"/>
        <s v="00381131" u="1"/>
        <s v="00381132" u="1"/>
        <s v="00381133" u="1"/>
        <s v="00381134" u="1"/>
        <s v="00381135" u="1"/>
        <s v="00381136" u="1"/>
        <s v="00381137" u="1"/>
        <s v="00381138" u="1"/>
        <s v="00381139" u="1"/>
        <s v="00381140" u="1"/>
        <s v="00381141" u="1"/>
        <s v="00381142" u="1"/>
        <s v="00381143" u="1"/>
        <s v="00381144" u="1"/>
        <s v="00381145" u="1"/>
        <s v="00381146" u="1"/>
        <s v="00381147" u="1"/>
        <s v="00381148" u="1"/>
        <s v="00381149" u="1"/>
        <s v="00381150" u="1"/>
        <s v="00381151" u="1"/>
        <s v="00381152" u="1"/>
        <s v="00381153" u="1"/>
        <s v="00381154" u="1"/>
        <s v="00381155" u="1"/>
        <s v="00381156" u="1"/>
        <s v="00381157" u="1"/>
        <s v="00381158" u="1"/>
        <s v="00381159" u="1"/>
        <s v="00381160" u="1"/>
        <s v="00381161" u="1"/>
        <s v="00381162" u="1"/>
        <s v="00381163" u="1"/>
        <s v="00381164" u="1"/>
        <s v="00381165" u="1"/>
        <s v="00381166" u="1"/>
        <s v="00381167" u="1"/>
        <s v="00381168" u="1"/>
        <s v="00381169" u="1"/>
        <s v="00381170" u="1"/>
        <s v="00381171" u="1"/>
        <s v="00381172" u="1"/>
        <s v="00381173" u="1"/>
        <s v="00381174" u="1"/>
        <s v="00381175" u="1"/>
        <s v="00381176" u="1"/>
        <s v="00381177" u="1"/>
        <s v="00381178" u="1"/>
        <s v="00381179" u="1"/>
        <s v="00381180" u="1"/>
        <s v="00381181" u="1"/>
        <s v="00381182" u="1"/>
        <s v="00381183" u="1"/>
        <s v="00381184" u="1"/>
        <s v="00381185" u="1"/>
        <s v="00381186" u="1"/>
        <s v="00381187" u="1"/>
        <s v="00381188" u="1"/>
        <s v="00381189" u="1"/>
        <s v="00381190" u="1"/>
        <s v="00381191" u="1"/>
        <s v="00381192" u="1"/>
        <s v="00381193" u="1"/>
        <s v="00381194" u="1"/>
        <s v="00381195" u="1"/>
        <s v="00381196" u="1"/>
        <s v="00381197" u="1"/>
        <s v="00381198" u="1"/>
        <s v="00381199" u="1"/>
        <s v="00381200" u="1"/>
        <s v="00381201" u="1"/>
        <s v="00381202" u="1"/>
        <s v="00381203" u="1"/>
        <s v="00381204" u="1"/>
        <s v="00381205" u="1"/>
        <s v="00381206" u="1"/>
        <s v="00381207" u="1"/>
        <s v="00381208" u="1"/>
        <s v="00381209" u="1"/>
        <s v="00381210" u="1"/>
        <s v="00381211" u="1"/>
        <s v="00381212" u="1"/>
        <s v="00381213" u="1"/>
        <s v="00381214" u="1"/>
        <s v="00381215" u="1"/>
        <s v="00381216" u="1"/>
        <s v="00381217" u="1"/>
        <s v="00381218" u="1"/>
        <s v="00381219" u="1"/>
        <s v="00381220" u="1"/>
        <s v="00381221" u="1"/>
        <s v="00381222" u="1"/>
        <s v="00381223" u="1"/>
        <s v="00381224" u="1"/>
        <s v="00381225" u="1"/>
        <s v="00381226" u="1"/>
        <s v="00381227" u="1"/>
        <s v="00381228" u="1"/>
        <s v="00381229" u="1"/>
        <s v="00381230" u="1"/>
        <s v="00381231" u="1"/>
        <s v="00381232" u="1"/>
        <s v="00381233" u="1"/>
        <s v="00381234" u="1"/>
        <s v="00381235" u="1"/>
        <s v="00381236" u="1"/>
        <s v="00381237" u="1"/>
        <s v="00381238" u="1"/>
        <s v="00381239" u="1"/>
        <s v="00381240" u="1"/>
        <s v="00381241" u="1"/>
        <s v="00381242" u="1"/>
        <s v="00381243" u="1"/>
        <s v="00381244" u="1"/>
        <s v="00381245" u="1"/>
        <s v="00381246" u="1"/>
        <s v="00381247" u="1"/>
        <s v="00381248" u="1"/>
        <s v="00381249" u="1"/>
        <s v="00380770" u="1"/>
        <s v="00380771" u="1"/>
        <s v="00380772" u="1"/>
        <s v="00380773" u="1"/>
        <s v="00380774" u="1"/>
        <s v="00380775" u="1"/>
        <s v="00380776" u="1"/>
        <s v="00380777" u="1"/>
        <s v="00380778" u="1"/>
        <s v="00380779" u="1"/>
        <s v="00380780" u="1"/>
        <s v="00380781" u="1"/>
        <s v="00380782" u="1"/>
        <s v="00380783" u="1"/>
        <s v="00380784" u="1"/>
        <s v="00380785" u="1"/>
        <s v="00380786" u="1"/>
        <s v="00380787" u="1"/>
        <s v="00380788" u="1"/>
        <s v="00380789" u="1"/>
        <s v="00380790" u="1"/>
        <s v="00380791" u="1"/>
        <s v="00380792" u="1"/>
        <s v="00380793" u="1"/>
        <s v="00380794" u="1"/>
        <s v="00380795" u="1"/>
        <s v="00380796" u="1"/>
        <s v="00380797" u="1"/>
        <s v="00380798" u="1"/>
        <s v="00380799" u="1"/>
        <s v="00380800" u="1"/>
        <s v="00380801" u="1"/>
        <s v="00380802" u="1"/>
        <s v="00380803" u="1"/>
        <s v="00380804" u="1"/>
        <s v="00380805" u="1"/>
        <s v="00380806" u="1"/>
        <s v="00380807" u="1"/>
        <s v="00380808" u="1"/>
        <s v="00380809" u="1"/>
        <s v="00380810" u="1"/>
        <s v="00380811" u="1"/>
        <s v="00380812" u="1"/>
        <s v="00380813" u="1"/>
        <s v="00380814" u="1"/>
        <s v="00380815" u="1"/>
        <s v="00380816" u="1"/>
        <s v="00380817" u="1"/>
        <s v="00380818" u="1"/>
        <s v="00380819" u="1"/>
        <s v="00380820" u="1"/>
        <s v="00380821" u="1"/>
        <s v="00380822" u="1"/>
        <s v="00380823" u="1"/>
        <s v="00380824" u="1"/>
        <s v="00380825" u="1"/>
        <s v="00380826" u="1"/>
        <s v="00380827" u="1"/>
        <s v="00380342" u="1"/>
        <s v="00380343" u="1"/>
        <s v="00380344" u="1"/>
        <s v="00380345" u="1"/>
        <s v="00380346" u="1"/>
        <s v="00380347" u="1"/>
        <s v="00380348" u="1"/>
        <s v="00380349" u="1"/>
        <s v="00380350" u="1"/>
        <s v="00380351" u="1"/>
        <s v="00380352" u="1"/>
        <s v="00380353" u="1"/>
        <s v="00380354" u="1"/>
        <s v="00380355" u="1"/>
        <s v="00380356" u="1"/>
        <s v="00380357" u="1"/>
        <s v="00380358" u="1"/>
        <s v="00380359" u="1"/>
        <s v="00380360" u="1"/>
        <s v="00380361" u="1"/>
        <s v="00380362" u="1"/>
        <s v="00380363" u="1"/>
        <s v="00380364" u="1"/>
        <s v="00380365" u="1"/>
        <s v="00380366" u="1"/>
        <s v="00380367" u="1"/>
        <s v="00380368" u="1"/>
        <s v="00380369" u="1"/>
        <s v="00380370" u="1"/>
        <s v="00380371" u="1"/>
        <s v="00380372" u="1"/>
        <s v="00380373" u="1"/>
        <s v="00380374" u="1"/>
        <s v="00380375" u="1"/>
        <s v="00380376" u="1"/>
        <s v="00380377" u="1"/>
        <s v="00380378" u="1"/>
        <s v="00380379" u="1"/>
        <s v="00380380" u="1"/>
        <s v="00380381" u="1"/>
        <s v="00380382" u="1"/>
        <s v="00380383" u="1"/>
        <s v="00380384" u="1"/>
        <s v="00380385" u="1"/>
        <s v="00380386" u="1"/>
        <s v="00380387" u="1"/>
        <s v="00380388" u="1"/>
        <s v="00380389" u="1"/>
        <s v="00380390" u="1"/>
        <s v="00380391" u="1"/>
        <s v="00380392" u="1"/>
        <s v="00380393" u="1"/>
        <s v="00380394" u="1"/>
        <s v="00380395" u="1"/>
        <s v="00380396" u="1"/>
        <s v="00380397" u="1"/>
        <s v="00380398" u="1"/>
        <s v="00380399" u="1"/>
        <s v="00380400" u="1"/>
        <s v="00380401" u="1"/>
        <s v="00380402" u="1"/>
        <s v="00380403" u="1"/>
        <s v="00380404" u="1"/>
        <s v="00380405" u="1"/>
        <s v="00380406" u="1"/>
        <s v="00380407" u="1"/>
        <s v="00380408" u="1"/>
        <s v="00380409" u="1"/>
        <s v="00380410" u="1"/>
        <s v="00380411" u="1"/>
        <s v="00380412" u="1"/>
        <s v="00380413" u="1"/>
        <s v="00380414" u="1"/>
        <s v="00380415" u="1"/>
        <s v="00380416" u="1"/>
        <s v="00380417" u="1"/>
        <s v="00380418" u="1"/>
        <s v="00380419" u="1"/>
        <s v="00380420" u="1"/>
        <s v="00380421" u="1"/>
        <s v="00380422" u="1"/>
        <s v="00380423" u="1"/>
        <s v="00380424" u="1"/>
        <s v="00380425" u="1"/>
        <s v="00380426" u="1"/>
        <s v="00380427" u="1"/>
        <s v="00380428" u="1"/>
        <s v="00380429" u="1"/>
        <s v="00380430" u="1"/>
        <s v="00380431" u="1"/>
        <s v="00380432" u="1"/>
        <s v="00380433" u="1"/>
        <s v="00380434" u="1"/>
        <s v="00380435" u="1"/>
        <s v="00380436" u="1"/>
        <s v="00380437" u="1"/>
        <s v="00380438" u="1"/>
        <s v="00380439" u="1"/>
        <s v="00380440" u="1"/>
        <s v="00380441" u="1"/>
        <s v="00380442" u="1"/>
        <s v="00380443" u="1"/>
        <s v="00380444" u="1"/>
        <s v="00380445" u="1"/>
        <s v="00380446" u="1"/>
        <s v="00380447" u="1"/>
        <s v="00380448" u="1"/>
        <s v="00380449" u="1"/>
        <s v="00380450" u="1"/>
        <s v="00380451" u="1"/>
        <s v="00380452" u="1"/>
        <s v="00380453" u="1"/>
        <s v="00380454" u="1"/>
        <s v="00380455" u="1"/>
        <s v="00380456" u="1"/>
        <s v="00380457" u="1"/>
        <s v="00380458" u="1"/>
        <s v="00380459" u="1"/>
        <s v="00380460" u="1"/>
        <s v="00380461" u="1"/>
        <s v="00380462" u="1"/>
        <s v="00380463" u="1"/>
        <s v="00380464" u="1"/>
        <s v="00380465" u="1"/>
        <s v="00380466" u="1"/>
        <s v="00380467" u="1"/>
        <s v="00380468" u="1"/>
        <s v="00380469" u="1"/>
        <s v="00380470" u="1"/>
        <s v="00380471" u="1"/>
        <s v="00380472" u="1"/>
        <s v="00380473" u="1"/>
        <s v="00380474" u="1"/>
        <s v="00380475" u="1"/>
        <s v="00380476" u="1"/>
        <s v="00380477" u="1"/>
        <s v="00380478" u="1"/>
        <s v="00380479" u="1"/>
        <s v="00380480" u="1"/>
        <s v="00380481" u="1"/>
        <s v="00380482" u="1"/>
        <s v="00380483" u="1"/>
        <s v="00380484" u="1"/>
        <s v="00380485" u="1"/>
        <s v="00380486" u="1"/>
        <s v="00380487" u="1"/>
        <s v="00380488" u="1"/>
        <s v="00380489" u="1"/>
        <s v="00380490" u="1"/>
        <s v="00380491" u="1"/>
        <s v="00380492" u="1"/>
        <s v="00380493" u="1"/>
        <s v="00380494" u="1"/>
        <s v="00380495" u="1"/>
        <s v="00380496" u="1"/>
        <s v="00380497" u="1"/>
        <s v="00380498" u="1"/>
        <s v="00380499" u="1"/>
        <s v="00380500" u="1"/>
        <s v="00380501" u="1"/>
        <s v="00380502" u="1"/>
        <s v="00380503" u="1"/>
        <s v="00380504" u="1"/>
        <s v="00380505" u="1"/>
        <s v="00380506" u="1"/>
        <s v="00380507" u="1"/>
        <s v="00380508" u="1"/>
        <s v="00380509" u="1"/>
        <s v="00380510" u="1"/>
        <s v="00380511" u="1"/>
        <s v="00380512" u="1"/>
        <s v="00380513" u="1"/>
        <s v="00380514" u="1"/>
        <s v="00380515" u="1"/>
        <s v="00380516" u="1"/>
        <s v="00380517" u="1"/>
        <s v="00380518" u="1"/>
        <s v="00380519" u="1"/>
        <s v="00380520" u="1"/>
        <s v="00380521" u="1"/>
        <s v="00380522" u="1"/>
        <s v="00380523" u="1"/>
        <s v="00380524" u="1"/>
        <s v="00380525" u="1"/>
        <s v="00380526" u="1"/>
        <s v="00380527" u="1"/>
        <s v="00380528" u="1"/>
        <s v="00380529" u="1"/>
        <s v="00380530" u="1"/>
        <s v="00380531" u="1"/>
        <s v="00380532" u="1"/>
        <s v="00380533" u="1"/>
        <s v="00380534" u="1"/>
        <s v="00380535" u="1"/>
        <s v="00380536" u="1"/>
        <s v="00380537" u="1"/>
        <s v="00380538" u="1"/>
        <s v="00380539" u="1"/>
        <s v="00380540" u="1"/>
        <s v="00380541" u="1"/>
        <s v="00380542" u="1"/>
        <s v="00380543" u="1"/>
        <s v="00380544" u="1"/>
        <s v="00380545" u="1"/>
        <s v="00380546" u="1"/>
        <s v="00380547" u="1"/>
        <s v="00380548" u="1"/>
        <s v="00380549" u="1"/>
        <s v="00380550" u="1"/>
        <s v="00380551" u="1"/>
        <s v="00380552" u="1"/>
        <s v="00380553" u="1"/>
        <s v="00380554" u="1"/>
        <s v="00380555" u="1"/>
        <s v="00380556" u="1"/>
        <s v="00380557" u="1"/>
        <s v="00380558" u="1"/>
        <s v="00380559" u="1"/>
        <s v="00380560" u="1"/>
        <s v="00380561" u="1"/>
        <s v="00380562" u="1"/>
        <s v="00380563" u="1"/>
        <s v="00380564" u="1"/>
        <s v="00380565" u="1"/>
        <s v="00380566" u="1"/>
        <s v="00380567" u="1"/>
        <s v="00380568" u="1"/>
        <s v="00380569" u="1"/>
        <s v="00380570" u="1"/>
        <s v="00380571" u="1"/>
        <s v="00380572" u="1"/>
        <s v="00380573" u="1"/>
        <s v="00380574" u="1"/>
        <s v="00380575" u="1"/>
        <s v="00380576" u="1"/>
        <s v="00380577" u="1"/>
        <s v="00380578" u="1"/>
        <s v="00380579" u="1"/>
        <s v="00380580" u="1"/>
        <s v="00380581" u="1"/>
        <s v="00380582" u="1"/>
        <s v="00380583" u="1"/>
        <s v="00380584" u="1"/>
        <s v="00380585" u="1"/>
        <s v="00380586" u="1"/>
        <s v="00380587" u="1"/>
        <s v="00380588" u="1"/>
        <s v="00380589" u="1"/>
        <s v="00380590" u="1"/>
        <s v="00380591" u="1"/>
        <s v="00380592" u="1"/>
        <s v="00380593" u="1"/>
        <s v="00380594" u="1"/>
        <s v="00380595" u="1"/>
        <s v="00380596" u="1"/>
        <s v="00380597" u="1"/>
        <s v="00380598" u="1"/>
        <s v="00380599" u="1"/>
        <s v="00380600" u="1"/>
        <s v="00380601" u="1"/>
        <s v="00380602" u="1"/>
        <s v="00380603" u="1"/>
        <s v="00380604" u="1"/>
        <s v="00380605" u="1"/>
        <s v="00380606" u="1"/>
        <s v="00380607" u="1"/>
        <s v="00380608" u="1"/>
        <s v="00380609" u="1"/>
        <s v="00380610" u="1"/>
        <s v="00380611" u="1"/>
        <s v="00380612" u="1"/>
        <s v="00380613" u="1"/>
        <s v="00380614" u="1"/>
        <s v="00380615" u="1"/>
        <s v="00380616" u="1"/>
        <s v="00380617" u="1"/>
        <s v="00380618" u="1"/>
        <s v="00380619" u="1"/>
        <s v="00380620" u="1"/>
        <s v="00380621" u="1"/>
        <s v="00380622" u="1"/>
        <s v="00380623" u="1"/>
        <s v="00380624" u="1"/>
        <s v="00380625" u="1"/>
        <s v="00380626" u="1"/>
        <s v="00380627" u="1"/>
        <s v="00380628" u="1"/>
        <s v="00380629" u="1"/>
        <s v="00380630" u="1"/>
        <s v="00380631" u="1"/>
        <s v="00380632" u="1"/>
        <s v="00380633" u="1"/>
        <s v="00380634" u="1"/>
        <s v="00380635" u="1"/>
        <s v="00380636" u="1"/>
        <s v="00380637" u="1"/>
        <s v="00380638" u="1"/>
        <s v="00380639" u="1"/>
        <s v="00380640" u="1"/>
        <s v="00380641" u="1"/>
        <s v="00380642" u="1"/>
        <s v="00380643" u="1"/>
        <s v="00380644" u="1"/>
        <s v="00380645" u="1"/>
        <s v="00380646" u="1"/>
        <s v="00380647" u="1"/>
        <s v="00380648" u="1"/>
        <s v="00380649" u="1"/>
        <s v="00380650" u="1"/>
        <s v="00380651" u="1"/>
        <s v="00380652" u="1"/>
        <s v="00380653" u="1"/>
        <s v="00380654" u="1"/>
        <s v="00380655" u="1"/>
        <s v="00380656" u="1"/>
        <s v="00380657" u="1"/>
        <s v="00380658" u="1"/>
        <s v="00380659" u="1"/>
        <s v="00380660" u="1"/>
        <s v="00380661" u="1"/>
        <s v="00380662" u="1"/>
        <s v="00380663" u="1"/>
        <s v="00380664" u="1"/>
        <s v="00380665" u="1"/>
        <s v="00380666" u="1"/>
        <s v="00380667" u="1"/>
        <s v="00380668" u="1"/>
        <s v="00380669" u="1"/>
        <s v="00380670" u="1"/>
        <s v="00380671" u="1"/>
        <s v="00380672" u="1"/>
        <s v="00380673" u="1"/>
        <s v="00380674" u="1"/>
        <s v="00380675" u="1"/>
        <s v="00380676" u="1"/>
        <s v="00380677" u="1"/>
        <s v="00380678" u="1"/>
        <s v="00380679" u="1"/>
        <s v="00380680" u="1"/>
        <s v="00380681" u="1"/>
        <s v="00380682" u="1"/>
        <s v="00380683" u="1"/>
        <s v="00380684" u="1"/>
        <s v="00380685" u="1"/>
        <s v="00380686" u="1"/>
        <s v="00380687" u="1"/>
        <s v="00380688" u="1"/>
        <s v="00380689" u="1"/>
        <s v="00380690" u="1"/>
        <s v="00380691" u="1"/>
        <s v="00380692" u="1"/>
        <s v="00380693" u="1"/>
        <s v="00380694" u="1"/>
        <s v="00380695" u="1"/>
        <s v="00380696" u="1"/>
        <s v="00380697" u="1"/>
        <s v="00380698" u="1"/>
        <s v="00380699" u="1"/>
        <s v="00380700" u="1"/>
        <s v="00380701" u="1"/>
        <s v="00380702" u="1"/>
        <s v="00380703" u="1"/>
        <s v="00380704" u="1"/>
        <s v="00380705" u="1"/>
        <s v="00380706" u="1"/>
        <s v="00380707" u="1"/>
        <s v="00380708" u="1"/>
        <s v="00380709" u="1"/>
        <s v="00380710" u="1"/>
        <s v="00380711" u="1"/>
        <s v="00380712" u="1"/>
        <s v="00380713" u="1"/>
        <s v="00380714" u="1"/>
        <s v="00380715" u="1"/>
        <s v="00380716" u="1"/>
        <s v="00380717" u="1"/>
        <s v="00380718" u="1"/>
        <s v="00380719" u="1"/>
        <s v="00380720" u="1"/>
        <s v="00380721" u="1"/>
        <s v="00380722" u="1"/>
        <s v="00380723" u="1"/>
        <s v="00380724" u="1"/>
        <s v="00380725" u="1"/>
        <s v="00380726" u="1"/>
        <s v="00380727" u="1"/>
        <s v="00380728" u="1"/>
        <s v="00380729" u="1"/>
        <s v="00380730" u="1"/>
        <s v="00380731" u="1"/>
        <s v="00380732" u="1"/>
        <s v="00380733" u="1"/>
        <s v="00380734" u="1"/>
        <s v="00380735" u="1"/>
        <s v="00380736" u="1"/>
        <s v="00380737" u="1"/>
        <s v="00380738" u="1"/>
        <s v="00380739" u="1"/>
        <s v="00380740" u="1"/>
        <s v="00380741" u="1"/>
        <s v="00380742" u="1"/>
        <s v="00380743" u="1"/>
        <s v="00379984" u="1"/>
        <s v="00379985" u="1"/>
        <s v="00379986" u="1"/>
        <s v="00379987" u="1"/>
        <s v="00379988" u="1"/>
        <s v="00379989" u="1"/>
        <s v="00379990" u="1"/>
        <s v="00379991" u="1"/>
        <s v="00379992" u="1"/>
        <s v="00379993" u="1"/>
        <s v="00379994" u="1"/>
        <s v="00379995" u="1"/>
        <s v="00379996" u="1"/>
        <s v="00379997" u="1"/>
        <s v="00379998" u="1"/>
        <s v="00379999" u="1"/>
        <s v="00380000" u="1"/>
        <s v="00380001" u="1"/>
        <s v="00380002" u="1"/>
        <s v="00380003" u="1"/>
        <s v="00380004" u="1"/>
        <s v="00380005" u="1"/>
        <s v="00380006" u="1"/>
        <s v="00380007" u="1"/>
        <s v="00380008" u="1"/>
        <s v="00380009" u="1"/>
        <s v="00380010" u="1"/>
        <s v="00380011" u="1"/>
        <s v="00380012" u="1"/>
        <s v="00380013" u="1"/>
        <s v="00380014" u="1"/>
        <s v="00380015" u="1"/>
        <s v="00380016" u="1"/>
        <s v="00380017" u="1"/>
        <s v="00380018" u="1"/>
        <s v="00380019" u="1"/>
        <s v="00380020" u="1"/>
        <s v="00380021" u="1"/>
        <s v="00380022" u="1"/>
        <s v="00380023" u="1"/>
        <s v="00380024" u="1"/>
        <s v="00380025" u="1"/>
        <s v="00380026" u="1"/>
        <s v="00380027" u="1"/>
        <s v="00380028" u="1"/>
        <s v="00380029" u="1"/>
        <s v="00380030" u="1"/>
        <s v="00380031" u="1"/>
        <s v="00380032" u="1"/>
        <s v="00380033" u="1"/>
        <s v="00380034" u="1"/>
        <s v="00380035" u="1"/>
        <s v="00380036" u="1"/>
        <s v="00380037" u="1"/>
        <s v="00380038" u="1"/>
        <s v="00380039" u="1"/>
        <s v="00380040" u="1"/>
        <s v="00380041" u="1"/>
        <s v="00380042" u="1"/>
        <s v="00380043" u="1"/>
        <s v="00380044" u="1"/>
        <s v="00380045" u="1"/>
        <s v="00380046" u="1"/>
        <s v="00380047" u="1"/>
        <s v="00380048" u="1"/>
        <s v="00380049" u="1"/>
        <s v="00380050" u="1"/>
        <s v="00380051" u="1"/>
        <s v="00380052" u="1"/>
        <s v="00380053" u="1"/>
        <s v="00380054" u="1"/>
        <s v="00380055" u="1"/>
        <s v="00380056" u="1"/>
        <s v="00380057" u="1"/>
        <s v="00380058" u="1"/>
        <s v="00380059" u="1"/>
        <s v="00380060" u="1"/>
        <s v="00380061" u="1"/>
        <s v="00380062" u="1"/>
        <s v="00380063" u="1"/>
        <s v="00380064" u="1"/>
        <s v="00380065" u="1"/>
        <s v="00380066" u="1"/>
        <s v="00380067" u="1"/>
        <s v="00380068" u="1"/>
        <s v="00380069" u="1"/>
        <s v="00380070" u="1"/>
        <s v="00380071" u="1"/>
        <s v="00380072" u="1"/>
        <s v="00380073" u="1"/>
        <s v="00380074" u="1"/>
        <s v="00380075" u="1"/>
        <s v="00380076" u="1"/>
        <s v="00380077" u="1"/>
        <s v="00380078" u="1"/>
        <s v="00380079" u="1"/>
        <s v="00380080" u="1"/>
        <s v="00380081" u="1"/>
        <s v="00380082" u="1"/>
        <s v="00380083" u="1"/>
        <s v="00380084" u="1"/>
        <s v="00380085" u="1"/>
        <s v="00380086" u="1"/>
        <s v="00380087" u="1"/>
        <s v="00380088" u="1"/>
        <s v="00380089" u="1"/>
        <s v="00380090" u="1"/>
        <s v="00380091" u="1"/>
        <s v="00380092" u="1"/>
        <s v="00380093" u="1"/>
        <s v="00380094" u="1"/>
        <s v="00380095" u="1"/>
        <s v="00380096" u="1"/>
        <s v="00380097" u="1"/>
        <s v="00380098" u="1"/>
        <s v="00380099" u="1"/>
        <s v="00380100" u="1"/>
        <s v="00380101" u="1"/>
        <s v="00380102" u="1"/>
        <s v="00380103" u="1"/>
        <s v="00380104" u="1"/>
        <s v="00380105" u="1"/>
        <s v="00380106" u="1"/>
        <s v="00380107" u="1"/>
        <s v="00380108" u="1"/>
        <s v="00380109" u="1"/>
        <s v="00380110" u="1"/>
        <s v="00380111" u="1"/>
        <s v="00380112" u="1"/>
        <s v="00380113" u="1"/>
        <s v="00378720" u="1"/>
        <s v="00378721" u="1"/>
        <s v="00378722" u="1"/>
        <s v="00378723" u="1"/>
        <s v="00378724" u="1"/>
        <s v="00378725" u="1"/>
        <s v="00378726" u="1"/>
        <s v="00378727" u="1"/>
        <s v="00378728" u="1"/>
        <s v="00378729" u="1"/>
        <s v="00378730" u="1"/>
        <s v="00378731" u="1"/>
        <s v="00378732" u="1"/>
        <s v="00378733" u="1"/>
        <s v="00378734" u="1"/>
        <s v="00378735" u="1"/>
        <s v="00378736" u="1"/>
        <s v="00378737" u="1"/>
        <s v="00378738" u="1"/>
        <s v="00378739" u="1"/>
        <s v="00378740" u="1"/>
        <s v="00378741" u="1"/>
        <s v="00378742" u="1"/>
        <s v="00378743" u="1"/>
        <s v="00378744" u="1"/>
        <s v="00378745" u="1"/>
        <s v="00378746" u="1"/>
        <s v="00378747" u="1"/>
        <s v="00378748" u="1"/>
        <s v="00378749" u="1"/>
        <s v="00378750" u="1"/>
        <s v="00378751" u="1"/>
        <s v="00378752" u="1"/>
        <s v="00378753" u="1"/>
        <s v="00378754" u="1"/>
        <s v="00378755" u="1"/>
        <s v="00378756" u="1"/>
        <s v="00378757" u="1"/>
        <s v="00378758" u="1"/>
        <s v="00378759" u="1"/>
        <s v="00378760" u="1"/>
        <s v="00378761" u="1"/>
        <s v="00378762" u="1"/>
        <s v="00378763" u="1"/>
        <s v="00378764" u="1"/>
        <s v="00378765" u="1"/>
        <s v="00378766" u="1"/>
        <s v="00378767" u="1"/>
        <s v="00378768" u="1"/>
        <s v="00378769" u="1"/>
        <s v="00378770" u="1"/>
        <s v="00378771" u="1"/>
        <s v="00378772" u="1"/>
        <s v="00378773" u="1"/>
        <s v="00378774" u="1"/>
        <s v="00378775" u="1"/>
        <s v="00378776" u="1"/>
        <s v="00378777" u="1"/>
        <s v="00378778" u="1"/>
        <s v="00378779" u="1"/>
        <s v="00378780" u="1"/>
        <s v="00378781" u="1"/>
        <s v="00378782" u="1"/>
        <s v="00378783" u="1"/>
        <s v="00378784" u="1"/>
        <s v="00378785" u="1"/>
        <s v="00378786" u="1"/>
        <s v="00378787" u="1"/>
        <s v="00378788" u="1"/>
        <s v="00378789" u="1"/>
        <s v="00378790" u="1"/>
        <s v="00378791" u="1"/>
        <s v="00378792" u="1"/>
        <s v="00378793" u="1"/>
        <s v="00378794" u="1"/>
        <s v="00378795" u="1"/>
        <s v="00378796" u="1"/>
        <s v="00378797" u="1"/>
        <s v="00378798" u="1"/>
        <s v="00378799" u="1"/>
        <s v="00378800" u="1"/>
        <s v="00378801" u="1"/>
        <s v="00378802" u="1"/>
        <s v="00378803" u="1"/>
        <s v="00378804" u="1"/>
        <s v="00378805" u="1"/>
        <s v="00378806" u="1"/>
        <s v="00378807" u="1"/>
        <s v="00378808" u="1"/>
        <s v="00378809" u="1"/>
        <s v="00378810" u="1"/>
        <s v="00378811" u="1"/>
        <s v="00378812" u="1"/>
        <s v="00378813" u="1"/>
        <s v="00378814" u="1"/>
        <s v="00378815" u="1"/>
        <s v="00378816" u="1"/>
        <s v="00378817" u="1"/>
        <s v="00378818" u="1"/>
        <s v="00378819" u="1"/>
        <s v="00378820" u="1"/>
        <s v="00378821" u="1"/>
        <s v="00378822" u="1"/>
        <s v="00378823" u="1"/>
        <s v="00378824" u="1"/>
        <s v="00378825" u="1"/>
        <s v="00378826" u="1"/>
        <s v="00378827" u="1"/>
        <s v="00378828" u="1"/>
        <s v="00378829" u="1"/>
        <s v="00378587" u="1"/>
        <s v="00378588" u="1"/>
        <s v="00378589" u="1"/>
        <s v="00378590" u="1"/>
        <s v="00378591" u="1"/>
        <s v="00378592" u="1"/>
        <s v="00378593" u="1"/>
        <s v="00378594" u="1"/>
        <s v="00378595" u="1"/>
        <s v="00378596" u="1"/>
        <s v="00378597" u="1"/>
        <s v="00378598" u="1"/>
        <s v="00378599" u="1"/>
        <s v="00378600" u="1"/>
        <s v="00378601" u="1"/>
        <s v="00378602" u="1"/>
        <s v="00378603" u="1"/>
        <s v="00378604" u="1"/>
        <s v="00378605" u="1"/>
        <s v="00378606" u="1"/>
        <s v="00378607" u="1"/>
        <s v="00378608" u="1"/>
        <s v="00378609" u="1"/>
        <s v="00378610" u="1"/>
        <s v="00378611" u="1"/>
        <s v="00378612" u="1"/>
        <s v="00378613" u="1"/>
        <s v="00378614" u="1"/>
        <s v="00378615" u="1"/>
        <s v="00378616" u="1"/>
        <s v="00378617" u="1"/>
        <s v="00378618" u="1"/>
        <s v="00378619" u="1"/>
        <s v="00378620" u="1"/>
        <s v="00378621" u="1"/>
        <s v="00378622" u="1"/>
        <s v="00378623" u="1"/>
        <s v="00378624" u="1"/>
        <s v="00378625" u="1"/>
        <s v="00378626" u="1"/>
        <s v="00378627" u="1"/>
        <s v="00378628" u="1"/>
        <s v="00378629" u="1"/>
        <s v="00378630" u="1"/>
        <s v="00378631" u="1"/>
        <s v="00378632" u="1"/>
        <s v="00378633" u="1"/>
        <s v="00378634" u="1"/>
        <s v="00378635" u="1"/>
        <s v="00378636" u="1"/>
        <s v="00378637" u="1"/>
        <s v="00378638" u="1"/>
        <s v="00378639" u="1"/>
        <s v="00378640" u="1"/>
        <s v="00378641" u="1"/>
        <s v="00378642" u="1"/>
        <s v="00378643" u="1"/>
        <s v="00378644" u="1"/>
        <s v="00378645" u="1"/>
        <s v="00378646" u="1"/>
        <s v="00378647" u="1"/>
        <s v="00378648" u="1"/>
        <s v="00378649" u="1"/>
        <s v="00378650" u="1"/>
        <s v="00378651" u="1"/>
        <s v="00378652" u="1"/>
        <s v="00378653" u="1"/>
        <s v="00378654" u="1"/>
        <s v="00378655" u="1"/>
        <s v="00378656" u="1"/>
        <s v="00378657" u="1"/>
        <s v="00378658" u="1"/>
        <s v="00378659" u="1"/>
        <s v="00378660" u="1"/>
        <s v="00378661" u="1"/>
        <s v="00378662" u="1"/>
        <s v="00378663" u="1"/>
        <s v="00378664" u="1"/>
        <s v="00378665" u="1"/>
        <s v="00378666" u="1"/>
        <s v="00378667" u="1"/>
        <s v="00378668" u="1"/>
        <s v="00378669" u="1"/>
        <s v="00378670" u="1"/>
        <s v="00378671" u="1"/>
        <s v="00378672" u="1"/>
        <s v="00378673" u="1"/>
        <s v="00378674" u="1"/>
        <s v="00378675" u="1"/>
        <s v="00378676" u="1"/>
        <s v="00378677" u="1"/>
        <s v="00378678" u="1"/>
        <s v="00378679" u="1"/>
        <s v="00378680" u="1"/>
        <s v="00378681" u="1"/>
        <s v="00378682" u="1"/>
        <s v="00378683" u="1"/>
        <s v="00378684" u="1"/>
        <s v="00376807" u="1"/>
        <s v="00376808" u="1"/>
        <s v="00376809" u="1"/>
        <s v="00376810" u="1"/>
        <s v="00376811" u="1"/>
        <s v="00376812" u="1"/>
        <s v="00376813" u="1"/>
        <s v="00376814" u="1"/>
        <s v="00376815" u="1"/>
        <s v="00376816" u="1"/>
        <s v="00376817" u="1"/>
        <s v="00376818" u="1"/>
        <s v="00376819" u="1"/>
        <s v="00376820" u="1"/>
        <s v="00376821" u="1"/>
        <s v="00376822" u="1"/>
        <s v="00376823" u="1"/>
        <s v="00376824" u="1"/>
        <s v="00376825" u="1"/>
        <s v="00376826" u="1"/>
        <s v="00376827" u="1"/>
        <s v="00376828" u="1"/>
        <s v="00376829" u="1"/>
        <s v="00376830" u="1"/>
        <s v="00376831" u="1"/>
        <s v="00376832" u="1"/>
        <s v="00376833" u="1"/>
        <s v="00376834" u="1"/>
        <s v="00376835" u="1"/>
        <s v="00376836" u="1"/>
        <s v="00376837" u="1"/>
        <s v="00376838" u="1"/>
        <s v="00376839" u="1"/>
        <s v="00376840" u="1"/>
        <s v="00376841" u="1"/>
        <s v="00376842" u="1"/>
        <s v="00376843" u="1"/>
        <s v="00376844" u="1"/>
        <s v="00376845" u="1"/>
        <s v="00376846" u="1"/>
        <s v="00376847" u="1"/>
        <s v="00376848" u="1"/>
        <s v="00376849" u="1"/>
        <s v="00376850" u="1"/>
        <s v="00376851" u="1"/>
        <s v="00376852" u="1"/>
        <s v="00376853" u="1"/>
        <s v="00376854" u="1"/>
        <s v="00376855" u="1"/>
        <s v="00376856" u="1"/>
        <s v="00376857" u="1"/>
        <s v="00376858" u="1"/>
        <s v="00376859" u="1"/>
        <s v="00376860" u="1"/>
        <s v="00376861" u="1"/>
        <s v="00376862" u="1"/>
        <s v="00376863" u="1"/>
        <s v="00376864" u="1"/>
        <s v="00376865" u="1"/>
        <s v="00376866" u="1"/>
        <s v="00376867" u="1"/>
        <s v="00376868" u="1"/>
        <s v="00376869" u="1"/>
        <s v="00376870" u="1"/>
        <s v="00376871" u="1"/>
        <s v="00376872" u="1"/>
        <s v="00376873" u="1"/>
        <s v="00376874" u="1"/>
        <s v="00376875" u="1"/>
        <s v="00376876" u="1"/>
        <s v="00376877" u="1"/>
        <s v="00376878" u="1"/>
        <s v="00376879" u="1"/>
        <s v="00376880" u="1"/>
        <s v="00376881" u="1"/>
        <s v="00376882" u="1"/>
        <s v="00376883" u="1"/>
        <s v="00376884" u="1"/>
        <s v="00376885" u="1"/>
        <s v="00376886" u="1"/>
        <s v="00376887" u="1"/>
        <s v="00376888" u="1"/>
        <s v="00376889" u="1"/>
        <s v="00376890" u="1"/>
        <s v="00376891" u="1"/>
        <s v="00376892" u="1"/>
        <s v="00376893" u="1"/>
        <s v="00376894" u="1"/>
        <s v="00376895" u="1"/>
        <s v="00376896" u="1"/>
        <s v="00376897" u="1"/>
        <s v="00376898" u="1"/>
        <s v="00376899" u="1"/>
        <s v="00376900" u="1"/>
        <s v="00376901" u="1"/>
        <s v="00376902" u="1"/>
        <s v="00376903" u="1"/>
        <s v="00376904" u="1"/>
        <s v="00376905" u="1"/>
        <s v="00376906" u="1"/>
        <s v="00376907" u="1"/>
        <s v="00376908" u="1"/>
        <s v="00376909" u="1"/>
        <s v="00376910" u="1"/>
        <s v="00376911" u="1"/>
        <s v="00376912" u="1"/>
        <s v="00376913" u="1"/>
        <s v="00376914" u="1"/>
        <s v="00376915" u="1"/>
        <s v="00376916" u="1"/>
        <s v="00376917" u="1"/>
        <s v="00376918" u="1"/>
        <s v="00376919" u="1"/>
        <s v="00376920" u="1"/>
        <s v="00376921" u="1"/>
        <s v="00376922" u="1"/>
        <s v="00376923" u="1"/>
        <s v="00376924" u="1"/>
        <s v="00376925" u="1"/>
        <s v="00376926" u="1"/>
        <s v="00376927" u="1"/>
        <s v="00376928" u="1"/>
        <s v="00376929" u="1"/>
        <s v="00376930" u="1"/>
        <s v="00376931" u="1"/>
        <s v="00376932" u="1"/>
        <s v="00376933" u="1"/>
        <s v="00376934" u="1"/>
        <s v="00376935" u="1"/>
        <s v="00376936" u="1"/>
        <s v="00376937" u="1"/>
        <s v="00376938" u="1"/>
        <s v="00376939" u="1"/>
        <s v="00376940" u="1"/>
        <s v="00376941" u="1"/>
        <s v="00376942" u="1"/>
        <s v="00376943" u="1"/>
        <s v="00376944" u="1"/>
        <s v="00376945" u="1"/>
        <s v="00376946" u="1"/>
        <s v="00376947" u="1"/>
        <s v="00376948" u="1"/>
        <s v="00376949" u="1"/>
        <s v="00376950" u="1"/>
        <s v="00376951" u="1"/>
        <s v="00376952" u="1"/>
        <s v="00376953" u="1"/>
        <s v="00376954" u="1"/>
        <s v="00376955" u="1"/>
        <s v="00376956" u="1"/>
        <s v="00376957" u="1"/>
        <s v="00376958" u="1"/>
        <s v="00376959" u="1"/>
        <s v="00376960" u="1"/>
        <s v="00376961" u="1"/>
        <s v="00376962" u="1"/>
        <s v="00376963" u="1"/>
        <s v="00376964" u="1"/>
        <s v="00376965" u="1"/>
        <s v="00376966" u="1"/>
        <s v="00376967" u="1"/>
        <s v="00376968" u="1"/>
        <s v="00376969" u="1"/>
        <s v="00376970" u="1"/>
        <s v="00376971" u="1"/>
        <s v="00376972" u="1"/>
        <s v="00376973" u="1"/>
        <s v="00376974" u="1"/>
        <s v="00376975" u="1"/>
        <s v="00376976" u="1"/>
        <s v="00376977" u="1"/>
        <s v="00376978" u="1"/>
        <s v="00376979" u="1"/>
        <s v="00376980" u="1"/>
        <s v="00376981" u="1"/>
        <s v="00376982" u="1"/>
        <s v="00376983" u="1"/>
        <s v="00376984" u="1"/>
        <s v="00376985" u="1"/>
        <s v="00376986" u="1"/>
        <s v="00376987" u="1"/>
        <s v="00376988" u="1"/>
        <s v="00376989" u="1"/>
        <s v="00376990" u="1"/>
        <s v="00376991" u="1"/>
        <s v="00376992" u="1"/>
        <s v="00376993" u="1"/>
        <s v="00376994" u="1"/>
        <s v="00376995" u="1"/>
        <s v="00376996" u="1"/>
        <s v="00376997" u="1"/>
        <s v="00376998" u="1"/>
        <s v="00376999" u="1"/>
        <s v="00377000" u="1"/>
        <s v="00377001" u="1"/>
        <s v="00377002" u="1"/>
        <s v="00377003" u="1"/>
        <s v="00377004" u="1"/>
        <s v="00377005" u="1"/>
        <s v="00377006" u="1"/>
        <s v="00377007" u="1"/>
        <s v="00377008" u="1"/>
        <s v="00377009" u="1"/>
        <s v="00377010" u="1"/>
        <s v="00377011" u="1"/>
        <s v="00377012" u="1"/>
        <s v="00377013" u="1"/>
        <s v="00377014" u="1"/>
        <s v="00377015" u="1"/>
        <s v="00377016" u="1"/>
        <s v="00377017" u="1"/>
        <s v="00377018" u="1"/>
        <s v="00377019" u="1"/>
        <s v="00377020" u="1"/>
        <s v="00377021" u="1"/>
        <s v="00377022" u="1"/>
        <s v="00377023" u="1"/>
        <s v="00377024" u="1"/>
        <s v="00377025" u="1"/>
        <s v="00377026" u="1"/>
        <s v="00377027" u="1"/>
        <s v="00377028" u="1"/>
        <s v="00377029" u="1"/>
        <s v="00377030" u="1"/>
        <s v="00377031" u="1"/>
        <s v="00377032" u="1"/>
        <s v="00377033" u="1"/>
        <s v="00377034" u="1"/>
        <s v="00377035" u="1"/>
        <s v="00377036" u="1"/>
        <s v="00377037" u="1"/>
        <s v="00377038" u="1"/>
        <s v="00377039" u="1"/>
        <s v="00377040" u="1"/>
        <s v="00377041" u="1"/>
        <s v="00377042" u="1"/>
        <s v="00377043" u="1"/>
        <s v="00377044" u="1"/>
        <s v="00377045" u="1"/>
        <s v="00377046" u="1"/>
        <s v="00377047" u="1"/>
        <s v="00377048" u="1"/>
        <s v="00377049" u="1"/>
        <s v="00377050" u="1"/>
        <s v="00377051" u="1"/>
        <s v="00377052" u="1"/>
        <s v="00377053" u="1"/>
        <s v="00377054" u="1"/>
        <s v="00377055" u="1"/>
        <s v="00377056" u="1"/>
        <s v="00377057" u="1"/>
        <s v="00377058" u="1"/>
        <s v="00377059" u="1"/>
        <s v="00377060" u="1"/>
        <s v="00377061" u="1"/>
        <s v="00377062" u="1"/>
        <s v="00377063" u="1"/>
        <s v="00377064" u="1"/>
        <s v="00377065" u="1"/>
        <s v="00377066" u="1"/>
        <s v="00377067" u="1"/>
        <s v="00377068" u="1"/>
        <s v="00377069" u="1"/>
        <s v="00377070" u="1"/>
        <s v="00377071" u="1"/>
        <s v="00377072" u="1"/>
        <s v="00377073" u="1"/>
        <s v="00377074" u="1"/>
        <s v="00377075" u="1"/>
        <s v="00377076" u="1"/>
        <s v="00377077" u="1"/>
        <s v="00377078" u="1"/>
        <s v="00377079" u="1"/>
        <s v="00377080" u="1"/>
        <s v="00377081" u="1"/>
        <s v="00377082" u="1"/>
        <s v="00377083" u="1"/>
        <s v="00377084" u="1"/>
        <s v="00377085" u="1"/>
        <s v="00377086" u="1"/>
        <s v="00377087" u="1"/>
        <s v="00377088" u="1"/>
        <s v="00377089" u="1"/>
        <s v="00377090" u="1"/>
        <s v="00377091" u="1"/>
        <s v="00377092" u="1"/>
        <s v="00377093" u="1"/>
        <s v="00377094" u="1"/>
        <s v="00377095" u="1"/>
        <s v="00377096" u="1"/>
        <s v="00377097" u="1"/>
        <s v="00377098" u="1"/>
        <s v="00377099" u="1"/>
        <s v="00377100" u="1"/>
        <s v="00377101" u="1"/>
        <s v="00377102" u="1"/>
        <s v="00377103" u="1"/>
        <s v="00377104" u="1"/>
        <s v="00377105" u="1"/>
        <s v="00377106" u="1"/>
        <s v="00377107" u="1"/>
        <s v="00377108" u="1"/>
        <s v="00377109" u="1"/>
        <s v="00377110" u="1"/>
        <s v="00377111" u="1"/>
        <s v="00377112" u="1"/>
        <s v="00377113" u="1"/>
        <s v="00377114" u="1"/>
        <s v="00377115" u="1"/>
        <s v="00377116" u="1"/>
        <s v="00377117" u="1"/>
        <s v="00377118" u="1"/>
        <s v="00377119" u="1"/>
        <s v="00377120" u="1"/>
        <s v="00377121" u="1"/>
        <s v="00377122" u="1"/>
        <s v="00377123" u="1"/>
        <s v="00377124" u="1"/>
        <s v="00377125" u="1"/>
        <s v="00377126" u="1"/>
        <s v="00377127" u="1"/>
        <s v="00377128" u="1"/>
        <s v="00377129" u="1"/>
        <s v="00377130" u="1"/>
        <s v="00377131" u="1"/>
        <s v="00377132" u="1"/>
        <s v="00377133" u="1"/>
        <s v="00377134" u="1"/>
        <s v="00377135" u="1"/>
        <s v="00377136" u="1"/>
        <s v="00377137" u="1"/>
        <s v="00377138" u="1"/>
        <s v="00377139" u="1"/>
        <s v="00377140" u="1"/>
        <s v="00377141" u="1"/>
        <s v="00377142" u="1"/>
        <s v="00377143" u="1"/>
        <s v="00377144" u="1"/>
        <s v="00377145" u="1"/>
        <s v="00377146" u="1"/>
        <s v="00377147" u="1"/>
        <s v="00377148" u="1"/>
        <s v="00377149" u="1"/>
        <s v="00377150" u="1"/>
        <s v="00378486" u="1"/>
        <s v="00378487" u="1"/>
        <s v="00378488" u="1"/>
        <s v="00378489" u="1"/>
        <s v="00378490" u="1"/>
        <s v="00378491" u="1"/>
        <s v="00378492" u="1"/>
        <s v="00378493" u="1"/>
        <s v="00378494" u="1"/>
        <s v="00378495" u="1"/>
        <s v="00378496" u="1"/>
        <s v="00378497" u="1"/>
        <s v="00378498" u="1"/>
        <s v="00378499" u="1"/>
        <s v="00378500" u="1"/>
        <s v="00378501" u="1"/>
        <s v="00378502" u="1"/>
        <s v="00378503" u="1"/>
        <s v="00378504" u="1"/>
        <s v="00378505" u="1"/>
        <s v="00378506" u="1"/>
        <s v="00378507" u="1"/>
        <s v="00378508" u="1"/>
        <s v="00378509" u="1"/>
        <s v="00378510" u="1"/>
        <s v="00378511" u="1"/>
        <s v="00378512" u="1"/>
        <s v="00378513" u="1"/>
        <s v="00378514" u="1"/>
        <s v="00378515" u="1"/>
        <s v="00378516" u="1"/>
        <s v="00378517" u="1"/>
        <s v="00378518" u="1"/>
        <s v="00378519" u="1"/>
        <s v="00378520" u="1"/>
        <s v="00378521" u="1"/>
        <s v="00378522" u="1"/>
        <s v="00378523" u="1"/>
        <s v="00378524" u="1"/>
        <s v="00378525" u="1"/>
        <s v="00378526" u="1"/>
        <s v="00378527" u="1"/>
        <s v="00378528" u="1"/>
        <s v="00378529" u="1"/>
        <s v="00378530" u="1"/>
        <s v="00378531" u="1"/>
        <s v="00378532" u="1"/>
        <s v="00378533" u="1"/>
        <s v="00378534" u="1"/>
        <s v="00378535" u="1"/>
        <s v="00378536" u="1"/>
        <s v="00378537" u="1"/>
        <s v="00378538" u="1"/>
        <s v="00378539" u="1"/>
        <s v="00378540" u="1"/>
        <s v="00378541" u="1"/>
        <s v="00378542" u="1"/>
        <s v="00378543" u="1"/>
        <s v="00378544" u="1"/>
        <s v="00378545" u="1"/>
        <s v="00378546" u="1"/>
        <s v="00378547" u="1"/>
        <s v="00378548" u="1"/>
        <s v="00378549" u="1"/>
        <s v="00378550" u="1"/>
        <s v="00377698" u="1"/>
        <s v="00377699" u="1"/>
        <s v="00377700" u="1"/>
        <s v="00377701" u="1"/>
        <s v="00377702" u="1"/>
        <s v="00377703" u="1"/>
        <s v="00377704" u="1"/>
        <s v="00377705" u="1"/>
        <s v="00377706" u="1"/>
        <s v="00377707" u="1"/>
        <s v="00377708" u="1"/>
        <s v="00377709" u="1"/>
        <s v="00377710" u="1"/>
        <s v="00377711" u="1"/>
        <s v="00377712" u="1"/>
        <s v="00377713" u="1"/>
        <s v="00377714" u="1"/>
        <s v="00377715" u="1"/>
        <s v="00377716" u="1"/>
        <s v="00377717" u="1"/>
        <s v="00377718" u="1"/>
        <s v="00377719" u="1"/>
        <s v="00377720" u="1"/>
        <s v="00377721" u="1"/>
        <s v="00377722" u="1"/>
        <s v="00377723" u="1"/>
        <s v="00377724" u="1"/>
        <s v="00377725" u="1"/>
        <s v="00377726" u="1"/>
        <s v="00377727" u="1"/>
        <s v="00377728" u="1"/>
        <s v="00377729" u="1"/>
        <s v="00377730" u="1"/>
        <s v="00377731" u="1"/>
        <s v="00377732" u="1"/>
        <s v="00377733" u="1"/>
        <s v="00377734" u="1"/>
        <s v="00377735" u="1"/>
        <s v="00377736" u="1"/>
        <s v="00377737" u="1"/>
        <s v="00377738" u="1"/>
        <s v="00377739" u="1"/>
        <s v="00377740" u="1"/>
        <s v="00377741" u="1"/>
        <s v="00377742" u="1"/>
        <s v="00377743" u="1"/>
        <s v="00377744" u="1"/>
        <s v="00377745" u="1"/>
        <s v="00377746" u="1"/>
        <s v="00377747" u="1"/>
        <s v="00377748" u="1"/>
        <s v="00377749" u="1"/>
        <s v="00377750" u="1"/>
        <s v="00377751" u="1"/>
        <s v="00377752" u="1"/>
        <s v="00377753" u="1"/>
        <s v="00377754" u="1"/>
        <s v="00377755" u="1"/>
        <s v="00377756" u="1"/>
        <s v="00377757" u="1"/>
        <s v="00377758" u="1"/>
        <s v="00377759" u="1"/>
        <s v="00377760" u="1"/>
        <s v="00377761" u="1"/>
        <s v="00377762" u="1"/>
        <s v="00377763" u="1"/>
        <s v="00377764" u="1"/>
        <s v="00377765" u="1"/>
        <s v="00377766" u="1"/>
        <s v="00377767" u="1"/>
        <s v="00377768" u="1"/>
        <s v="00377769" u="1"/>
        <s v="00377770" u="1"/>
        <s v="00377771" u="1"/>
        <s v="00377772" u="1"/>
        <s v="00377773" u="1"/>
        <s v="00377774" u="1"/>
        <s v="00377775" u="1"/>
        <s v="00377776" u="1"/>
        <s v="00377777" u="1"/>
        <s v="00377778" u="1"/>
        <s v="00377779" u="1"/>
        <s v="00377780" u="1"/>
        <s v="00377781" u="1"/>
        <s v="00377782" u="1"/>
        <s v="00377783" u="1"/>
        <s v="00377785" u="1"/>
        <s v="00377786" u="1"/>
        <s v="00377787" u="1"/>
        <s v="00377789" u="1"/>
        <s v="00377347" u="1"/>
        <s v="00377348" u="1"/>
        <s v="00377349" u="1"/>
        <s v="00377350" u="1"/>
        <s v="00377351" u="1"/>
        <s v="00377352" u="1"/>
        <s v="00377353" u="1"/>
        <s v="00377354" u="1"/>
        <s v="00377355" u="1"/>
        <s v="00377356" u="1"/>
        <s v="00377357" u="1"/>
        <s v="00377358" u="1"/>
        <s v="00377359" u="1"/>
        <s v="00377360" u="1"/>
        <s v="00377361" u="1"/>
        <s v="00377362" u="1"/>
        <s v="00377363" u="1"/>
        <s v="00377364" u="1"/>
        <s v="00377365" u="1"/>
        <s v="00377366" u="1"/>
        <s v="00377367" u="1"/>
        <s v="00377368" u="1"/>
        <s v="00377369" u="1"/>
        <s v="00377370" u="1"/>
        <s v="00377371" u="1"/>
        <s v="00377372" u="1"/>
        <s v="00377373" u="1"/>
        <s v="00377374" u="1"/>
        <s v="00377375" u="1"/>
        <s v="00377376" u="1"/>
        <s v="00377377" u="1"/>
        <s v="00377378" u="1"/>
        <s v="00377379" u="1"/>
        <s v="00377380" u="1"/>
        <s v="00377381" u="1"/>
        <s v="00377382" u="1"/>
        <s v="00377383" u="1"/>
        <s v="00377384" u="1"/>
        <s v="00377385" u="1"/>
        <s v="00377386" u="1"/>
        <s v="00377387" u="1"/>
        <s v="00377388" u="1"/>
        <s v="00377389" u="1"/>
        <s v="00377390" u="1"/>
        <s v="00377391" u="1"/>
        <s v="00377392" u="1"/>
        <s v="00377393" u="1"/>
        <s v="00377394" u="1"/>
        <s v="00377395" u="1"/>
        <s v="00377396" u="1"/>
        <s v="00377397" u="1"/>
        <s v="00377398" u="1"/>
        <s v="00377399" u="1"/>
        <s v="00377400" u="1"/>
        <s v="00377401" u="1"/>
        <s v="00377402" u="1"/>
        <s v="00377403" u="1"/>
        <s v="00377404" u="1"/>
        <s v="00377405" u="1"/>
        <s v="00377406" u="1"/>
        <s v="00377407" u="1"/>
        <s v="00377408" u="1"/>
        <s v="00377409" u="1"/>
        <s v="00377410" u="1"/>
        <s v="00377411" u="1"/>
        <s v="00377412" u="1"/>
        <s v="00377413" u="1"/>
        <s v="00377414" u="1"/>
        <s v="00377415" u="1"/>
        <s v="00377416" u="1"/>
        <s v="00377417" u="1"/>
        <s v="00377418" u="1"/>
        <s v="00377419" u="1"/>
        <s v="00377420" u="1"/>
        <s v="00377421" u="1"/>
        <s v="00377422" u="1"/>
        <s v="00377423" u="1"/>
        <s v="00377424" u="1"/>
        <s v="00377425" u="1"/>
        <s v="00377426" u="1"/>
        <s v="00377427" u="1"/>
        <s v="00377428" u="1"/>
        <s v="00377429" u="1"/>
        <s v="00377430" u="1"/>
        <s v="00377431" u="1"/>
        <s v="00377432" u="1"/>
        <s v="00377433" u="1"/>
        <s v="00377434" u="1"/>
        <s v="00377435" u="1"/>
        <s v="00377436" u="1"/>
        <s v="00377437" u="1"/>
        <s v="00377438" u="1"/>
        <s v="00377439" u="1"/>
        <s v="00377440" u="1"/>
        <s v="00377441" u="1"/>
        <s v="00377442" u="1"/>
        <s v="00377443" u="1"/>
        <s v="00377444" u="1"/>
        <s v="00377445" u="1"/>
        <s v="00377446" u="1"/>
        <s v="00377447" u="1"/>
        <s v="00377448" u="1"/>
        <s v="00377449" u="1"/>
        <s v="00377450" u="1"/>
        <s v="00377451" u="1"/>
        <s v="00377452" u="1"/>
        <s v="00377453" u="1"/>
        <s v="00377454" u="1"/>
        <s v="00377455" u="1"/>
        <s v="00377456" u="1"/>
        <s v="00377457" u="1"/>
        <s v="00377458" u="1"/>
        <s v="00377459" u="1"/>
        <s v="00377460" u="1"/>
        <s v="00377461" u="1"/>
        <s v="00377462" u="1"/>
        <s v="00377463" u="1"/>
        <s v="00377464" u="1"/>
        <s v="00377465" u="1"/>
        <s v="00377466" u="1"/>
        <s v="00377467" u="1"/>
        <s v="00377468" u="1"/>
        <s v="00377469" u="1"/>
        <s v="00377470" u="1"/>
        <s v="00377471" u="1"/>
        <s v="00377472" u="1"/>
        <s v="00377473" u="1"/>
        <s v="00377474" u="1"/>
        <s v="00377475" u="1"/>
        <s v="00377476" u="1"/>
        <s v="00377477" u="1"/>
        <s v="00377478" u="1"/>
        <s v="00377479" u="1"/>
        <s v="00377480" u="1"/>
        <s v="00377481" u="1"/>
        <s v="00377482" u="1"/>
        <s v="00377483" u="1"/>
        <s v="00377484" u="1"/>
        <s v="00377485" u="1"/>
        <s v="00377486" u="1"/>
        <s v="00377487" u="1"/>
        <s v="00377488" u="1"/>
        <s v="00377489" u="1"/>
        <s v="00377490" u="1"/>
        <s v="00377491" u="1"/>
        <s v="00377492" u="1"/>
        <s v="00377493" u="1"/>
        <s v="00377494" u="1"/>
        <s v="00377495" u="1"/>
        <s v="00377496" u="1"/>
        <s v="00377497" u="1"/>
        <s v="00377498" u="1"/>
        <s v="00377499" u="1"/>
        <s v="00377500" u="1"/>
        <s v="00377501" u="1"/>
        <s v="00377502" u="1"/>
        <s v="00377503" u="1"/>
        <s v="00377504" u="1"/>
        <s v="00377505" u="1"/>
        <s v="00377506" u="1"/>
        <s v="00377507" u="1"/>
        <s v="00377508" u="1"/>
        <s v="00377509" u="1"/>
        <s v="00377510" u="1"/>
        <s v="00377511" u="1"/>
        <s v="00377512" u="1"/>
        <s v="00377513" u="1"/>
        <s v="00377514" u="1"/>
        <s v="00377515" u="1"/>
        <s v="00377516" u="1"/>
        <s v="00377517" u="1"/>
        <s v="00377518" u="1"/>
        <s v="00377519" u="1"/>
        <s v="00377520" u="1"/>
        <s v="00377521" u="1"/>
        <s v="00377522" u="1"/>
        <s v="00377523" u="1"/>
        <s v="00377524" u="1"/>
        <s v="00377525" u="1"/>
        <s v="00377526" u="1"/>
        <s v="00377527" u="1"/>
        <s v="00377528" u="1"/>
        <s v="00377529" u="1"/>
        <s v="00377530" u="1"/>
        <s v="00377531" u="1"/>
        <s v="00377532" u="1"/>
        <s v="00377533" u="1"/>
        <s v="00377534" u="1"/>
        <s v="00377535" u="1"/>
        <s v="00377536" u="1"/>
        <s v="00377537" u="1"/>
        <s v="00377538" u="1"/>
        <s v="00377539" u="1"/>
        <s v="00377540" u="1"/>
        <s v="00377541" u="1"/>
        <s v="00377542" u="1"/>
        <s v="00377543" u="1"/>
        <s v="00377544" u="1"/>
        <s v="00377545" u="1"/>
        <s v="00377546" u="1"/>
        <s v="00377547" u="1"/>
        <s v="00377548" u="1"/>
        <s v="00377549" u="1"/>
        <s v="00377550" u="1"/>
        <s v="00377551" u="1"/>
        <s v="00377552" u="1"/>
        <s v="00377553" u="1"/>
        <s v="00377554" u="1"/>
        <s v="00377555" u="1"/>
        <s v="00377556" u="1"/>
        <s v="00377557" u="1"/>
        <s v="00377558" u="1"/>
        <s v="00377559" u="1"/>
        <s v="00377560" u="1"/>
        <s v="00377561" u="1"/>
        <s v="00377562" u="1"/>
        <s v="00377563" u="1"/>
        <s v="00377564" u="1"/>
        <s v="00377565" u="1"/>
        <s v="00377566" u="1"/>
        <s v="00377567" u="1"/>
        <s v="00377568" u="1"/>
        <s v="00377569" u="1"/>
        <s v="00377570" u="1"/>
        <s v="00377571" u="1"/>
        <s v="00377572" u="1"/>
        <s v="00377573" u="1"/>
        <s v="00377574" u="1"/>
        <s v="00377575" u="1"/>
        <s v="00377576" u="1"/>
        <s v="00377577" u="1"/>
        <s v="00377578" u="1"/>
        <s v="00377579" u="1"/>
        <s v="00377580" u="1"/>
        <s v="00377581" u="1"/>
        <s v="00377582" u="1"/>
        <s v="00377583" u="1"/>
        <s v="00377584" u="1"/>
        <s v="00377585" u="1"/>
        <s v="00377586" u="1"/>
        <s v="00377587" u="1"/>
        <s v="00377588" u="1"/>
        <s v="00377589" u="1"/>
        <s v="00377590" u="1"/>
        <s v="00377591" u="1"/>
        <s v="00377592" u="1"/>
        <s v="00377593" u="1"/>
        <s v="00377594" u="1"/>
        <s v="00377595" u="1"/>
        <s v="00377596" u="1"/>
        <s v="00377597" u="1"/>
        <s v="00377598" u="1"/>
        <s v="00377599" u="1"/>
        <s v="00377600" u="1"/>
        <s v="00377601" u="1"/>
        <s v="00377602" u="1"/>
        <s v="00377603" u="1"/>
        <s v="00377604" u="1"/>
        <s v="00377605" u="1"/>
        <s v="00377606" u="1"/>
        <s v="00377607" u="1"/>
        <s v="00377608" u="1"/>
        <s v="00377609" u="1"/>
        <s v="00377610" u="1"/>
        <s v="00377611" u="1"/>
        <s v="00377612" u="1"/>
        <s v="00377613" u="1"/>
        <s v="00377614" u="1"/>
        <s v="00377615" u="1"/>
        <s v="00377616" u="1"/>
        <s v="00377617" u="1"/>
        <s v="00377618" u="1"/>
        <s v="00377619" u="1"/>
        <s v="00377620" u="1"/>
        <s v="00377621" u="1"/>
        <s v="00377622" u="1"/>
        <s v="00377623" u="1"/>
        <s v="00377624" u="1"/>
        <s v="00377625" u="1"/>
        <s v="00377626" u="1"/>
        <s v="00377627" u="1"/>
        <s v="00377628" u="1"/>
        <s v="00377629" u="1"/>
        <s v="00377630" u="1"/>
        <s v="00377631" u="1"/>
        <s v="00377632" u="1"/>
        <s v="00377633" u="1"/>
        <s v="00377634" u="1"/>
        <s v="00377635" u="1"/>
        <s v="00377636" u="1"/>
        <s v="00377637" u="1"/>
        <s v="00377638" u="1"/>
        <s v="00377639" u="1"/>
        <s v="00377640" u="1"/>
        <s v="00377641" u="1"/>
        <s v="00377642" u="1"/>
        <s v="00377643" u="1"/>
        <s v="00377644" u="1"/>
        <s v="00377645" u="1"/>
        <s v="00377646" u="1"/>
        <s v="00377197" u="1"/>
        <s v="00377198" u="1"/>
        <s v="00377199" u="1"/>
        <s v="00377200" u="1"/>
        <s v="00377201" u="1"/>
        <s v="00377202" u="1"/>
        <s v="00377203" u="1"/>
        <s v="00377204" u="1"/>
        <s v="00377205" u="1"/>
        <s v="00377206" u="1"/>
        <s v="00377207" u="1"/>
        <s v="00377208" u="1"/>
        <s v="00377209" u="1"/>
        <s v="00377210" u="1"/>
        <s v="00377211" u="1"/>
        <s v="00377212" u="1"/>
        <s v="00377213" u="1"/>
        <s v="00377214" u="1"/>
        <s v="00377215" u="1"/>
        <s v="00377216" u="1"/>
        <s v="00377217" u="1"/>
        <s v="00377218" u="1"/>
        <s v="00377219" u="1"/>
        <s v="00377220" u="1"/>
        <s v="00377221" u="1"/>
        <s v="00377222" u="1"/>
        <s v="00377223" u="1"/>
        <s v="00377224" u="1"/>
        <s v="00377225" u="1"/>
        <s v="00377226" u="1"/>
        <s v="00377227" u="1"/>
        <s v="00377228" u="1"/>
        <s v="00377229" u="1"/>
        <s v="00377230" u="1"/>
        <s v="00377231" u="1"/>
        <s v="00377232" u="1"/>
        <s v="00377233" u="1"/>
        <s v="00377234" u="1"/>
        <s v="00377235" u="1"/>
        <s v="00377236" u="1"/>
        <s v="00377237" u="1"/>
        <s v="00377238" u="1"/>
        <s v="00377239" u="1"/>
        <s v="00377240" u="1"/>
        <s v="00377241" u="1"/>
        <s v="00377242" u="1"/>
        <s v="00377243" u="1"/>
        <s v="00377244" u="1"/>
        <s v="00377245" u="1"/>
        <s v="00377246" u="1"/>
        <s v="00377247" u="1"/>
        <s v="00377248" u="1"/>
        <s v="00377249" u="1"/>
        <s v="00377250" u="1"/>
        <s v="00377251" u="1"/>
        <s v="00377252" u="1"/>
        <s v="00377253" u="1"/>
        <s v="00377254" u="1"/>
        <s v="00377255" u="1"/>
        <s v="00377256" u="1"/>
        <s v="00377257" u="1"/>
        <s v="00377258" u="1"/>
        <s v="00377259" u="1"/>
        <s v="00377260" u="1"/>
        <s v="00377261" u="1"/>
        <s v="00377262" u="1"/>
        <s v="00377263" u="1"/>
        <s v="00377264" u="1"/>
        <s v="00377265" u="1"/>
        <s v="00377266" u="1"/>
        <s v="00377267" u="1"/>
        <s v="00377268" u="1"/>
        <s v="00377269" u="1"/>
        <s v="00377270" u="1"/>
        <s v="00377271" u="1"/>
        <s v="00377272" u="1"/>
        <s v="00377273" u="1"/>
        <s v="00377274" u="1"/>
        <s v="00377275" u="1"/>
        <s v="00377276" u="1"/>
        <s v="00377277" u="1"/>
        <s v="00377278" u="1"/>
        <s v="00377279" u="1"/>
        <s v="00377280" u="1"/>
        <s v="00377281" u="1"/>
        <s v="00377282" u="1"/>
        <s v="00377283" u="1"/>
        <s v="00377284" u="1"/>
        <s v="00377285" u="1"/>
        <s v="00377286" u="1"/>
        <s v="00377287" u="1"/>
        <s v="00377288" u="1"/>
        <s v="00377289" u="1"/>
        <s v="00377290" u="1"/>
        <s v="00377291" u="1"/>
        <s v="00377292" u="1"/>
        <s v="00377293" u="1"/>
        <s v="00377294" u="1"/>
        <s v="00377295" u="1"/>
        <s v="00377296" u="1"/>
        <s v="00377297" u="1"/>
        <s v="00377298" u="1"/>
        <s v="00377299" u="1"/>
        <s v="00377300" u="1"/>
        <s v="00377301" u="1"/>
        <s v="00377302" u="1"/>
        <s v="00377303" u="1"/>
        <s v="00376730" u="1"/>
        <s v="00376731" u="1"/>
        <s v="00376732" u="1"/>
        <s v="00376733" u="1"/>
        <s v="00376734" u="1"/>
        <s v="00376735" u="1"/>
        <s v="00376736" u="1"/>
        <s v="00376737" u="1"/>
        <s v="00376738" u="1"/>
        <s v="00376739" u="1"/>
        <s v="00376740" u="1"/>
        <s v="00376741" u="1"/>
        <s v="00376742" u="1"/>
        <s v="00376743" u="1"/>
        <s v="00376744" u="1"/>
        <s v="00376745" u="1"/>
        <s v="00376746" u="1"/>
        <s v="00376747" u="1"/>
        <s v="00376748" u="1"/>
        <s v="00376749" u="1"/>
        <s v="00376750" u="1"/>
        <s v="00376751" u="1"/>
        <s v="00376752" u="1"/>
        <s v="00376753" u="1"/>
        <s v="00376754" u="1"/>
        <s v="00376755" u="1"/>
        <s v="00376756" u="1"/>
        <s v="00376757" u="1"/>
        <s v="00376758" u="1"/>
        <s v="00376759" u="1"/>
        <s v="00376760" u="1"/>
        <s v="00376761" u="1"/>
        <s v="00376762" u="1"/>
        <s v="00376763" u="1"/>
        <s v="00376764" u="1"/>
        <s v="00376765" u="1"/>
        <s v="00376766" u="1"/>
        <s v="00376767" u="1"/>
        <s v="00376768" u="1"/>
        <s v="00376769" u="1"/>
        <s v="00376770" u="1"/>
        <s v="00376771" u="1"/>
        <s v="00376772" u="1"/>
        <s v="00376773" u="1"/>
        <s v="00376774" u="1"/>
        <s v="00376775" u="1"/>
        <s v="00376776" u="1"/>
        <s v="00376777" u="1"/>
        <s v="00376778" u="1"/>
        <s v="00376779" u="1"/>
        <s v="00376780" u="1"/>
        <s v="00376781" u="1"/>
        <s v="00376782" u="1"/>
        <s v="00376783" u="1"/>
        <s v="00376784" u="1"/>
        <s v="00376785" u="1"/>
        <s v="00376786" u="1"/>
        <s v="00376787" u="1"/>
        <s v="00376788" u="1"/>
        <s v="00376789" u="1"/>
        <s v="00376790" u="1"/>
        <s v="00376791" u="1"/>
        <s v="00376792" u="1"/>
        <s v="00376793" u="1"/>
        <s v="00376794" u="1"/>
        <s v="00376795" u="1"/>
        <s v="00376796" u="1"/>
        <s v="00376797" u="1"/>
        <s v="00376798" u="1"/>
        <s v="00376799" u="1"/>
        <s v="00376800" u="1"/>
        <s v="00376801" u="1"/>
        <s v="00376802" u="1"/>
        <s v="00376803" u="1"/>
        <s v="00376804" u="1"/>
        <s v="00376805" u="1"/>
        <s v="00376806" u="1"/>
        <s v="00376153" u="1"/>
        <s v="00376154" u="1"/>
        <s v="00376155" u="1"/>
        <s v="00376156" u="1"/>
        <s v="00376157" u="1"/>
        <s v="00376158" u="1"/>
        <s v="00376159" u="1"/>
        <s v="00376160" u="1"/>
        <s v="00376161" u="1"/>
        <s v="00376162" u="1"/>
        <s v="00376163" u="1"/>
        <s v="00376164" u="1"/>
        <s v="00376165" u="1"/>
        <s v="00376166" u="1"/>
        <s v="00376167" u="1"/>
        <s v="00376168" u="1"/>
        <s v="00376169" u="1"/>
        <s v="00376170" u="1"/>
        <s v="00376171" u="1"/>
        <s v="00376172" u="1"/>
        <s v="00376173" u="1"/>
        <s v="00376174" u="1"/>
        <s v="00376175" u="1"/>
        <s v="00376176" u="1"/>
        <s v="00376177" u="1"/>
        <s v="00376178" u="1"/>
        <s v="00376179" u="1"/>
        <s v="00376180" u="1"/>
        <s v="00376181" u="1"/>
        <s v="00376182" u="1"/>
        <s v="00376183" u="1"/>
        <s v="00376184" u="1"/>
        <s v="00376185" u="1"/>
        <s v="00376186" u="1"/>
        <s v="00376187" u="1"/>
        <s v="00376188" u="1"/>
        <s v="00376189" u="1"/>
        <s v="00376190" u="1"/>
        <s v="00376191" u="1"/>
        <s v="00376192" u="1"/>
        <s v="00376193" u="1"/>
        <s v="00376194" u="1"/>
        <s v="00376195" u="1"/>
        <s v="00376196" u="1"/>
        <s v="00376197" u="1"/>
        <s v="00376198" u="1"/>
        <s v="00376199" u="1"/>
        <s v="00376200" u="1"/>
        <s v="00376201" u="1"/>
        <s v="00376202" u="1"/>
        <s v="00376203" u="1"/>
        <s v="00376204" u="1"/>
        <s v="00376205" u="1"/>
        <s v="00376206" u="1"/>
        <s v="00376207" u="1"/>
        <s v="00376208" u="1"/>
        <s v="00376209" u="1"/>
        <s v="00376210" u="1"/>
        <s v="00376211" u="1"/>
        <s v="00376212" u="1"/>
        <s v="00376213" u="1"/>
        <s v="00376214" u="1"/>
        <s v="00376215" u="1"/>
        <s v="00376216" u="1"/>
        <s v="00376217" u="1"/>
        <s v="00376218" u="1"/>
        <s v="00376219" u="1"/>
        <s v="00376220" u="1"/>
        <s v="00376221" u="1"/>
        <s v="00376222" u="1"/>
        <s v="00376223" u="1"/>
        <s v="00376224" u="1"/>
        <s v="00376225" u="1"/>
        <s v="00376226" u="1"/>
        <s v="00376227" u="1"/>
        <s v="00376228" u="1"/>
        <s v="00376229" u="1"/>
        <s v="00376230" u="1"/>
        <s v="00376231" u="1"/>
        <s v="00376232" u="1"/>
        <s v="00376233" u="1"/>
        <s v="00376234" u="1"/>
        <s v="00376235" u="1"/>
        <s v="00376236" u="1"/>
        <s v="00376237" u="1"/>
        <s v="00376238" u="1"/>
        <s v="00376239" u="1"/>
        <s v="00376240" u="1"/>
        <s v="00376241" u="1"/>
        <s v="00376242" u="1"/>
        <s v="00376243" u="1"/>
        <s v="00376244" u="1"/>
        <s v="00376245" u="1"/>
        <s v="00376246" u="1"/>
        <s v="00376247" u="1"/>
        <s v="00376248" u="1"/>
        <s v="00376249" u="1"/>
        <s v="00376250" u="1"/>
        <s v="00376251" u="1"/>
        <s v="00376252" u="1"/>
        <s v="00376253" u="1"/>
        <s v="00376254" u="1"/>
        <s v="00376255" u="1"/>
        <s v="00376256" u="1"/>
        <s v="00376257" u="1"/>
        <s v="00376258" u="1"/>
        <s v="00376259" u="1"/>
        <s v="00376260" u="1"/>
        <s v="00376261" u="1"/>
        <s v="00376262" u="1"/>
        <s v="00376263" u="1"/>
        <s v="00376264" u="1"/>
        <s v="00376265" u="1"/>
        <s v="00376266" u="1"/>
        <s v="00376267" u="1"/>
        <s v="00376268" u="1"/>
        <s v="00376269" u="1"/>
        <s v="00376270" u="1"/>
        <s v="00376271" u="1"/>
        <s v="00376272" u="1"/>
        <s v="00376273" u="1"/>
        <s v="00376274" u="1"/>
        <s v="00376275" u="1"/>
        <s v="00376276" u="1"/>
        <s v="00376277" u="1"/>
        <s v="00376278" u="1"/>
        <s v="00376279" u="1"/>
        <s v="00376280" u="1"/>
        <s v="00376281" u="1"/>
        <s v="00376282" u="1"/>
        <s v="00376283" u="1"/>
        <s v="00376284" u="1"/>
        <s v="00376285" u="1"/>
        <s v="00376286" u="1"/>
        <s v="00376287" u="1"/>
        <s v="00376288" u="1"/>
        <s v="00376289" u="1"/>
        <s v="00376290" u="1"/>
        <s v="00376291" u="1"/>
        <s v="00376292" u="1"/>
        <s v="00376293" u="1"/>
        <s v="00376294" u="1"/>
        <s v="00376295" u="1"/>
        <s v="00376296" u="1"/>
        <s v="00376297" u="1"/>
        <s v="00376298" u="1"/>
        <s v="00376299" u="1"/>
        <s v="00376300" u="1"/>
        <s v="00376301" u="1"/>
        <s v="00376302" u="1"/>
        <s v="00376303" u="1"/>
        <s v="00376304" u="1"/>
        <s v="00376305" u="1"/>
        <s v="00376306" u="1"/>
        <s v="00376307" u="1"/>
        <s v="00376308" u="1"/>
        <s v="00376309" u="1"/>
        <s v="00376310" u="1"/>
        <s v="00376311" u="1"/>
        <s v="00376312" u="1"/>
        <s v="00376313" u="1"/>
        <s v="00376314" u="1"/>
        <s v="00376315" u="1"/>
        <s v="00376316" u="1"/>
        <s v="00376317" u="1"/>
        <s v="00376318" u="1"/>
        <s v="00376319" u="1"/>
        <s v="00376320" u="1"/>
        <s v="00376321" u="1"/>
        <s v="00376322" u="1"/>
        <s v="00376323" u="1"/>
        <s v="00376324" u="1"/>
        <s v="00376325" u="1"/>
        <s v="00376326" u="1"/>
        <s v="00376327" u="1"/>
        <s v="00376328" u="1"/>
        <s v="00376329" u="1"/>
        <s v="00376330" u="1"/>
        <s v="00376331" u="1"/>
        <s v="00376332" u="1"/>
        <s v="00376333" u="1"/>
        <s v="00376334" u="1"/>
        <s v="00376335" u="1"/>
        <s v="00376336" u="1"/>
        <s v="00376337" u="1"/>
        <s v="00376338" u="1"/>
        <s v="00376339" u="1"/>
        <s v="00376340" u="1"/>
        <s v="00376341" u="1"/>
        <s v="00376342" u="1"/>
        <s v="00376343" u="1"/>
        <s v="00376344" u="1"/>
        <s v="00376345" u="1"/>
        <s v="00376346" u="1"/>
        <s v="00376347" u="1"/>
        <s v="00376348" u="1"/>
        <s v="00376349" u="1"/>
        <s v="00376350" u="1"/>
        <s v="00376351" u="1"/>
        <s v="00376352" u="1"/>
        <s v="00376353" u="1"/>
        <s v="00376354" u="1"/>
        <s v="00376355" u="1"/>
        <s v="00376356" u="1"/>
        <s v="00376357" u="1"/>
        <s v="00376358" u="1"/>
        <s v="00376359" u="1"/>
        <s v="00376360" u="1"/>
        <s v="00376361" u="1"/>
        <s v="00376362" u="1"/>
        <s v="00376363" u="1"/>
        <s v="00376364" u="1"/>
        <s v="00376365" u="1"/>
        <s v="00376366" u="1"/>
        <s v="00376367" u="1"/>
        <s v="00376368" u="1"/>
        <s v="00376369" u="1"/>
        <s v="00376370" u="1"/>
        <s v="00376371" u="1"/>
        <s v="00376372" u="1"/>
        <s v="00376373" u="1"/>
        <s v="00376374" u="1"/>
        <s v="00376375" u="1"/>
        <s v="00376376" u="1"/>
        <s v="00376377" u="1"/>
        <s v="00376378" u="1"/>
        <s v="00376379" u="1"/>
        <s v="00376380" u="1"/>
        <s v="00376381" u="1"/>
        <s v="00376382" u="1"/>
        <s v="00376383" u="1"/>
        <s v="00376384" u="1"/>
        <s v="00376385" u="1"/>
        <s v="00376386" u="1"/>
        <s v="00376387" u="1"/>
        <s v="00376388" u="1"/>
        <s v="00376389" u="1"/>
        <s v="00376390" u="1"/>
        <s v="00376391" u="1"/>
        <s v="00376392" u="1"/>
        <s v="00376393" u="1"/>
        <s v="00376394" u="1"/>
        <s v="00376395" u="1"/>
        <s v="00376396" u="1"/>
        <s v="00376397" u="1"/>
        <s v="00376398" u="1"/>
        <s v="00376399" u="1"/>
        <s v="00376400" u="1"/>
        <s v="00376401" u="1"/>
        <s v="00376402" u="1"/>
        <s v="00376403" u="1"/>
        <s v="00376404" u="1"/>
        <s v="00376405" u="1"/>
        <s v="00376406" u="1"/>
        <s v="00376407" u="1"/>
        <s v="00376408" u="1"/>
        <s v="00376409" u="1"/>
        <s v="00376410" u="1"/>
        <s v="00376411" u="1"/>
        <s v="00376412" u="1"/>
        <s v="00376413" u="1"/>
        <s v="00376414" u="1"/>
        <s v="00376415" u="1"/>
        <s v="00376416" u="1"/>
        <s v="00376417" u="1"/>
        <s v="00376418" u="1"/>
        <s v="00376419" u="1"/>
        <s v="00376420" u="1"/>
        <s v="00376421" u="1"/>
        <s v="00376422" u="1"/>
        <s v="00376423" u="1"/>
        <s v="00376424" u="1"/>
        <s v="00376425" u="1"/>
        <s v="00376426" u="1"/>
        <s v="00376427" u="1"/>
        <s v="00376428" u="1"/>
        <s v="00376429" u="1"/>
        <s v="00375983" u="1"/>
        <s v="00375984" u="1"/>
        <s v="00375985" u="1"/>
        <s v="00375986" u="1"/>
        <s v="00375987" u="1"/>
        <s v="00375988" u="1"/>
        <s v="00375989" u="1"/>
        <s v="00375990" u="1"/>
        <s v="00375991" u="1"/>
        <s v="00375992" u="1"/>
        <s v="00375993" u="1"/>
        <s v="00375994" u="1"/>
        <s v="00375995" u="1"/>
        <s v="00375996" u="1"/>
        <s v="00375997" u="1"/>
        <s v="00375998" u="1"/>
        <s v="00375999" u="1"/>
        <s v="00376000" u="1"/>
        <s v="00376001" u="1"/>
        <s v="00376002" u="1"/>
        <s v="00376003" u="1"/>
        <s v="00376004" u="1"/>
        <s v="00376005" u="1"/>
        <s v="00376006" u="1"/>
        <s v="00376007" u="1"/>
        <s v="00376008" u="1"/>
        <s v="00376009" u="1"/>
        <s v="00376010" u="1"/>
        <s v="00376011" u="1"/>
        <s v="00376012" u="1"/>
        <s v="00376013" u="1"/>
        <s v="00376014" u="1"/>
        <s v="00376015" u="1"/>
        <s v="00376016" u="1"/>
        <s v="00376017" u="1"/>
        <s v="00376018" u="1"/>
        <s v="00376019" u="1"/>
        <s v="00376020" u="1"/>
        <s v="00376021" u="1"/>
        <s v="00376022" u="1"/>
        <s v="00376023" u="1"/>
        <s v="00376024" u="1"/>
        <s v="00376025" u="1"/>
        <s v="00376026" u="1"/>
        <s v="00376027" u="1"/>
        <s v="00376028" u="1"/>
        <s v="00376029" u="1"/>
        <s v="00376030" u="1"/>
        <s v="00376031" u="1"/>
        <s v="00376032" u="1"/>
        <s v="00376033" u="1"/>
        <s v="00376034" u="1"/>
        <s v="00376035" u="1"/>
      </sharedItems>
    </cacheField>
    <cacheField name="Tipo de OT" numFmtId="49">
      <sharedItems/>
    </cacheField>
    <cacheField name="Descripción de procedimiento" numFmtId="49">
      <sharedItems containsBlank="1" count="657">
        <s v="VERIFICACION TACOGENERADOR O ENCODER"/>
        <s v="VERIFICACIÓN GENERAL Y LIMPIEZA MOTOR ELE"/>
        <s v="REVISION PANEL DE CONEXIONES TABLERO ELE"/>
        <s v="REVISION ELEMENTOS DE PROTECCIÓN SOBRECORRIENTE"/>
        <s v="REVISIÓN DE VENTILADORES TABLEROS ELE"/>
        <s v="REVISAR ESTADO DE COMPONENTES ELECTRONICOS"/>
        <s v="LIMPIEZA TRANSFORMADOR TABLERO ELE"/>
        <s v="REVISAR TOMAS Y CLAVIJAS TABLERO ELE"/>
        <s v="REVISION VARIADOR TABLERO ELE"/>
        <s v="REVISION PLC"/>
        <s v="FUENTES DE CONTROL TABLERO ELE"/>
        <s v="PANTALLA TABLERO ELE"/>
        <s v="INSPECCIÓN SISTEMA REF PLACAS MOLDE"/>
        <s v="INSPECCIÓN GENERAL TRANSFORMADOR"/>
        <s v="VERIFICACION TABLET"/>
        <s v="VERIFICAR AIRE ACONDICIONADO"/>
        <s v="VERIFICACIÓN HORNO TERFMOFORMADORA"/>
        <s v="INSPECCIÓN SISTEMA SELLADO"/>
        <s v="VERIFICAR AIRE ACONDICIONADO AGUA"/>
        <s v="REVISON DE SENSORES LOOP"/>
        <s v="INSPECCIÓN NEUMATICA HORNO FORMADORA"/>
        <s v="VERIFICACION DE SENSORES"/>
        <s v="VERIFICACIÓN HORNO PRECALENTADOR"/>
        <s v="VERIFICACION HERRAMIENTA DE FORMADO"/>
        <s v="VERIFICACION SISTEMA EYECTOR"/>
        <s v="INSPECCION VALVULAS APILADOR"/>
        <s v="INSPECCIÓN NEUMATICA DESEMBOBINADORES"/>
        <s v="PREDICTIVO VIBRACIONES MOTOR ELE"/>
        <s v="PREDICTIVO ESTETOSCOPIO"/>
        <s v="VERIFICAR FUGAS, NIVELAR ACEITE"/>
        <s v="REVISAR ESTADO DEL ACOPLE MOTOR"/>
        <s v="REVISION ACOPLE"/>
        <s v="VERIFICACIÓN RODILLOS HALADORES DESEMB"/>
        <s v="INSPECCIÓN RODILLOS  DESEMBOBINADORES"/>
        <s v="ALINEACION RODILLOS PISADORES PRECALENTADOR"/>
        <s v="VERIFICACIÓN TRASPORTE LAMINA"/>
        <s v="INSPECCIÓN SISTEMA REF PLACAS"/>
        <s v="INSPECCION SISTEMA DE LUBRICACION"/>
        <s v="INSPECCION PLACA SUPERIOR"/>
        <s v="INSPECCION ACOPLE PLACA SUPERIOR"/>
        <s v="INSPECCION GENERAL, CALIBRACION  PLACA INFERIOR"/>
        <s v="INSPECCION Y CALIBRACION  PLACA INFERIOR"/>
        <s v="REVISAR ESTADO DEL ACOPLE RODILLO"/>
        <s v="INSPECCION RODAMIENTOS LINEALES APILADOR"/>
        <s v="INSPECCION EMBOBINADOR DE SCRAP"/>
        <s v="INSPECCION NEUMATICA EMBOBINADOR DE SCRAP"/>
        <s v="INSPECCION MOTOR NEUMATICO"/>
        <s v="INSPECCIÓN  DESEMBOBINADORES RODHE"/>
        <s v="INSPECCIÓN GENERAL NEUMATICA PRECALENTADOR"/>
        <s v="INSPECCIÓN NEUMATICA HORNO"/>
        <s v="INSPECCION NEUMATICA ESTACIÓN DE FORMADO"/>
        <s v="INSPECCION NEUMATICA APILADOR"/>
        <s v="INSPECCION SISTEMA NEUMATICO"/>
        <s v="INSPECCION GENERAL REDUCTOR"/>
        <s v="VERIFICAR ESTADO DE CORREAS Y POLEAS"/>
        <s v="INSPECCIÓN GENERAL TRANSMISIÓN"/>
        <s v="INSPECCIÓN GENERAL TRANSMISIÓN SECUNDARIA"/>
        <s v="INSPECCION DE TRASMISION RODILLOS PRECALENTADORES"/>
        <s v="LUBRICACION CHUMACERAS" u="1"/>
        <s v="VERIFICACIÓN RODILLOS CONDUCIDOS" u="1"/>
        <s v="VERIFICACIÓN FILTROS VALVULAS REGULADORAS" u="1"/>
        <s v="INSPECCION GENERAL DESEMBOBINADORES" u="1"/>
        <s v="INSPECCION REDUCTOR" u="1"/>
        <s v="VERIFICACIÓN SENSORES FORMADORA" u="1"/>
        <s v="VERIFICACIÓN RESISTENCIAS SISTEMA REF MOKON" u="1"/>
        <s v="INSPECCION PLACAS MOLDE SUPERIOR" u="1"/>
        <s v="CAMBIO DE VALVULA DE VACIO FORMADORA" u="1"/>
        <s v="LUBRICACIÓN PLACAS PORTA MOLDE" u="1"/>
        <s v="LUBRICACION E INSPECCION" u="1"/>
        <s v="INSPECCION SISTEMA CLAMP" u="1"/>
        <s v="INSPECCION FORMADORA" u="1"/>
        <s v="NIVELACIÓN DE LÍNEA CON TEODOLITO" u="1"/>
        <s v="PREDICTIVO TERMOGRAFIA CONFIABILIDAD BOMBAS" u="1"/>
        <s v="PREDICTIVO TERMOGRAFIA TERCERIZADA" u="1"/>
        <s v="INSPECCIONAR FUGAS, CAMBIAR ACEITE" u="1"/>
        <s v="INSPECCIÓN DE FUGAS BOMBA" u="1"/>
        <s v="INSPECCION Y LIMPIEZA BOMBAS DE VACIO" u="1"/>
        <s v="INSPECCION TACOGENERADOR" u="1"/>
        <s v="PREDICTIVO VIBRACIONES MOTOR ELE ANUAL" u="1"/>
        <s v="VERIFIACIÓN SISTEMA DE REFRIGERACIÓN VALVULAS" u="1"/>
        <s v="VERIFIACIÓN SISTEMA DE REFRIGERACIÓN" u="1"/>
        <s v="INSPECCIÓN GENERAL BOMBA" u="1"/>
        <s v="LIMPIEZA DE HORNO TERMOFORMADORA" u="1"/>
        <s v="INSPECCIÓN GENERAL HORNO" u="1"/>
        <s v="RUTINA DE INSPECCION MOLINO" u="1"/>
        <s v="INSPECCIÓN TRANSMISION" u="1"/>
        <s v="INSPECCIÓN GENERAL TRANSMISIÓN MOLINOS" u="1"/>
        <s v="VERIFIACIÓN SISTEMA DE SEGURIDAD CAJA REDUCTOR" u="1"/>
        <s v="VERIFICACIÓN SENSORES" u="1"/>
        <s v="INSPECCION SISTEMA LUBRICACION TQ" u="1"/>
        <s v="REVISION PORTA HERRAMIENTA" u="1"/>
        <s v="REVISION DE GUIAS" u="1"/>
        <s v="REVISION SISTEMA DE MARCACION" u="1"/>
        <s v="REVISION BANDEJA DE SALIDA" u="1"/>
        <s v="VERIFICACION EJE SOLIDARIO Y PIÑON" u="1"/>
        <s v="INSPECCIÓN GENERAL CAMBIA MALLAS" u="1"/>
        <s v="REVISAR SENSORES BOMBAS" u="1"/>
        <s v="VERIFICACIÓN GENERAL EXTRUDER" u="1"/>
        <s v="CONTROL DE TEMPERATURA EXTRUDER" u="1"/>
        <s v="PREDICTIVO TERMOGRAFIA CONFIABILIDAD TRANSF" u="1"/>
        <s v="VERIFICACIÓN TERMOCUPLAS MOLDE Y BOTELLA" u="1"/>
        <s v="INSPECCION ELIMINADORES DE ESTÁTICA" u="1"/>
        <s v="INSPECCIÓN NEUMATICA RODILLOS EMBOBINADOR" u="1"/>
        <s v="VERIFICACIÓN FILTRO DEL MOTOR" u="1"/>
        <s v="VERIFICACIÓN  EJE DE ALETAS RODILLOS EMBO" u="1"/>
        <s v="VERIFICACIÓN  DE ALETAS RODILLOS EMBO" u="1"/>
        <s v="VERIFICACIÓN SISTEMA RODILLOS HALADORES" u="1"/>
        <s v="INSPECCIÓN GENERAL NEUMATICA" u="1"/>
        <s v="VERIFICACIÓN SISTEMA BALANCINES RODILLOS HALADORES" u="1"/>
        <s v="VERIFICACIÓN RODILLOS HALADORES CONDUCIDOS" u="1"/>
        <s v="INSPECCIÓN GENERAL GARGANTA ALIMENTACION EXT" u="1"/>
        <s v="LUBRICACION ROD TORNILLO BLENDER" u="1"/>
        <s v="INSPECCIÓN GENERAL TORNILLO BLENDER" u="1"/>
        <s v="INSPECCION CAJA REDUCTORA" u="1"/>
        <s v="INSPECCIÓN GENERAL TOLVA" u="1"/>
        <s v="INSPECCIÓN GENERAL VIBRADORES TOLVA" u="1"/>
        <s v="TORNILLO SIN FIN TOLVAS" u="1"/>
        <s v="INSPECCION FILTROS SISTEMA GAS" u="1"/>
        <s v="VALVULA DE ALIVIO SISTEMA GAS" u="1"/>
        <s v="VERIFICACIÓN SENSOR PRESIÓN BOMBA" u="1"/>
        <s v="LIMPIEZA TRIM BOMBA" u="1"/>
        <s v="LAZO CONTROL PRESIÓN Y DE INYECCIÓN" u="1"/>
        <s v="SENSOR DE FLUJO MASICO" u="1"/>
        <s v="INSPECCIÓN Y NIVELACIÓN ACEITE HIDRA" u="1"/>
        <s v="VERIFICACIÓN FILTROS BOMBAS LW" u="1"/>
        <s v="VALVULA DE ALIVIO BOMBA" u="1"/>
        <s v="TOMAR MUESTRA ACEITE" u="1"/>
        <s v="INSPECCIÓN GENERAL SISTEMA TRANSPORTE" u="1"/>
        <s v="RUTINA MTTO PRODUCTIVO" u="1"/>
        <s v="INSPECCIÓN GENERAL BLOWER" u="1"/>
        <s v="LUBRICACION RODAMIENTOS" u="1"/>
        <s v="INSPECCIÓN GENERAL RECEIVER" u="1"/>
        <s v="INSPECCIÓN SISTEMA DE AUTOLIMPIEZA RECEIVER" u="1"/>
        <s v="PREDICTIVO TERMOGRAFIA CONFIABILIDAD TABLERO ELE" u="1"/>
        <s v="EST. Y FUNC. FOTOCELDAS" u="1"/>
        <s v="LUBRICAR CHUMACERAS Y RÓTULAS" u="1"/>
        <s v="EST. CILINDROS NEUMÁT, MANG" u="1"/>
        <s v="LECTURA DE PARÁMETROS ELÉCTRICOS" u="1"/>
        <s v="LIMPIEZA DE VOLUTA Y CABLE, ELIMINADOR ESTATICA" u="1"/>
        <s v="INSPECCION FUNCIONAMIENTO ELIMINADORES ESTATICA" u="1"/>
        <s v="REV. FUNC MICROSWIT DE SEGURID" u="1"/>
        <s v="FUNC. VALV NEUMÁTICAS" u="1"/>
        <s v="EST. SISTEMA LUBRICACIÓN AUTO" u="1"/>
        <s v="EST. VALV NEUMÁTICAS, REGULAD" u="1"/>
        <s v="VERIF NIVEL DE ACEITE Y COMPLETAR" u="1"/>
        <s v="CAMBIAR ACEITE BOMBA, FILTRO" u="1"/>
        <s v="LIMPIAR FILTRO DE ACEITE" u="1"/>
        <s v="INSPECCIÓN ACOPLE BOMBA" u="1"/>
        <s v="INSPECCION DE RUIDOS CON  ESTETOSCOPIO" u="1"/>
        <s v="REVISAR ESTADO DEL ACOPLE" u="1"/>
        <s v="LUBRICAR RODAMIENTOS MOTOR" u="1"/>
        <s v="REVISIÓN DE VENTILADORES" u="1"/>
        <s v="LIMPIEZA TRANSFORMADOR" u="1"/>
        <s v="VERIFICACION RESISTENCIAS HORNO ELECTRICO TERMOFORMADORAS" u="1"/>
        <s v="FUNC. FOTOCELDAS, TERMOCUPLAS" u="1"/>
        <s v="LUBRICAR CHUMACERAS" u="1"/>
        <s v="REV. FUNC MOTOR NEUMÁTICO" u="1"/>
        <s v="EST. MICROSW DE SEG, PAROS EMERGENCIA" u="1"/>
        <s v="LUB CHUMACERAS Y PARTES MOVILES" u="1"/>
        <s v="EST. CORREAS Y POLEAS" u="1"/>
        <s v="REVISIÓN DE BOTONERA" u="1"/>
        <s v="EST. VALV NEUMÁTICAS, VALV SOL" u="1"/>
        <s v="LUB. JUNTAS ROTATIVAS" u="1"/>
        <s v="EST. CORREAS Y POLEAS MAQ" u="1"/>
        <s v="VERIFICAR ESTADO DE BANDA ALIMETACION DEL VASO" u="1"/>
        <s v="REVISAR FUNCIONAMIENTO MICROSWITCHES Y RESISTENCIAS" u="1"/>
        <s v="REVISAR ESTADO DE FOTOCELDAS" u="1"/>
        <s v="LUBRICAR SOPORTES, REDUCTORES, RODAMIENTOS" u="1"/>
        <s v="VERIFICAR ESTADO VÁLVULAS NEUMÁTICAS" u="1"/>
        <s v="REVISIÓN TABLERO ELE." u="1"/>
        <s v="VERIFICAR FUNCIONAMIENTO RTD" u="1"/>
        <s v="CORREGIR FUGAS DE AGUA, VERIF MANGUERAS" u="1"/>
        <s v="INSPECCION BOMBA" u="1"/>
        <s v="EST. MICROSW DE SEG PUERTAS Y ALAR. SONORAS" u="1"/>
        <s v="EST. VALV, SENSORES, FOTOCELD" u="1"/>
        <s v="LUBRICACION FORMADORAS CON LIMPIEZA DE FUGAS OMG" u="1"/>
        <s v="VERIFICACIÓN CILINDROS NEUMT. Y MANOMETROS" u="1"/>
        <s v="MTTO TERCERIZADO VARIADORES &lt;50HP" u="1"/>
        <s v="CAMBIO SENSOR 13000000 HORAS" u="1"/>
        <s v="SISTEMA REFRIGERACION CAMBIA MALLAS" u="1"/>
        <s v="LUBRICACION RODAMIENTOS MOTOR" u="1"/>
        <s v="REVISION ACOPLE FALK" u="1"/>
        <s v="INSPECCION VISOR REDUCTOR" u="1"/>
        <s v="JUNTAS ROTATIVAS, REFRIGERACION TORNILLO EXTRUSOR" u="1"/>
        <s v="VERIFICACIÓN VISOR DE FLUJO" u="1"/>
        <s v="INSPECCION FILTROS" u="1"/>
        <s v="INSPECCIÓN HAZ DE TUBOS INTERCAMBIADOR CALOR" u="1"/>
        <s v="VERIFICACIÓN ADAPTADOR EXTRUDER" u="1"/>
        <s v="INSPECCIÓN DE ASPAS BLOWER" u="1"/>
        <s v="INSPECCION DE BOBINADO EXTERNA" u="1"/>
        <s v="INSPECCIÓN GENERAL MOLDE" u="1"/>
        <s v="VERIFICAR ESTADO DE CUÑA Y CUÑERO MOTOR DESEMBOBINADOR" u="1"/>
        <s v="EST. BUJES, COLUMNAS, RETENED" u="1"/>
        <s v="CAMBIAR FILTROS" u="1"/>
        <s v="LIMPIEZA DE HORNOS CON HIELO SECO" u="1"/>
        <s v="REVISIÓN GENERAL Y LIMPIEZA" u="1"/>
        <s v="REGLAJE DE CORREAS" u="1"/>
        <s v="AFILADO Y CALIBRACIÓN CUCHILLAS" u="1"/>
        <s v="EST. ELIMINADORES DE ESTÁTICA" u="1"/>
        <s v="LUB. PTOS ENGRASE TROQUEL" u="1"/>
        <s v="EST. CILINDROS NEUM CANOPY" u="1"/>
        <s v="EST. MANGUERAS HIDRAÚL Y NEUM" u="1"/>
        <s v="INSPECCION GENERAL BRAZOS , EJES Y RODAMIENTOS" u="1"/>
        <s v="INSPECCION GUIAS Y ROD LINEALES" u="1"/>
        <s v="INSPECCION GUIAS SERVOPICK" u="1"/>
        <s v="INSPECCIÓN EJE,POLEAS SERVO PICK" u="1"/>
        <s v="VERIFICAR SINCRONISMO REDUCTORES TROQUEL" u="1"/>
        <s v="VERIFICACION GUIAS TROQUEL" u="1"/>
        <s v="EST. ELECTRO-CLUTCH" u="1"/>
        <s v="EST. ENCODER, CORREAS." u="1"/>
        <s v="ELIMINADORES DE ESTÁTICA BARRA" u="1"/>
        <s v="INSPECCION BANDEJA DE SALIDA ANCLAJE" u="1"/>
        <s v="INSPECCION RUEDAS DESEMBOBINADOR" u="1"/>
        <s v="INSPECCION SENSORES EMBOBINADOR SCRAP" u="1"/>
        <s v="INSPECCION CILINDRO PRINCIPAL" u="1"/>
        <s v="REALIZAR LUBRICACION SISTEMA ACODADO" u="1"/>
        <s v="INSPECCION PLACA CALENTADORA" u="1"/>
        <s v="INSPECCION PLACA MOLDE" u="1"/>
        <s v="INSPECCIÓN TRANSMISIONES PIÑON CADENA EF" u="1"/>
        <s v="INSPECCION MICROS FINALES DE CARRERA" u="1"/>
        <s v="INSPECCION RODILLO HALADORES" u="1"/>
        <s v="VERIFICACIÓN MICROS Y PAROS DE EMERGENCIA" u="1"/>
        <s v="INSPECCION RODILLO HALADOR ARRASTRE DE LAMINA" u="1"/>
        <s v="INSPECCION NEUMATICA ARRASTRE DE LAMINA" u="1"/>
        <s v="INSPECCION LINEA NEUMATICA PRINCIPAL" u="1"/>
        <s v="INSPECCION VÁLVULAS" u="1"/>
        <s v="Limpieza tanque acumulador" u="1"/>
        <s v="COMPUTADOR" u="1"/>
        <s v="INSPECCION GUILLOTINA" u="1"/>
        <s v="INSPECCION SISTEMA NEUMATICO GARGANTA" u="1"/>
        <s v="INSPECCION MECANICA GUILLOTINA" u="1"/>
        <s v="INSPECCION SISTEMA LUBRICACION ARRASTRE LAMINA" u="1"/>
        <s v="VERIFICACIÓN ARRASTRE LAMINA" u="1"/>
        <s v="INSPECCION SISTEMA LUBRICACION TQ PI" u="1"/>
        <s v="REVISION PLACAS TROQUEL" u="1"/>
        <s v="INSPECCION VALVULAS SISTEMA HIDRAULICO" u="1"/>
        <s v="INSPECCIÓN GENERAL SIS HIDRAULICO" u="1"/>
        <s v="REVISIÓN BATERIAS" u="1"/>
        <s v="REVISAR PANEL DE INSTRUMENTOS" u="1"/>
        <s v="COMPROBAR ESTADO CELDAS DE CARGA" u="1"/>
        <s v="AJUSTE DEL FRENO" u="1"/>
        <s v="ESTADO Y AJUSTE DE MECANISMOS" u="1"/>
        <s v="REVISIÓN DE CONTACTORES" u="1"/>
        <s v="LUBRICACIÓN BÁSICA" u="1"/>
        <s v="INSPECCION GENERAL" u="1"/>
        <s v="ESTADO Y FUNCIONAMIENTO DE SENSORES" u="1"/>
        <s v="INSPECCIÓN SEÑAL CABLE GUIA" u="1"/>
        <s v="INSPECCION ENCODER POSICION RIEL" u="1"/>
        <s v="INSPECCION SISTEMA ARRASTRE LAMINA" u="1"/>
        <s v="TRANSMISION PIÑON CADENA DE ARRASTRE" u="1"/>
        <s v="INSPECCION SISTEMA DE LUBRICACIÓN" u="1"/>
        <s v="INSPECCION SISTEMA DE REFRIGERACION" u="1"/>
        <s v="INSPECCION REDUCTOR SELLADO" u="1"/>
        <s v="INSPECCION REDUCTORES AUX DE GRASA" u="1"/>
        <s v="INSPECCION TORNILLO RECIRCULANTE COLUMNAS" u="1"/>
        <s v="INSPECCION SISTEMA NEUMATICO APILADOR" u="1"/>
        <s v="INSPECCION CILINDRO EXPULSOR" u="1"/>
        <s v="INSPECCION RODAMIENTOS LINEALES" u="1"/>
        <s v="INSPECCION DE LA BANDA DE SALIDA SUP E INF" u="1"/>
        <s v="VERIFICACION ELECTROFRENO" u="1"/>
        <s v="SISTEMA TENSION CORREA" u="1"/>
        <s v="INSPECCION DESEMBOBINADOR OMG" u="1"/>
        <s v="INSPECCION FRENO DESEMBOBINADOR OMG" u="1"/>
        <s v="INSPECCIÓN ELEVADOR DESEMBOBINADOR" u="1"/>
        <s v="INSPECCION ELEVADOR DESEMBOBINADOR OMG" u="1"/>
        <s v="INSPECCION VALVULAS FORMADORA OMG" u="1"/>
        <s v="CAMBIO EMPAQUES VALVULA DE VACIO" u="1"/>
        <s v="INSPECCION FORMADORA OMG" u="1"/>
        <s v="INSPECCION CILINDRO DE BALANCE" u="1"/>
        <s v="INSPECCION GUIAS DE MOLDE" u="1"/>
        <s v="INSPECCION NEUMATICA CILINDROS GUIAS DE MOLDE" u="1"/>
        <s v="MANGUERAS DE VACIO" u="1"/>
        <s v="INSPECCION RODAMIENTOS LINEALES PLACAS MOLDE" u="1"/>
        <s v="SISTEMA LUBRICACION FORMADORA" u="1"/>
        <s v="INSPECCION PUERTAS DE SEGURIDAD" u="1"/>
        <s v="INSPECCIÓN GENERAL TRANSMISIÓN DE REGULACION PLACAS" u="1"/>
        <s v="SENSORES REGULACION DE DESPLAZAMIENTO" u="1"/>
        <s v="INSPECCIÓN NEUMATICA HORNO OMG" u="1"/>
        <s v="INSPECCION RODILLOS PRECALENTADOR" u="1"/>
        <s v="INSPECCIÓN NEUMATICA HORNO PRECALENTADOR" u="1"/>
        <s v="INSPECCION ACTUADOR TORNILLO LINEAL" u="1"/>
        <s v="RE ACONDICINAMIENTO CUCHILLAS" u="1"/>
        <s v="INSPECCION VALVULAS NEUMATICAS" u="1"/>
        <s v="TRANSMISION REGULACION PLACAS PERFORADOR" u="1"/>
        <s v="INSPECCION SISTEMA ACODADO PERFORADOR" u="1"/>
        <s v="INPECCION FRENO NEUMATICO" u="1"/>
        <s v="INSPECCION VALVULAS SISTEMA DE VACIO" u="1"/>
        <s v="INSPECCION SISTEMA DE VACIO" u="1"/>
        <s v="INSPECCION SISTEMA EJECTOR" u="1"/>
        <s v="INSPECCION RIELES TRASLATOR" u="1"/>
        <s v="TRANSMISION PIÑON CADENA REGULACION CORTE" u="1"/>
        <s v="INSPECCION TROQUELADORA OMG" u="1"/>
        <s v="INSPECCION NEUMATICA PRECALENTADOR CUCHILLAS OMG" u="1"/>
        <s v="INSPECCION PRECALENTADOR CUCHILLAS OMG" u="1"/>
        <s v="LUBRICACION CADENA" u="1"/>
        <s v="INSPECCION PARALELISMO PLACAS TROQUEL" u="1"/>
        <s v="LUBRICACION RODAMIENTOS LINEALES" u="1"/>
        <s v="VERIFICAR RODILLOS HALADORES Y PISADORES" u="1"/>
        <s v="BANDA DE DESCARGUE" u="1"/>
        <s v="INSPECCIÓN NEUMATICA EMPACADORA" u="1"/>
        <s v="INSPECCIÓN TRANSMISIONES PIÑON CADENA" u="1"/>
        <s v="VERIFICACIÓN RESISTENCIAS Y TERMOCUPLAS" u="1"/>
        <s v="VERIFICACIÓN ESTADO DE LA CUCHILLA" u="1"/>
        <s v="VERIFICACION GENERAL REBORDEADORA" u="1"/>
        <s v="CAMBIA MALLAS SIS HIDRAULICO" u="1"/>
        <s v="MTTO TORNILLO SIN FIN TOLVAS" u="1"/>
        <s v="CAMBIO DE KIT VALVULA INY" u="1"/>
        <s v="INSPECCIÓN TECNICAS PREDICTIVAS VIBRACIONES" u="1"/>
        <s v="INSPECCIÓN GENERAL TRANSMISIÓN VALVULA ESTRELLA" u="1"/>
        <s v="VERIFICACIÓN FILTROS BOMBAS" u="1"/>
        <s v="LECTURA DE CORRIENTE Y VOLTAJE DEL MOLDE" u="1"/>
        <s v="VERIFICACIÓN MUSCULO NEUMATICO APER Y CIERR" u="1"/>
        <s v="INSPECCIÓN GENERAL RODILLOS LAMINADORES" u="1"/>
        <s v="INSPECCIÓN SISTEMA DOSIFICACIÓN" u="1"/>
        <s v="REVISÓN DE HERMETICIDAD TOLVAS" u="1"/>
        <s v="INSPECCION VALVULAS ROMPE VACIO" u="1"/>
        <s v="INSPECCIÓN GENERAL VALVULA ESTRELLA" u="1"/>
        <s v="INSPECCIÓN GUARDA EXTERNA" u="1"/>
        <s v="INSPECCIÓN VISOR TOLVAS" u="1"/>
        <s v="INSPECCIÓN GENERAL SECADOR MATERIAL" u="1"/>
        <s v="INSPECCIÓN REFRIGERACION TABLERO HORNO" u="1"/>
        <s v="MTTO GENERAL SISTEMA REFRIGERACIÓN TERCERIZADO" u="1"/>
        <s v="VERIFICAR ACOPLES, MANZANAS, CUÑEROS" u="1"/>
        <s v="EST. CORREA Y POLEAS DE TRANS" u="1"/>
        <s v="INSPECCIÓN TECNICAS PREDICTIVAS TERMOGRAFIA" u="1"/>
        <s v="INSPECCIÓN GENERAL INTERCAMBIADOR CALOR" u="1"/>
        <s v="MTTO GENERAL INTERCAMBIADOR CALOR" u="1"/>
        <s v="LUBRICACION TORNILLO GRADUCCION (RECIRCULANTE)" u="1"/>
        <s v="LUBRICACION DE ENGRANAJES TRANSMISION" u="1"/>
        <s v="REALIZAR INSPECCIÓN ENTRE DIENTES" u="1"/>
        <s v="INSPECCION ESLAVONES BANDA" u="1"/>
        <s v="INSPECCION BANDAS DE POLIURETANO" u="1"/>
        <s v="INSPECCION RODAMIENTOS DE LOS RODILLOS" u="1"/>
        <s v="INSPECCION RODILLOS" u="1"/>
        <s v="INSPECCION BANDA DE SALIDA" u="1"/>
        <s v="INSPECCION DESEMBOBINADOR DE PELICULA" u="1"/>
        <s v="INSPECCION GENERAL FRIGEL" u="1"/>
        <s v="INSPECCION VALVULAS RECIRCULANTE Y DE CARGUE" u="1"/>
        <s v="INSPECCIÓN VALVULAS CAMARA DE FILTRADO" u="1"/>
        <s v="INSPECCIÓN CAMARA DE FILTRADO" u="1"/>
        <s v="INSPECCIÓN NEUMÁTICA SIS. DOSIFICACIÓN PET" u="1"/>
        <s v="INSPECCIÓN SISTEMA DOSIFICACIÓN PET" u="1"/>
        <s v="INSPECCION ACOPLE MAGUIRE MOTOR - REDUCTOR" u="1"/>
        <s v="INSPECCIÓN COMPUERTAS DESLIZANTES" u="1"/>
        <s v="INSPECCIÓN BANDEJAS DE PESAJE" u="1"/>
        <s v="INSPECCIÓN CÁMARA DE MEZCLADO" u="1"/>
        <s v="INSPECCIÓN GENERAL SECADOR MATERIAL KY PET" u="1"/>
        <s v="INSPECCIÓN GENERAL SECADOR MATERIAL PET" u="1"/>
        <s v="INSPECCION BOMBAS DE VACIO KY" u="1"/>
        <s v="LIMPIEZA BOMBAS DE VACIO KY" u="1"/>
        <s v="MTTO GENERAL BOMBAS DE VACIO KY" u="1"/>
        <s v="INSPECCION MOTOR BOMBA VACIO KREYENBORG" u="1"/>
        <s v="INSPECCION LAMPARAS INFRAROJAS" u="1"/>
        <s v="INSPECCIÓN PIROMETROS, SENSORES DE MONITOREO Y SEGURIDADES." u="1"/>
        <s v="INSPECCION GENERAL SECADOR" u="1"/>
        <s v="INSPECCION ESTRUCTURAL Y SOPORTES TAMBOR" u="1"/>
        <s v="INSPECCION HORNO REBORDEADORA" u="1"/>
        <s v="VERIFICAR FUGAS, CAMBIAR ACEITE SIS HIDRAULICO" u="1"/>
        <s v="VERIFICAR FUGAS, CAMBIAR ACEITE" u="1"/>
        <s v="VERIFICACIÓN VÁLVULAS DE VACÍO" u="1"/>
        <s v="INSPECCION GENERAL BOMBA" u="1"/>
        <s v="LECTURA VOLT Y CORRIENTE RESIST" u="1"/>
        <s v="EST. CILINDROS APERT HORNO" u="1"/>
        <s v="REVISION DE RODAMIENTOS DADOS Y CHUMACERAS" u="1"/>
        <s v="INSPECCIÓN SISTEMA ALIMENTACIÓN" u="1"/>
        <s v="INSPECCIÓN BANDAS SISTEMA SELLADO" u="1"/>
        <s v="INSPECCIÓN NEUMATICA SELLADORA PRESION" u="1"/>
        <s v="CAMBIO DE ESPARRAGOS MOLDE" u="1"/>
        <s v="INSPECCIÓN TORNILLO Y  LIMITADOR DE TORQUE BLENDER" u="1"/>
        <s v="INSPECCIÓN VALVULA DE ALIVIO SISTEMA GAS" u="1"/>
        <s v="CAMBIO DE RODAMIENTOS" u="1"/>
        <s v="VERIFICACION SWITCHES DE SEGURIDAD" u="1"/>
        <s v="VERIFICACIÓN VÁLVULAS NEUMATICAS" u="1"/>
        <s v="LUBRICACIÓN COLUMNAS MOLDE" u="1"/>
        <s v="ANÁLISIS ACEITE TANQUE HIDRÁULICO" u="1"/>
        <s v="VERIFICACIÓN AMORTIGUARDORES Y PLACAS" u="1"/>
        <s v="VERIFICACIÓN MANGUERAS, BUJES Y PERNOS" u="1"/>
        <s v="LIMPIEZA DE INTERCAMBIADORES SISTEM. HIDRAULICO" u="1"/>
        <s v="INSPECCION DE COLUMNAS Y PARALELISMO" u="1"/>
        <s v="VERIFICACIÓN DE RACORES NEUM." u="1"/>
        <s v="REVISIÓN ELECTROVÁLVULAS" u="1"/>
        <s v="VERIFICACIÓN VÁLVULAS" u="1"/>
        <s v="LUBRICAR PUNTOS BOMBA" u="1"/>
        <s v="VERIFICAR FUNC. TERMOSTATOS, SENSORES" u="1"/>
        <s v="NIVEL ACEITE TANQUE HIDRÁULICO" u="1"/>
        <s v="VERIFICACIÓN DE MANGUERAS Y RACORES HIDR." u="1"/>
        <s v="FILTROS SISTEMA HIDRÁULICO" u="1"/>
        <s v="LECTURA DE TEMPERATURA Y PRESIÓN BOMBA" u="1"/>
        <s v="LIMPIAR CARTUCHOS DEL FILT NEUMAT" u="1"/>
        <s v="REVISAR FUNC VALVULAS, SWITCHES E HIGRÓMETRO" u="1"/>
        <s v="VERIFICAR EST. Y FUNC. PULSADOR START-STOP" u="1"/>
        <s v="VERIFICAR AJUSTE VÁLVULA DE ALIVIO" u="1"/>
        <s v="VERIFICAR NIVEL DE ACEITE" u="1"/>
        <s v="VERIFICAR ESTADO DE CORREAS, POLEAS, FIJACIÓN DE BLOWER, MOTOR Y ANCLAJES" u="1"/>
        <s v="VERIFICAR EST. Y FUNC. DE VÁLVULAS Y ROMPE VACÍO" u="1"/>
        <s v="LECTURA AISLAMIENTO RESISTENCIAS INY." u="1"/>
        <s v="LECTURA AISLAMIENTOS RESISTENCIAS BARRIL" u="1"/>
        <s v="VERIFICACIÓN Y AJUSTE ELECTRO VÁLVULAS" u="1"/>
        <s v="VERIFICACIÓN DE TERMOCUPLAS INY." u="1"/>
        <s v="LUBRICACIÓN PARTES MOVILES INYECTORA" u="1"/>
        <s v="VERIFICACIÓN HAZ DE TUBO" u="1"/>
        <s v="MANTENIMIENTO MENSUAL INYECTORA/SOPLADORA" u="1"/>
        <s v="MANTENIMIENTO TRIMESTRAL INYECTORA/SOPLADORA" u="1"/>
        <s v="MANTENIMIENTO SEMESTRAL INYECTORA/SOPLADORA" u="1"/>
        <s v="MANTENIMIENTO MENSUAL MOLDE INYECCIÓN/SOPLADO" u="1"/>
        <s v="REVISION FUGAS DE AIRE EN VALVULAS INY." u="1"/>
        <s v="VERIFICACIÓN DE SENSORES Y SWITCHES INY." u="1"/>
        <s v="NIVELACION CON TEODOLITO FORMADORA/ TROQUEL/INYECTORA/EXTRUSORAS" u="1"/>
        <s v="VERIFICACIÓN CREMALLERA PÍÑON MOLDE" u="1"/>
        <s v="VERIFICACIÓN  DE PALETAS EXPULSORAS" u="1"/>
        <s v="INSPECCIÓN GENERAL BANDA TRANSPORTADORA" u="1"/>
        <s v="INSPECCIÓN GENERAL UNIDAD TEMPERATURA" u="1"/>
        <s v="VERIFICACIÓN UNIDAD TEMPERATURA" u="1"/>
        <s v="INSPECCIÓN GENERAL Y LUBRICACIÓN" u="1"/>
        <s v="LIMPIEZA DE FILTROS BOMBAS" u="1"/>
        <s v="INSPECCION Y FILTROS BOMBAS DE VACIO" u="1"/>
        <s v="INSPECCION RODAMIENTOS FLANCHADO" u="1"/>
        <s v="INSPECCIÓN BOMBA DE ELEVACIÓN" u="1"/>
        <s v="LUB CASQUILLOS PLACA PORTAMO" u="1"/>
        <s v="FUNC. VÁLV NEUM, UND MTO, CILIN" u="1"/>
        <s v="FUNC. VÁLVULAS Y CONTR. TEMP" u="1"/>
        <s v="REV.CILINDROS Y VÁLVULAS DESP" u="1"/>
        <s v="SISTE. ARRASTRE LAMINA, INSPECCION ESTDO CADENAS Y SPROKETS" u="1"/>
        <s v="VERIFICAR FUGAS, CAMBIAR ACEITE UNIDAD TEMP" u="1"/>
        <s v="VERIFICAR FOTOCELDAS" u="1"/>
        <s v="REVISAR ESTADO BANDA, RODILLOS Y POLEAS" u="1"/>
        <s v="LUBRICAR RODAMIENTOS REDUCTOR" u="1"/>
        <s v="REVISAR ELECTROCLUTCH" u="1"/>
        <s v="LUBRICAR DIENTES DE LA CORONA" u="1"/>
        <s v="VERIFICAR SEGURIDADES" u="1"/>
        <s v="REVISIÓN VENTILADORES" u="1"/>
        <s v="VERIFICAR FUNCIONAMIENTO LAMPARA U.V." u="1"/>
        <s v="LUBRICACIÓN GENERAL" u="1"/>
        <s v="VERIFICACIÓN ESTADO DE BANDA" u="1"/>
        <s v="VERIFICAR FUNC. LAMPARA U.V." u="1"/>
        <s v="REVISAR TOMAS Y CLAVIJAS" u="1"/>
        <s v="INSPECCIÓN DE CADENAS Y MANGUERAS" u="1"/>
        <s v="CAMBIO ACEITE DEPÓSITO HIDRÁULICO" u="1"/>
        <s v="INSPECCION DE MICROS DE SEGURIDAD" u="1"/>
        <s v="INSPECCION DEL APILADOR" u="1"/>
        <s v="INSPECCION SISTEMA DE MOVIENTO PLACA" u="1"/>
        <s v="MTTO ELE FRENO MOTOR PRINCIPAL MÁQUINA DE TAPAS GN" u="1"/>
        <s v="INSPECCIÓN ELE FRENO MOTOR PRINCIPAL MÁQUINA DE TAPAS GN" u="1"/>
        <s v="MTTO ELE MOTOR AC" u="1"/>
        <s v="PRUEBAS MOTOR AC" u="1"/>
        <s v="INSPECCION RODAMIENTOS" u="1"/>
        <s v="CAMBIO ACEITE UNIDAD DE IMPULSIÓN" u="1"/>
        <s v="VERIFICACION UNIDAD IMPULSIÓN" u="1"/>
        <s v="LUBRICACION CHUMACERAS AGITADOR" u="1"/>
        <s v="INSPECCIÓN GENERAL TRANSMISIÓN AGITADOR" u="1"/>
        <s v="INPECCIÓN GENERAL DEL BLOWER" u="1"/>
        <s v="INSPECCIÓN QUEMADOR DE GAS" u="1"/>
        <s v="INSPECCIÓN FILTRO DE AIRE QUEMADOR DE GAS" u="1"/>
        <s v="INSPECCION VALVULA CUCHILLA" u="1"/>
        <s v="INSPECCIÓN GENERAL CARDAN" u="1"/>
        <s v="INSPECCION CONTAMINACION CAMARA DE FILTRADO" u="1"/>
        <s v="INSPECCIÓN FLAUTA DE DISTRIBUCIÓN" u="1"/>
        <s v="INSPECCIÓN GENERAL SECADOR MTTO MATERIAL PET" u="1"/>
        <s v="CAMBIO DE ACOPLE" u="1"/>
        <s v="CAMB RODAM POLEA BAND, RUEDAS" u="1"/>
        <s v="LUBRICAR PIÑONES, RODAMIENTOS" u="1"/>
        <s v="EST. GUIAS Y BUJES DE TROQUELAD" u="1"/>
        <s v="VERIFICAR CORREAS, POLEAS DEL ENCODER" u="1"/>
        <s v="LUBRICAR RODAMIENTOS LINEALES DE DESPL" u="1"/>
        <s v="VERIFICAR FUNC. DE CILINDROS Y VÁLVULAS" u="1"/>
        <s v="MEDIR CORRIENTE RESISTENCIAS DEL BARRIL" u="1"/>
        <s v="REAJUSTE DE TORNILLERIA QUE ASEGURAN LAS RESISTENCIAS" u="1"/>
        <s v="LIMPIAR INTERCAMBIADOR DE CALOR" u="1"/>
        <s v="VERIFIQUE ESTADO CELDAS DE IMANES" u="1"/>
        <s v="MEDIR VOLTAJE RESISTENCIAS" u="1"/>
        <s v="VERIFICAR TERMOCUPLAS SISTEMA DE REFRIGERACIÓN" u="1"/>
        <s v="LIMPIAR INTERCAMBIADORES DE CALOR" u="1"/>
        <s v="LUB. RODAM EJE PORTACUCHILLAS" u="1"/>
        <s v="EST. Y AJUSTE EJE PORTACUCHILL" u="1"/>
        <s v="REVISE FUNCIONAMIENTO VÁLVULAS NEUMÁTICAS" u="1"/>
        <s v="REVISION DEL SISTEMA LLENADO TOLVA" u="1"/>
        <s v="REV CILINDROS NEUMATICOS" u="1"/>
        <s v="INSPECCIÓN TUBERIA TRANSPORTE DE MATERIAL" u="1"/>
        <s v="INSPECCION BANDEJA DE SALIDA TF36" u="1"/>
        <s v="VERIFICACION LAZO DE CONTROL DE TEMPERATURA" u="1"/>
        <s v="HAZ DE TUBO DEL CONDENSADOR" u="1"/>
        <s v="REVISIÓN GENERAL BOMBA" u="1"/>
        <s v="CAMBIAR ELEMENTOS DEL PREFILTRO" u="1"/>
        <s v="REEMPLAZAR DISECANTE" u="1"/>
        <s v="CAMBIAR ACEITE" u="1"/>
        <s v="MANTENIMIENTO DE 2 AÑOS INYECTORA/SOPLADORA" u="1"/>
        <s v="LUBRICACION TORNILLO RECIRCULANTE" u="1"/>
        <m u="1"/>
        <s v="CAMBIO RELLENO Y LIMPIEZA DE TANQUE" u="1"/>
        <s v="REVISAR ESTADO DEL SWITCH DE ALTA TEMPERATURA" u="1"/>
        <s v="ESTADO Y FUNC. DEL NDC" u="1"/>
        <s v="REV. CILINDROS Y POLEAS DESPLAZ" u="1"/>
        <s v="VERIFICAR CADENA, PIÑONES, ALINEAR TRANSMISIÓN" u="1"/>
        <s v="REALIZAR RUTINA A LAS VÁLVULAS DE CIERRE RED CONT" u="1"/>
        <s v="LIMPIEZA TARJETAS MICROPHASER" u="1"/>
        <s v="VERIFICAR FUNCIONAMIENTO BOMBA MELT" u="1"/>
        <s v="Revisar roscas del riel." u="1"/>
        <s v="Altas temperaturas en las zonas del extruder secundario" u="1"/>
        <s v="FUNC. EL/VALVULAS/EYECCION, FOTOC, SENS" u="1"/>
        <s v="VERIFICACIÓN SENSOR PRESIÓN" u="1"/>
        <s v="VERIFICAR TERMOCUPLAS Y TRANSDUCTORES" u="1"/>
        <s v="LUBRICACION GENERAL" u="1"/>
        <s v="VERIF. MANGUERAS, CORR FUGAS" u="1"/>
        <s v="VERIFICACIÓN DE CADENA" u="1"/>
        <s v="MANTENIMIENTO 8000 HORAS COMPRESOR  A.F" u="1"/>
        <s v="EST. Y FUNC. VÁLV NEUMÁTICAS" u="1"/>
        <s v="MANTENIMIENTO 4000 HORAS / 6 MESES COMPRESOR RS185I-A125" u="1"/>
        <s v="FUNC. VALV, TERMOC, TERMOSTAT" u="1"/>
        <s v="EST. MANGUERAS, TUBERIAS" u="1"/>
        <s v="MEDIR CORRIENTE Y OHMIAJE RESISTENCIAS" u="1"/>
        <s v="MANTENIMIENTO 8000 HORAS / ANUAL, COMPRESOR RS185I-A125" u="1"/>
        <s v="Baja circulación de agua de enfriamiento del cambiamallas" u="1"/>
        <s v="LUB PTOS DE APOYO, RODAM, CAD" u="1"/>
        <s v="VERIFICACIÓN CILINDROS Y ACTUADORES" u="1"/>
        <s v="CAMBIAR ACEITE A LA BOMBA" u="1"/>
        <s v="LIMPIEZA DE FILTROS DE LOS SILOS" u="1"/>
        <s v="LUBRICACION CADENA RUEDA DENTADA GN TAPAS" u="1"/>
        <s v="INSPECCION TORNILLERIA Y LUBRICACION ZONA DE SELLADO" u="1"/>
        <s v="VERIFICAR FUNCIONAMIENTO DE RESISTENCIAS" u="1"/>
        <s v="EST. ELECTROVALVULAS NEUMÁT" u="1"/>
        <s v="VERIFICAR SOLENOIDES, VALVULAD DE ALIVIO …" u="1"/>
        <s v="LUBRICAR ACOPLE FALK" u="1"/>
        <s v="REVISAR PRESION CIRTUITO REFRIGERANTE" u="1"/>
        <s v="VERIFICAR CANTIDAD INHIBIDORES" u="1"/>
        <s v="INSPECCION CUCHILLAS LATERAL Y TRANSVERSAL  MAC DUE" u="1"/>
        <s v="REVISIÓN ASPAS" u="1"/>
        <s v="MANTTO ELECTRICO 2000 HORAS COMPRESOR ATLAS" u="1"/>
        <s v="MANTTO ELECTRICO 4000 HORAS COMPRESOR ATLAS" u="1"/>
        <s v="MANTTO ELECTRICO 8000 HORAS COMPRESOR ATLAS" u="1"/>
        <s v="EST. MANGUERAS DE AGUA Y VACI" u="1"/>
        <s v="LUB. RODAMIENTOS DE LA BOMBA" u="1"/>
        <s v="REVISAR PINTURA TABLEROS ELE" u="1"/>
        <s v="LUBRICAR RODAMIENTOS MOLINO" u="1"/>
        <s v="REVISAR ESTADO DE FILTRO COMBUSTIBLE" u="1"/>
        <s v="VERIFICACIÓN DE VÁLVULAS HIDRÁULICAS Y PRESÓSTATOS" u="1"/>
        <s v="CAMBIAR ACEITE LUBRICANTE" u="1"/>
        <s v="TORQUEAR TORNILLOS Y TUERCAS DE FIJACIÓN" u="1"/>
        <s v="CAMBIO OBLIGATORIO DE CORREA MOTRIZ" u="1"/>
        <s v="Cambio de cuchillas del molino" u="1"/>
        <s v="REVISAR ESTADO FILTRO MÓDULO ALIMENTACIÓN" u="1"/>
        <s v="REALIZAR LIMPIEZA AL TANQUE" u="1"/>
        <s v="LUBRICAR VÁLVULAS NEUMÁTICAS" u="1"/>
        <s v="REVISAR Y CALIBRAR LAZOS DE CONTROL DE FLUJO" u="1"/>
        <s v="VERIFICACIÓN VÁLVULAS NEUMÁTICAS" u="1"/>
        <s v="MANTENIMIENTO MENSUAL COMPRESOR RS 185I-A125" u="1"/>
        <s v="VERIFICAR SEGURIDADES DEL EQUIPO" u="1"/>
        <s v="MEDICION DE OHMIAJE RESISTENCIAS RODILLOS LAMINADORES" u="1"/>
        <s v="MANTENIMIENTO 2000 HORAS COMPRESOR A.F" u="1"/>
        <s v="MANTENIMIENTO 4000 HORAS COMPRESOR A.F" u="1"/>
        <s v="Ajustar piñón para abrir y cerrar el molde" u="1"/>
        <s v="FUNC. DE LA VÁLVULA DE FLUJO DEL BLOWER" u="1"/>
        <s v="VERIFICAR ELECTRODOS TRATADOR CORONA" u="1"/>
        <s v="SERVICIO VERIFICACIÓN AL INSTRUMENTO" u="1"/>
        <s v="VERIFICAR ESTADO DE BANDAS ENTRADA Y SALIDA" u="1"/>
        <s v="VERIFICAR FUNCIONAMIENTO SENSOR LÁMINA" u="1"/>
        <s v="LUBRICAR CADENA, CHUMACERAS" u="1"/>
        <s v="REALIZAR TEST DE PRUEBA SEGÚN MANUAL" u="1"/>
        <s v="REVISAR ESTADO DEL FILTRO" u="1"/>
        <s v="LUBRICAR RODAMIENTOS" u="1"/>
        <s v="VERIFICACION PARALELISMO PLACAS FORMADORA Y TROQUEL" u="1"/>
        <s v="VERIFICAR FUNC/TO TERMOCUPLAS, SENSORES…" u="1"/>
        <s v="CALIBRAR LAZO DE FLUJO DOSIFICADORES PIGMENTOS" u="1"/>
        <s v="VERIFICAR ESTADO DEL CAUCHO DE RODILLOS" u="1"/>
        <s v="RUTINA SEMESTRAL RISER DE RED CONTRAINCENDIO" u="1"/>
        <s v="Variación de la  velocidad en automático del molido" u="1"/>
        <s v="VERIFICAR FUNCIONAMIENTO BOMBA" u="1"/>
        <s v="LUB GUIAS Y CORREDORES DE GUILLOTINA" u="1"/>
        <s v="MEDICION CARGA ELECTROESTÁTICA" u="1"/>
        <s v="LUBRICAR RODAMIENTOS, CADENAS Y PIÑONES" u="1"/>
        <s v="MANTENIMIENTO  16.000 HORAS, COMPRESOR RS185I-A125" u="1"/>
        <s v="VERIFICACIÓN CILINDROS NEUM" u="1"/>
        <s v="Cambio soporte transportador pantalla" u="1"/>
        <s v="NIVEL DE ACEITE" u="1"/>
        <s v="VERIFICAR VÁLVULAS NEUMÁTICAS BANDEJA PESAJE" u="1"/>
        <s v="MANTENIMIENTO 2000 HORAS / 3 MESES, COMPRESOR  RS185I-A125" u="1"/>
        <s v="REVISAR ESTADO TERMOCUPLAS Y PRESÓSTATOS" u="1"/>
        <s v="CAMBIAR BATERIAS" u="1"/>
        <s v="LUB GUIAS Y CORREDORES DE GUILL" u="1"/>
        <s v="LUBRICAR CABEZA, RODILLOS, HUSILLO, GUIA" u="1"/>
        <s v="VERIFICAR PRESIÓN DE CILINDROS" u="1"/>
        <s v="REVISAR VÁLVULAS NEUMÁTICAS" u="1"/>
        <s v="VERIFICACION INSTRUMENTOS PANEL" u="1"/>
        <s v="REALIZAR MTTO GENERAL A LA BOMBA" u="1"/>
        <s v="MEDIR VOLTAJE Y AMPERAJE" u="1"/>
        <s v="VERIFICAR FUNCIONAMIENTO DE LOS VIBRADORES" u="1"/>
        <s v="LECTURA PAR. ELEC. INCLUYE  CTE. ARMADURA" u="1"/>
        <s v="VERIF AFILADO CUCHILLAS" u="1"/>
        <s v="Acomodar acople para evitar fugas de material, en sistema de alimentación" u="1"/>
        <s v="ALINEACION DE PLACAS PORTAMOLDES FORMADORAS IRWIN" u="1"/>
        <s v="VERIFICACION RESISTENCIAS PRECALENTADOR" u="1"/>
        <s v="VERIFICACION. EST ELEMENTO RODANTE" u="1"/>
        <s v="FUNC. CILINDROS APER, CIERR, GUAYAS Y GUIAS" u="1"/>
        <s v="CAMBIAR FILTRO REFRIGERANTE" u="1"/>
        <s v="LIMPÍEZA DE CUERPO BOMBA SUMERGIBLE" u="1"/>
        <s v="VERIFICAR ELONGACIÓN Y ESTADO CADENA" u="1"/>
        <s v="EST. VÁLVULAS DE CARGA Y DESC" u="1"/>
        <s v="VERIFICAR FUGAS EN CILINDROS HIDRÁULICOS" u="1"/>
        <s v="Fuga de Aceite por sello metálico de Bomba de Refrigeración" u="1"/>
        <s v="COMPROBAR FUNCIONAMIENTO CONTROL VEL" u="1"/>
        <s v="LUBRICAR RODAMIENTOS RODILLOS" u="1"/>
        <s v="RUTINA MENSUAL RISER DE RED CONTRAINCENDIO" u="1"/>
        <s v="EST. Y FUNC. SENSORES NIVEL" u="1"/>
        <s v="EST. CADENAS Y PIÑONES" u="1"/>
        <s v="ESTADO ELEMENTO FLEXIBLE" u="1"/>
        <s v="Cambio tablet " u="1"/>
        <s v="VERIFIQUE SISTEMA LUBRICACIÓN" u="1"/>
        <s v="LIMPIEZA DE HORNO CON HIELO SECO" u="1"/>
        <s v="VERIF ESTADO DE RODILLOS CAUCHO" u="1"/>
        <s v="PREDICTIVO TERMOGRAFIA CONFIABILIDAD MOTOR ELE" u="1"/>
        <s v="Cable  de encoder y de poder" u="1"/>
        <s v="VERIFICAR OPERACIÓN DEL CALENTADOR" u="1"/>
        <s v="REVISAR SENSORES INDUCTIVOS CUCHILLA" u="1"/>
        <s v="LIMPIAR INTERCAMBIADOR DE REFRIGERACIÓN ACEITE" u="1"/>
        <s v="CAMBIAR RODAMIENTOS EJE" u="1"/>
        <s v="LUBRICAR PUNTOS DE ENGRASE MOLDES" u="1"/>
        <s v="VERIFICAR FUNCIONAMIENTO DEL ENCODER" u="1"/>
        <s v="Señal errada de temperatura del Acople" u="1"/>
        <s v="Fuga de material en tolva de molido" u="1"/>
        <s v="CORREGIR FUGAS DE VACÍO Y ACEITE" u="1"/>
        <s v="MANTENIEMIENTO Y CALIBRACIÓN TERCE" u="1"/>
        <s v="TEST KIT SSR ULTRACOOLANT" u="1"/>
        <s v="INSPECCIONAR SWITCH, EXHOSTO." u="1"/>
        <s v="AJUSTAR ANCLAJE, MEDIR PRESIÓN DESCARGA" u="1"/>
        <s v="REVISAR MICROS Y GUAYAS" u="1"/>
        <s v="REVISAR ESTADO DE SILENCIADORES" u="1"/>
        <s v="Registrar señales de avance de la malla para realizar cambio en automático" u="1"/>
        <s v="MANTENIMIENTO 2000 HORAS COMPRESOR ATLAS" u="1"/>
        <s v="MANTENIMIENTO 4000 HORAS COMPRESOR ATLAS" u="1"/>
        <s v="MANTENIMIENTO 8000 HORAS COMPRESOR ATLAS" u="1"/>
        <s v="VERIFICAR CORREAS, POLEAS." u="1"/>
        <s v="EST. Y DESG RODILLOS, CADEN, PIÑ" u="1"/>
        <s v="REVISAR UNIDAD DE MANTENIMIENTO Y AJUSTE DE TORNILLERIA" u="1"/>
        <s v="VERIFICAR ESTADO Y CONEXION TERMO CUPLA  BOTELLA" u="1"/>
        <s v="LUBRICAR RODAMIENTOS BOMBA" u="1"/>
        <s v="VERIFICAR JUNTAS ROTATIVAS" u="1"/>
        <s v="VERIFICACION FUNCIONAMIENTO THERMOSTATO" u="1"/>
        <s v="INSPECCION DEL FRENO DEL MOTOR" u="1"/>
        <s v="REVISAR INTERRUPTOR DE PEDAL" u="1"/>
        <s v="LIMPIEZA DE SENSORES DE FLUJO MASICO GAS BUTANO" u="1"/>
        <s v="VERIFICAR AUSENCIA EN SIST NEUMÁTICO" u="1"/>
        <s v="REVISAR ESTADO MICROS, GUARDAS, PROTECCIONES" u="1"/>
        <s v="EST. CORREA, POLEAS, BANDA, GU" u="1"/>
        <s v="VERIFICAR ESTADO DEL ACOPLE" u="1"/>
        <s v="CAMBIAR EL REFRIGERANTE" u="1"/>
        <s v="LUBRICAR JUNTAS ROTATIVAS" u="1"/>
        <s v="SERVICIO DE CALIBRACIÓN" u="1"/>
        <s v="REVISAR ELONGACIÓN CADENA" u="1"/>
        <s v="CAMBIAR FILTRO DE AIRE, ELEMENTO SEPARADOR" u="1"/>
        <s v="AJUSTE VOLTAJES DE REFERENCIA" u="1"/>
        <s v="VERIFICACIÓN TACOGENERADOR" u="1"/>
        <s v="REVISAR FUNC/TO MICROSWITCHES, RESISTENCIA Y PULSADORES" u="1"/>
        <s v="REVISIÓN BOMBA SUMERGIBLE" u="1"/>
        <s v="VERIFICAR ESTADO FILTROS SUP SILO" u="1"/>
        <s v="REVISAR ACOPLE TORNILLO BLENDER" u="1"/>
        <s v="LUBRICAR RODAMIENTOS Y CADENA" u="1"/>
        <s v="MEDICIÓN DE  ESCOBILLAS" u="1"/>
        <s v="LIMPIEZA TORRE Y LIMPIEZA DE TANQUE" u="1"/>
      </sharedItems>
    </cacheField>
    <cacheField name="Procedimiento" numFmtId="49">
      <sharedItems containsBlank="1" count="712">
        <s v="ELE-FB-001-M"/>
        <s v="ELE-MG-001-M"/>
        <s v="ELE-MG-002-M"/>
        <s v="ELE-MG-003-M"/>
        <s v="ELE-MG-005-M"/>
        <s v="ELE-MG-006-M"/>
        <s v="ELE-MG-007-M"/>
        <s v="ELE-MG-008-M"/>
        <s v="ELE-MG-009-M"/>
        <s v="ELE-MG-010-M"/>
        <s v="ELE-MG-011-M"/>
        <s v="ELE-MG-013-M"/>
        <s v="ELE-MG-019-M"/>
        <s v="ELE-MG-029-M"/>
        <s v="ELE-MG-031-M"/>
        <s v="ELE-MG-032-M"/>
        <s v="ELE-MG-039-M"/>
        <s v="ELE-MG-043-M"/>
        <s v="ELE-MG-047-M"/>
        <s v="ELE-MG-056-M"/>
        <s v="ELE-MG-057-M"/>
        <s v="ELE-MG-059-M"/>
        <s v="ELE-MG-060-M"/>
        <s v="ELE-MG-061-M"/>
        <s v="ELE-MG-062-M"/>
        <s v="ELE-MG-063-M"/>
        <s v="ELE-NE-004-M"/>
        <s v="ELE-PD-001-M"/>
        <s v="ELE-PD-003-M"/>
        <s v="LUB-OI-001-M"/>
        <s v="MEC-AC-003-M"/>
        <s v="MEC-AC-004-M"/>
        <s v="MEC-IC-001-M"/>
        <s v="MEC-MG-064-M"/>
        <s v="MEC-MG-065-M"/>
        <s v="MEC-MG-066-M"/>
        <s v="MEC-MG-067-M"/>
        <s v="MEC-MG-068-M"/>
        <s v="MEC-MG-069-M"/>
        <s v="MEC-MG-070-M"/>
        <s v="MEC-MG-071-M"/>
        <s v="MEC-MG-072-M"/>
        <s v="MEC-MG-073-M"/>
        <s v="MEC-MG-078-M"/>
        <s v="MEC-MG-090-M"/>
        <s v="MEC-MG-091-M"/>
        <s v="MEC-MG-092-M"/>
        <s v="MEC-MG-094-M"/>
        <s v="MEC-NE-006-M"/>
        <s v="MEC-NE-007-M"/>
        <s v="MEC-NE-008-M"/>
        <s v="MEC-NE-009-M"/>
        <s v="MEC-NE-011-M"/>
        <s v="MEC-NE-012-M"/>
        <s v="MEC-RD-001-M"/>
        <s v="MEC-TM-001-M"/>
        <s v="MEC-TM-003-M"/>
        <s v="MEC-TM-008-M"/>
        <s v="MEC-TM-009-M"/>
        <s v="ELE-NE-003-M" u="1"/>
        <s v="LUB-CH-001-M" u="1"/>
        <s v="LUB-RO-004-M" u="1"/>
        <s v="MEC-FT-006-M" u="1"/>
        <s v="MEC-MG-044-M" u="1"/>
        <s v="MEC-MG-058-M" u="1"/>
        <s v="MEC-NE-003-M" u="1"/>
        <s v="MEC-RD-006-M" u="1"/>
        <s v="ELE-MG-040-M" u="1"/>
        <s v="ELE-MG-041-M" u="1"/>
        <s v="ELE-MG-058-M" u="1"/>
        <s v="INS-MG-001-M" u="1"/>
        <s v="LUB-MX-001-M" u="1"/>
        <s v="LUB-TM-001-M" u="1"/>
        <s v="MEC-CC-000-M" u="1"/>
        <s v="MEC-MG-041-M" u="1"/>
        <s v="MEC-MG-043-M" u="1"/>
        <s v="MEC-MG-059-M" u="1"/>
        <s v="ELE-PD-005-M" u="1"/>
        <s v="INS-PD-003-M" u="1"/>
        <s v="LUB-OI-002-M" u="1"/>
        <s v="MEC-AC-002-M" u="1"/>
        <s v="MEC-MG-001-M" u="1"/>
        <s v="MEC-MG-062-M" u="1"/>
        <s v="ELE-FB-002-M" u="1"/>
        <s v="ELE-PD-007-M" u="1"/>
        <s v="INS-PD-001-M" u="1"/>
        <s v="ELE-MG-030-M" u="1"/>
        <s v="ELE-MG-045-M" u="1"/>
        <s v="MEC-MG-003-M" u="1"/>
        <s v="MEC-MG-042-M" u="1"/>
        <s v="MEC-MG-048-M" u="1"/>
        <s v="MEC-NE-002-M" u="1"/>
        <s v="LUB-ML-001-M" u="1"/>
        <s v="MEC-TM-002-M" u="1"/>
        <s v="MEC-TM-007-M" u="1"/>
        <s v="INS-PD-004-M" u="1"/>
        <s v="ELE-MG-044-M" u="1"/>
        <s v="LUB-TQ-001-M" u="1"/>
        <s v="MEC-MG-049-M" u="1"/>
        <s v="MEC-MG-050-M" u="1"/>
        <s v="MEC-MG-051-M" u="1"/>
        <s v="MEC-MG-052-M" u="1"/>
        <s v="MEC-TQ-001-M" u="1"/>
        <s v="ELE-MG-042-M" u="1"/>
        <s v="ELE-MG-015-M" u="1"/>
        <s v="ELE-MG-022-M" u="1"/>
        <s v="INS-LC-003-M" u="1"/>
        <s v="ELE-PD-006-M" u="1"/>
        <s v="ELE-MG-023-M" u="1"/>
        <s v="ELE-MG-024-M" u="1"/>
        <s v="ELE-NE-002-M" u="1"/>
        <s v="ELE-FT-001-M" u="1"/>
        <s v="MEC-MG-029-M" u="1"/>
        <s v="MEC-MG-030-M" u="1"/>
        <s v="ELE-MG-021-M" u="1"/>
        <s v="ELE-NE-001-M" u="1"/>
        <s v="MEC-MG-026-M" u="1"/>
        <s v="MEC-MG-027-M" u="1"/>
        <s v="MEC-MG-028-M" u="1"/>
        <s v="MEC-MG-014-M" u="1"/>
        <s v="LUB-RO-005-M" u="1"/>
        <s v="MEC-MG-033-M" u="1"/>
        <s v="MEC-RD-003-M" u="1"/>
        <s v="ELE-MG-025-M" u="1"/>
        <s v="ELE-MG-026-M" u="1"/>
        <s v="MEC-MG-022-M" u="1"/>
        <s v="MEC-MG-023-M" u="1"/>
        <s v="INS-LC-004-M" u="1"/>
        <s v="MEC-FT-005-M" u="1"/>
        <s v="MEC-MG-019-M" u="1"/>
        <s v="ELE-MG-014-M" u="1"/>
        <s v="ELE-MG-016-M" u="1"/>
        <s v="INS-LC-001-M" u="1"/>
        <s v="INS-LC-002-M" u="1"/>
        <s v="LUB-BL-001-M" u="1"/>
        <s v="MEC-FT-001-M" u="1"/>
        <s v="MEC-MG-002-M" u="1"/>
        <s v="LUB-OI-003-M" u="1"/>
        <s v="ELE-MG-034-M" u="1"/>
        <s v="PRO-MG-000-M" u="1"/>
        <s v="ELE-MG-017-M" u="1"/>
        <s v="LUB-RO-003-M" u="1"/>
        <s v="MEC-MG-054-M" u="1"/>
        <s v="MEC-MG-056-M" u="1"/>
        <s v="ELE-MG-027-M" u="1"/>
        <s v="MEC-MG-025-M" u="1"/>
        <s v="MEC-MG-061-M" u="1"/>
        <s v="ELE-PD-004-M" u="1"/>
        <s v="IST-DE-002" u="1"/>
        <s v="LUB-DE-002" u="1"/>
        <s v="MEC-DE-001" u="1"/>
        <s v="ELE-ME-001" u="1"/>
        <s v="LUB-RD-001" u="1"/>
        <s v="MEC-RD-003" u="1"/>
        <s v="ELE-EE-000" u="1"/>
        <s v="ELE-EE-001" u="1"/>
        <s v="ELE-FM-000" u="1"/>
        <s v="IST-FM-002" u="1"/>
        <s v="LUB-FM-004" u="1"/>
        <s v="MEC-FM-006" u="1"/>
        <s v="LUB-BV-000" u="1"/>
        <s v="LUB-BV-003" u="1"/>
        <s v="MEC-BV-002" u="1"/>
        <s v="MEC-BV003" u="1"/>
        <s v="ELE-ME-013" u="1"/>
        <s v="MEC-BM-001" u="1"/>
        <s v="ELE-ME-009" u="1"/>
        <s v="LUB-ME-001" u="1"/>
        <s v="ELE-TE-000" u="1"/>
        <s v="ELE-TE-002" u="1"/>
        <s v="ELE-HE-001" u="1"/>
        <s v="IST-HF-000" u="1"/>
        <s v="LUB-HF-000" u="1"/>
        <s v="MEC-HF-005" u="1"/>
        <s v="ELE-ML-000" u="1"/>
        <s v="LUB-ML-000" u="1"/>
        <s v="MEC-ML-005" u="1"/>
        <s v="ELE-TP-000" u="1"/>
        <s v="IST-RB-000" u="1"/>
        <s v="LUB-RB-000" u="1"/>
        <s v="MEC-RB-003" u="1"/>
        <s v="MEC-RB-006" u="1"/>
        <s v="ELE-SP-000" u="1"/>
        <s v="IST-SP-000" u="1"/>
        <s v="LUB-SP-000" u="1"/>
        <s v="MEC-SP-000" u="1"/>
        <s v="ELE-TE-001" u="1"/>
        <s v="IST-SR-001" u="1"/>
        <s v="MEC-SR-002" u="1"/>
        <s v="MEC-BG-001" u="1"/>
        <s v="ELE-AA-000" u="1"/>
        <s v="ELE-TQ-000" u="1"/>
        <s v="IST-TQ-001" u="1"/>
        <s v="LUB-FM-006" u="1"/>
        <s v="LUB-TQ-001" u="1"/>
        <s v="MEC-SN-001" u="1"/>
        <s v="INS-PD-002-M" u="1"/>
        <s v="ELE-SS-000-M" u="1"/>
        <s v="MEC-MG-008-M" u="1"/>
        <s v="MEC-MG-011-M" u="1"/>
        <s v="LUB-RO-001-M" u="1"/>
        <s v="MEC-AC-001-M" u="1"/>
        <s v="MEC-RD-002-M" u="1"/>
        <s v="MEC-RD-004-M" u="1"/>
        <s v="MEC-RD-005-M" u="1"/>
        <s v="MEC-FT-003-M" u="1"/>
        <s v="MEC-MG-005-M" u="1"/>
        <s v="MEC-MG-032-M" u="1"/>
        <s v="MEC-MG-015-M" u="1"/>
        <s v="ELE-MG-020-M" u="1"/>
        <s v="ELE-MG-2A-01" u="1"/>
        <s v="MEC-MG-016-M" u="1"/>
        <s v="MEC-DE-002" u="1"/>
        <s v="MEC-RD-005" u="1"/>
        <s v="MEC-FM-005" u="1"/>
        <s v="LUB-BV-001" u="1"/>
        <s v="MEC-HF-009" u="1"/>
        <s v="ELE-ME-002" u="1"/>
        <s v="MEC-ML-001" u="1"/>
        <s v="MEC-ML-002" u="1"/>
        <s v="ELE-TQ-001" u="1"/>
        <s v="LUB-TQ-000" u="1"/>
        <s v="MEC-TQ-001" u="1"/>
        <s v="MEC-TQ-003" u="1"/>
        <s v="MEC-TQ-005" u="1"/>
        <s v="MEC-TQ-006" u="1"/>
        <s v="MEC-TQ-007" u="1"/>
        <s v="MEC-TQ-008" u="1"/>
        <s v="MEC-TQ-011" u="1"/>
        <s v="MEC-TQ001-M" u="1"/>
        <s v="ELE-ME-011" u="1"/>
        <s v="IST-ME-000" u="1"/>
        <s v="ELE-MG-071-M" u="1"/>
        <s v="MEC-MG-100-M" u="1"/>
        <s v="MEC-MG-079-M" u="1"/>
        <s v="ELE-MG-064-M" u="1"/>
        <s v="MEC-MG-093-M" u="1"/>
        <s v="LUB- CP-001-M" u="1"/>
        <s v="LUB-SA-001-M" u="1"/>
        <s v="MEC-MG-083-M" u="1"/>
        <s v="MEC-MG-084-M" u="1"/>
        <s v="MEC-MG-085-M" u="1"/>
        <s v="MEC-MG-086-M" u="1"/>
        <s v="ELE-MG-054-M" u="1"/>
        <s v="MEC-MG-080-M" u="1"/>
        <s v="ELE-MG-055-M" u="1"/>
        <s v="MEC-MG-081-M" u="1"/>
        <s v="MEC-NE-010-M" u="1"/>
        <s v="ELE-MG-066-M" u="1"/>
        <s v="ELE-MG-067-M" u="1"/>
        <s v="MEC-MG-097-M" u="1"/>
        <s v="MEC-MG-158-M" u="1"/>
        <s v="MEC-MG-082-M" u="1"/>
        <s v="ELE-MG-012-M" u="1"/>
        <s v="ELE-MG-070-M" u="1"/>
        <s v="MEC-MG-098-M" u="1"/>
        <s v="MEC-MG-099-M" u="1"/>
        <s v="LUB-AL-001-M" u="1"/>
        <s v="MEC-MG-075-M" u="1"/>
        <s v="MEC-MG-076-M" u="1"/>
        <s v="MEC-MG-077-M" u="1"/>
        <s v="ELE-MG-053-M" u="1"/>
        <s v="MEC-MG-012-M" u="1"/>
        <s v="ELE-MA-000" u="1"/>
        <s v="ELE-MA-001" u="1"/>
        <s v="ELE-MA-003" u="1"/>
        <s v="MEC-MG-001" u="1"/>
        <s v="MEC-MG-004" u="1"/>
        <s v="ELE-MG-001" u="1"/>
        <s v="LUB-MG-001" u="1"/>
        <s v="MEC-MG-002" u="1"/>
        <s v="IST-MG-002" u="1"/>
        <s v="IST-MG-001" u="1"/>
        <s v="ELE-MG-074-M" u="1"/>
        <s v="MEC-MG-111-M" u="1"/>
        <s v="MEC-MG-112-M" u="1"/>
        <s v="MEC-MG-113-M" u="1"/>
        <s v="MEC-MG-114-M" u="1"/>
        <s v="MEC-RD-007-M" u="1"/>
        <s v="MEC-MG-135-M" u="1"/>
        <s v="MEC-MG-136-M" u="1"/>
        <s v="MEC-MG-137-M" u="1"/>
        <s v="MEC-MG-138-M" u="1"/>
        <s v="MEC-MG-140-M" u="1"/>
        <s v="MEC-MG-121-M" u="1"/>
        <s v="ELE-MG-075-M" u="1"/>
        <s v="MEC-MG-139-M" u="1"/>
        <s v="MEC-MG-119-M" u="1"/>
        <s v="MEC-MG-120-M" u="1"/>
        <s v="ELE-MG-073-M" u="1"/>
        <s v="MEC-MG-110-M" u="1"/>
        <s v="MEC-NE-013-M" u="1"/>
        <s v="ELE-MG-080-M" u="1"/>
        <s v="ELE-VV-000-M" u="1"/>
        <s v="MEC-MG-148-M" u="1"/>
        <s v="MEC-MG-149-M" u="1"/>
        <s v="MEC-MG-150-M" u="1"/>
        <s v="MEC-MG-151-M" u="1"/>
        <s v="MEC-MG-152-M" u="1"/>
        <s v="MEC-MG-153-M" u="1"/>
        <s v="MEC-MG-154-M" u="1"/>
        <s v="MEC-MG-155-M" u="1"/>
        <s v="MEC-MG-156-M" u="1"/>
        <s v="MEC-MG-117-M" u="1"/>
        <s v="ELE-MG-079-M" u="1"/>
        <s v="MEC-MG-141-M" u="1"/>
        <s v="MEC-MG-144-M" u="1"/>
        <s v="MEC-MG-145-M" u="1"/>
        <s v="MEC-MG-142-M" u="1"/>
        <s v="MEC-MG-143-M" u="1"/>
        <s v="MEC-MG-116-M" u="1"/>
        <s v="MEC-MG-039-M" u="1"/>
        <s v="ELE-MG-076-M" u="1"/>
        <s v="ELE-MG-077-M" u="1"/>
        <s v="MEC-MG-122-M" u="1"/>
        <s v="MEC-MG-123-M" u="1"/>
        <s v="MEC-MG-124-M" u="1"/>
        <s v="MEC-MG-125-M" u="1"/>
        <s v="MEC-MG-127-M" u="1"/>
        <s v="ELE-MG-078-M" u="1"/>
        <s v="MEC-MG-128-M" u="1"/>
        <s v="MEC-MG-129-M" u="1"/>
        <s v="MEC-MG-130-M" u="1"/>
        <s v="MEC-MG-131-M" u="1"/>
        <s v="MEC-MG-132-M" u="1"/>
        <s v="MEC-MG-133-M" u="1"/>
        <s v="ELE-MG-081-M" u="1"/>
        <s v="ELE-MG-082-M" u="1"/>
        <s v="ELE-MG-083-M" u="1"/>
        <s v="ELE-MG-084-M" u="1"/>
        <s v="ELE-MG-085-M" u="1"/>
        <s v="ELE-MG-086-M" u="1"/>
        <s v="ELE-MG-087-M" u="1"/>
        <s v="LUB-TM-003-M" u="1"/>
        <s v="MEC-TQ-0002-M" u="1"/>
        <s v="LUB-RO-006-M" u="1"/>
        <s v="MEC-MG-055-M" u="1"/>
        <s v="MEC-MG-057-M" u="1"/>
        <s v="MEC-NE-005-M" u="1"/>
        <s v="MEC-TM-006-M" u="1"/>
        <s v="ELE-MG-049-M" u="1"/>
        <s v="MEC-MG-053-M" u="1"/>
        <s v="MEC-MG-063-M" u="1"/>
        <s v="MEC-MG-013-M" u="1"/>
        <s v="MEC-MG-024-M" u="1"/>
        <s v="MEC-MG-021-M" u="1"/>
        <s v="CON-VIB-6M-EXT" u="1"/>
        <s v="MEC-TM-005-M" u="1"/>
        <s v="MEC-FT-004-M" u="1"/>
        <s v="ELE-MX-000" u="1"/>
        <s v="MEC-NE-001-M" u="1"/>
        <s v="ELE-MG-038-M" u="1"/>
        <s v="MEC-MG-038-M" u="1"/>
        <s v="ELE-MG-035-M" u="1"/>
        <s v="MEC-MG-009-M" u="1"/>
        <s v="MEC-MG-060-M" u="1"/>
        <s v="ELE-MG-028-M" u="1"/>
        <s v="ELE-MG-036-M" u="1"/>
        <s v="MEC-MG-037-M" u="1"/>
        <s v="MEC-MG-036-M" u="1"/>
        <s v="ELE-MG-037-M" u="1"/>
        <s v="ELE-MG-018-M" u="1"/>
        <s v="INS-PD-005-M" u="1"/>
        <s v="MEC-BA-002" u="1"/>
        <s v="MEC-HF-002" u="1"/>
        <s v="CON-TER-3M-EXT" u="1"/>
        <s v="MEC-MG-004-M" u="1"/>
        <s v="MEC-MG-006-M" u="1"/>
        <s v="LUB-TG-001-M" u="1"/>
        <s v="LUB-TM-002-M" u="1"/>
        <s v="MEC-MG-115-M" u="1"/>
        <s v="MEC-MG-102-M" u="1"/>
        <s v="MEC-MG-103-M" u="1"/>
        <s v="MEC-MG-104-M" u="1"/>
        <s v="MEC-MG-105-M" u="1"/>
        <s v="MEC-MG-106-M" u="1"/>
        <s v="MEC-MG-118-M" u="1"/>
        <s v="ELE-MG-046-M" u="1"/>
        <s v="ELE-MG-096-M" u="1"/>
        <s v="ELE-MG-095-M" u="1"/>
        <s v="MEC-MG-171-M" u="1"/>
        <s v="ELE-MG-088-M" u="1"/>
        <s v="ELE-MG-089-M" u="1"/>
        <s v="MEC-MG-159-M" u="1"/>
        <s v="MEC-MG-160-M" u="1"/>
        <s v="MEC-MG-166-M" u="1"/>
        <s v="MEC-MG-167-M" u="1"/>
        <s v="MEC-MG-168-M" u="1"/>
        <s v="MEC-MG-164-M" u="1"/>
        <s v="MEC-MG-165-M" u="1"/>
        <s v="MEC-MG-173-M" u="1"/>
        <s v="MEC-MG-174-M" u="1"/>
        <s v="MEC-MG-175-M" u="1"/>
        <s v="ELE-MG-097-M" u="1"/>
        <s v="ELE-MG-093-M" u="1"/>
        <s v="ELE-MG-094-M" u="1"/>
        <s v="MEC-MG-169-M" u="1"/>
        <s v="MEC-MG-170-M" u="1"/>
        <s v="ELE-MG-048-M" u="1"/>
        <s v="LUB-OI-005-M" u="1"/>
        <s v="LUB-RD-000" u="1"/>
        <s v="IST-BV-001" u="1"/>
        <s v="MEC-BV-001" u="1"/>
        <s v="ELE-RB-000" u="1"/>
        <s v="MEC-RB-004" u="1"/>
        <s v="MEC-RB-005" u="1"/>
        <s v="MEC-MG-045-M" u="1"/>
        <s v="MEC-MG-046-M" u="1"/>
        <s v="MEC-MG-047-M" u="1"/>
        <s v="MEC-NE-004-M" u="1"/>
        <s v="MEC-MG-017-M" u="1"/>
        <s v="MEC-MG-010-M" u="1"/>
        <s v="MEC-MG-020-M" u="1"/>
        <s v="ELE-ME-004" u="1"/>
        <s v="ELE-IY-002" u="1"/>
        <s v="IST-SN-001" u="1"/>
        <s v="LUB-IY-005" u="1"/>
        <s v="LUB-SH-000" u="1"/>
        <s v="MEC-IY-001" u="1"/>
        <s v="MEC-IY-003" u="1"/>
        <s v="MEC-IY-008" u="1"/>
        <s v="MEC-IY-009" u="1"/>
        <s v="MEC-SN-000" u="1"/>
        <s v="IST-CH-000" u="1"/>
        <s v="MEC-CH-000" u="1"/>
        <s v="LUB-BG-000" u="1"/>
        <s v="IST-CH-001" u="1"/>
        <s v="LUB-SH-001" u="1"/>
        <s v="LUB-SH-002" u="1"/>
        <s v="LUB-SH-003" u="1"/>
        <s v="MEC-BH-000" u="1"/>
        <s v="IST-SN-000" u="1"/>
        <s v="IST-SQ-003" u="1"/>
        <s v="ELE-BW-000" u="1"/>
        <s v="IST-BW-000" u="1"/>
        <s v="LUB-BW-001" u="1"/>
        <s v="MEC-BW-000" u="1"/>
        <s v="MEC-BW-001" u="1"/>
        <s v="ELE-IY-000" u="1"/>
        <s v="ELE-IY-003" u="1"/>
        <s v="IST-IY-002" u="1"/>
        <s v="IST-IY-005" u="1"/>
        <s v="LUB-IY-001" u="1"/>
        <s v="MEC-IY-002" u="1"/>
        <s v="MEC-IY-010" u="1"/>
        <s v="MEC-IY-011" u="1"/>
        <s v="MEC-IY-012" u="1"/>
        <s v="MEC-MD-006" u="1"/>
        <s v="IST-IY-004" u="1"/>
        <s v="IST-IY-006" u="1"/>
        <s v="MEC-EF-001" u="1"/>
        <s v="MEC-MG-018-M" u="1"/>
        <s v="MEC-MG-031-M" u="1"/>
        <s v="MEC-MG-034-M" u="1"/>
        <s v="ELE-MG-033-M" u="1"/>
        <s v="MEC-MG-035-M" u="1"/>
        <s v="LUB-RO-002-M" u="1"/>
        <s v="MEC-FT-002-M" u="1"/>
        <s v="MEC-MG-146-M" u="1"/>
        <s v="MEC-MG-147-M" u="1"/>
        <s v="MEC-MG-126-M" u="1"/>
        <s v="MEC-MG-006" u="1"/>
        <s v="LUB-FM-001" u="1"/>
        <s v="MEC-FM-002" u="1"/>
        <s v="IST-HF-001" u="1"/>
        <s v="LUB-HF-001" u="1"/>
        <s v="MEC-HF-004" u="1"/>
        <s v="MEC-HF-007" u="1"/>
        <s v="LUB-OI-004-M" u="1"/>
        <s v="IST-CV-000" u="1"/>
        <s v="MEC-CV-002" u="1"/>
        <s v="LUB-RD-004" u="1"/>
        <s v="MEC-RD-002" u="1"/>
        <s v="ELE-FR-000" u="1"/>
        <s v="LUB-FR-000" u="1"/>
        <s v="ELE-CS-000" u="1"/>
        <s v="ELE-CS-001" u="1"/>
        <s v="ELE-CS-002" u="1"/>
        <s v="LUB-CS-000" u="1"/>
        <s v="MEC-CS-001" u="1"/>
        <s v="ELE-IM-003" u="1"/>
        <s v="ELE-TE-003" u="1"/>
        <s v="MEC-MG-003" u="1"/>
        <s v="LUB-MG-002" u="1"/>
        <s v="ELE-MG-065-M" u="1"/>
        <s v="MEC-MG-096-M" u="1"/>
        <s v="MEC-MG-087-M" u="1"/>
        <s v="MEC-MG-088-M" u="1"/>
        <s v="MEC-MG-089-M" u="1"/>
        <s v="ELE-GN-003-A" u="1"/>
        <s v="ELE-GN-004-A" u="1"/>
        <s v="ELE-ME-001-A" u="1"/>
        <s v="ELE-ME-002-A" u="1"/>
        <s v="MEC-MG-095-M" u="1"/>
        <s v="LUB-MG-003" u="1"/>
        <s v="LUB-MG-004" u="1"/>
        <s v="MEC-MG-005" u="1"/>
        <s v="LUB-CH-002-M" u="1"/>
        <s v="MEC-MG-108-M" u="1"/>
        <s v="MEC-MG-157-M" u="1"/>
        <s v="ELE-MG-072-M" u="1"/>
        <s v="PRO-MG-001-M" u="1"/>
        <s v="MEC-MG-161-M" u="1"/>
        <s v="MEC-TM-004-M" u="1"/>
        <s v="MEC-MG-162-M" u="1"/>
        <s v="MEC-MG-172-M" u="1"/>
        <s v="ELE-MG-090-M" u="1"/>
        <s v="MEC-MG-109-M" u="1"/>
        <s v="ELE-MG-091-M" u="1"/>
        <s v="MEC-MG-163-M" u="1"/>
        <s v="ELE-MG-092-M" u="1"/>
        <s v="ELE-ME-012" u="1"/>
        <s v="MEC-RB-000" u="1"/>
        <s v="LUB-SP-001" u="1"/>
        <s v="MEC-TQ-004" u="1"/>
        <s v="CON-TER-6M-EXT" u="1"/>
        <s v="IST-DC-000" u="1"/>
        <s v="LUB-DC-000" u="1"/>
        <s v="MEC-DC-000" u="1"/>
        <s v="MEC-EC-000" u="1"/>
        <s v="MEC-MG-134-M" u="1"/>
        <s v="ELE-EX-000" u="1"/>
        <s v="ELE-EX-001" u="1"/>
        <s v="ELE-EX-002" u="1"/>
        <s v="MEC-EX-000" u="1"/>
        <s v="MEC-EX-001" u="1"/>
        <s v="ELE-SR-000" u="1"/>
        <s v="IST-SR-000" u="1"/>
        <s v="MEC-SR-000" u="1"/>
        <s v="LUB-GR-000" u="1"/>
        <s v="MEC-GR-000" u="1"/>
        <s v="IST-SA-001" u="1"/>
        <s v="IST-SA-002" u="1"/>
        <s v="MEC-SA-001" u="1"/>
        <s v="MEC-TB-000" u="1"/>
        <s v="MEC-MG-101-M" u="1"/>
        <s v="IST-MX-000" u="1"/>
        <s v="MEC-CH-001" u="1"/>
        <s v="MEC-BG-000" u="1"/>
        <s v="MEC-SQ-000" u="1"/>
        <s v="MEC-SQ-001" u="1"/>
        <s v="LUB-BW-000" u="1"/>
        <s v="MEC-IY-013" u="1"/>
        <s v="LUB-TN-001-M" u="1"/>
        <s v="" u="1"/>
        <m u="1"/>
        <s v="IST-SG-000" u="1"/>
        <s v="ELE-CA-002" u="1"/>
        <s v="ELE-IM-001" u="1"/>
        <s v="MEC-RH-002" u="1"/>
        <s v="ELE-CA-001" u="1"/>
        <s v="ELE-ME-008" u="1"/>
        <s v="ELE-MG-004-M" u="1"/>
        <s v="MEC-RH-001" u="1"/>
        <s v="MEC-TF-003" u="1"/>
        <s v="MEC-SH-001" u="1"/>
        <s v="ELE-HE-002" u="1"/>
        <s v="MEC-RH-000" u="1"/>
        <s v="IST-SA-000" u="1"/>
        <s v="ELE-ME-006" u="1"/>
        <s v="LUB-VE-000" u="1"/>
        <s v="CON-VIB-3M-EXT" u="1"/>
        <s v="MEC-RB-002" u="1"/>
        <s v="MEC-RD-001" u="1"/>
        <s v="ELE-ME-005" u="1"/>
        <s v="MEC-TF-001" u="1"/>
        <s v="MEC-SD-001" u="1"/>
        <s v="LUB-BV-002" u="1"/>
        <s v="MEC-RB-001" u="1"/>
        <s v="MEC-RD-000" u="1"/>
        <s v="MEC-TF-000" u="1"/>
        <s v="MEC-SD-000" u="1"/>
        <s v="IST-00-003" u="1"/>
        <s v="INS-PD-006-M" u="1"/>
        <s v="LUB-CV-001" u="1"/>
        <s v="IST-00-002" u="1"/>
        <s v="IST-EX-001" u="1"/>
        <s v="ELE-MG-069-M" u="1"/>
        <s v="IST-00-001" u="1"/>
        <s v="ELE-SQ-000" u="1"/>
        <s v="ELE-MA-002" u="1"/>
        <s v="IST-CR-000" u="1"/>
        <s v="ELE-TE-005" u="1"/>
        <s v="ELE-ME-010" u="1"/>
        <s v="MEC-CS-002" u="1"/>
        <s v="MEC-BS-001" u="1"/>
        <s v="INS-RL-001" u="1"/>
        <s v="MEC-FM-007" u="1"/>
        <s v="MEC-CA-009" u="1"/>
        <s v="ELE-RE-000" u="1"/>
        <s v="MEC-CA-008" u="1"/>
        <s v="MEC-CA-007" u="1"/>
        <s v="MEC-BM-000" u="1"/>
        <s v="LUB-GL-000" u="1"/>
        <s v="IST-GL-000" u="1"/>
        <s v="MEC-CA-006" u="1"/>
        <s v="MEC-BG-002" u="1"/>
        <s v="IST-CB-001" u="1"/>
        <s v="ELE-SA-000" u="1"/>
        <s v="MEC-FM-014" u="1"/>
        <s v="MEC-CA-005" u="1"/>
        <s v="MEC-BI-000" u="1"/>
        <s v="ELE-VE-000" u="1"/>
        <s v="ELE-UC-000" u="1"/>
        <s v="MEC-FM-013" u="1"/>
        <s v="MEC-FM-001" u="1"/>
        <s v="MEC-CA-016" u="1"/>
        <s v="MEC-CA-004" u="1"/>
        <s v="ELE-EX-004" u="1"/>
        <s v="MEC-CA-015" u="1"/>
        <s v="MEC-CA-003" u="1"/>
        <s v="MEC-BE-000" u="1"/>
        <s v="LUB-ML-002" u="1"/>
        <s v="MEC-CA-014" u="1"/>
        <s v="MEC-CA-002" u="1"/>
        <s v="MEC-BA-001" u="1"/>
        <s v="LUB-ML-001" u="1"/>
        <s v="MEC-CA-013" u="1"/>
        <s v="MEC-DE-000" u="1"/>
        <s v="MEC-CA-001" u="1"/>
        <s v="MEC-BA-000" u="1"/>
        <s v="PRO-TA-000" u="1"/>
        <s v="MEC-CA-012" u="1"/>
        <s v="MEC-UT01" u="1"/>
        <s v="LUB-SP-003" u="1"/>
        <s v="MEC-CA-000" u="1"/>
        <s v="LUB-SP-002" u="1"/>
        <s v="MEC-MA-008" u="1"/>
        <s v="MEC-CA-010" u="1"/>
        <s v="LUB-RD-006" u="1"/>
        <s v="IST-SP-001" u="1"/>
        <s v="MEC-MA-007" u="1"/>
        <s v="IST-UT-000" u="1"/>
        <s v="LUB-RD-005" u="1"/>
        <s v="LUB-RL-001" u="1"/>
        <s v="ELE-CL-001" u="1"/>
        <s v="MEC-MA-006" u="1"/>
        <s v="MEC-MA-005" u="1"/>
        <s v="IST-ND-000" u="1"/>
        <s v="MEC-SQ-002" u="1"/>
        <s v="LUB-RD-003" u="1"/>
        <s v="LUB-RH-001" u="1"/>
        <s v="LUB-RD-002" u="1"/>
        <s v="LUB-RH-000" u="1"/>
        <s v="IST-SH-001" u="1"/>
        <s v="IST-RH-000" u="1"/>
        <s v="ELE-MX-001" u="1"/>
        <s v="MEC-SM-002" u="1"/>
        <s v="IST-SB-003" u="1"/>
        <s v="MEC-SO-000" u="1"/>
        <s v="ELE-CB-001" u="1"/>
        <s v="IST-SD-000" u="1"/>
        <s v="ELE-CB-000" u="1"/>
        <s v="ELE-MP-000" u="1"/>
        <s v="MEC-RE-000" u="1"/>
        <s v="MEC-SA-000" u="1"/>
        <s v="ELE-PD-002-M" u="1"/>
        <s v="MEC-VE-000" u="1"/>
        <s v="MEC-CV-004" u="1"/>
        <s v="ELE-SP-001" u="1"/>
        <s v="ELE-TP-001" u="1"/>
        <s v="LUB-FM-005" u="1"/>
        <s v="ELE-RL-000" u="1"/>
        <s v="MEC-BT-001" u="1"/>
        <s v="MEC-BV-000" u="1"/>
        <s v="IST-BM-000" u="1"/>
        <s v="ELE-RH-001" u="1"/>
        <s v="LUB-BI-001" u="1"/>
        <s v="ELE-RH-000" u="1"/>
        <s v="LUB-BI-000" u="1"/>
        <s v="IST-DM-000" u="1"/>
        <s v="IST-FM-001" u="1"/>
        <s v="LUB-FM-000" u="1"/>
        <s v="IST-FM-000" u="1"/>
        <s v="LUB-BE-000" u="1"/>
        <s v="ELE-SD-000" u="1"/>
        <s v="LUB-DE-001" u="1"/>
        <s v="MEC-CL-001" u="1"/>
        <s v="LUB-CA-001" u="1"/>
        <s v="IST-DE-000" u="1"/>
        <s v="LUB-CA-000" u="1"/>
        <s v="IST-CA-000" u="1"/>
        <s v="MEC-GL-000" u="1"/>
        <s v="MEC-CB-001" u="1"/>
        <s v="ELE-BS-001" u="1"/>
        <s v="MEC-HF-003" u="1"/>
        <s v="MEC-CB-000" u="1"/>
        <s v="MEC-ML-004" u="1"/>
        <s v="IST-SQ-002" u="1"/>
        <s v="MEC-ML-003" u="1"/>
        <s v="MEC-HF-001" u="1"/>
        <s v="IST-TQ-002" u="1"/>
        <s v="IST-SQ-001" u="1"/>
        <s v="IST-ME-001" u="1"/>
        <s v="MEC-HF-000" u="1"/>
        <s v="MEC-SP-005" u="1"/>
        <s v="IST-SM-002" u="1"/>
        <s v="IST-SQ-000" u="1"/>
        <s v="CON-TER-1M-INT" u="1"/>
        <s v="LUB-MA-001" u="1"/>
        <s v="MEC-ML-000" u="1"/>
        <s v="IST-MA-001" u="1"/>
        <s v="MEC-SP-003" u="1"/>
        <s v="ELE-DM-000" u="1"/>
        <s v="IST-MA-000" u="1"/>
        <s v="MEC-SP-002" u="1"/>
        <s v="MEC-SR-001" u="1"/>
        <s v="MEC-RD-007" u="1"/>
        <s v="ELE-FM-001" u="1"/>
        <s v="MEC-SP-001" u="1"/>
        <s v="ELE-CA-003" u="1"/>
        <s v="PRO-FS-001" u="1"/>
      </sharedItems>
    </cacheField>
    <cacheField name="Actividades" numFmtId="49">
      <sharedItems containsBlank="1" count="1740" longText="1">
        <s v="Ajustar conexiones y verificacion de estado del cableado."/>
        <s v="Ajustar fijación"/>
        <s v="Ajuste conexiones de la bornera"/>
        <s v="Ajuste tornillos de fijación"/>
        <s v="Realice limpieza externa"/>
        <s v="Realizar limpieza obligatoria a los filtros de el motor"/>
        <s v="Verificar el estado de la ventaviola o ventilador"/>
        <s v="Verificar el estado del cable de la acometida"/>
        <s v="Verificar estado de pintura"/>
        <s v="Ajustar conexiones"/>
        <s v="Realizar limpieza interna general al tablero Organizar todo el cableado que este por fuera de las canaletas o guias "/>
        <s v="Revisar estado de cableado"/>
        <s v="Revisar estado de rotulación"/>
        <s v="Verficar existencia de planos eléctricos"/>
        <s v="Verificación de puestas a tierra del tablero"/>
        <s v="Verificar correcto funcionamiento de mecanismo de cierre de la(s) puerta(s) y/o tapa(s) del tablero Cambiar o corregir si se requiere"/>
        <s v="Verificar estado de elementos de control, mando e indicación"/>
        <s v="Verificar estado de empaquetaduras para sello hermetico del tablero Cambiar o corregir si se requiere"/>
        <s v="Verificar que todas las acometidas del tablero tengan instalado correctamente su conduit, conectores y accesorios Cambiar o corregir si se requiere"/>
        <s v="Verificar correcto estado y funcionamiento de elementos de proteccion por sobrecorriente (disyuntores, breakers, fusibles, etc) Activar y desactivar el interruptor varias veces para asegurarse de que el mecanismo este libre Cuando aplique, realizar prueba de disparo con el boton Push-To-Trip, si el interruptor no se dispara o si no se rearma, cambiar por uno nuevo"/>
        <s v="Cambiar filtros y limpiar rejillas de ventilación"/>
        <s v="Verificar correcto funcionamiento de ventiladores"/>
        <s v="Revisión estado de componetes si hay rotura remplazar"/>
        <s v="Verificar que no se encuentre sulfatado las conexiones"/>
        <s v="Realizar limpieza al transformador"/>
        <s v="Realizar limpieza"/>
        <s v="Revisar estado de tomas y clavijas, si senecuntra deterioradas remplazar"/>
        <s v="Ajustar todas las conexiones del variador Cuando aplique, instalar el terminal adecuado a los cables que no lo tengan"/>
        <s v="Realizar limpieza de ventiladores Verificar que se encuentren en bueno estado y funcionales Reemplazar en caso que se requiera"/>
        <s v="Realizar limpieza interna general al variador"/>
        <s v="Verificar en el historial de alarmas si el variador presenta algun falla importante relacionada con componentes internos deteriorados, perdiendo vida util o mal funcinamiento Reportar condicion para gestionar correcion"/>
        <s v="Verificar parametros del variador que concuerden con las caracteristicas tecnicas del motor"/>
        <s v="Verificar si la parametrizacion del variador es diferente al ultimo backup Realizar un nuevo backup de la parametrizacion si se requiere"/>
        <s v="Medición de la bateria del PLC Reemplazar si se requiere"/>
        <s v="Verificar si el programa de PLC es diferente al ultimo backup Realizar un nuevo backup del programa si se requiere"/>
        <s v="Realizar Medición"/>
        <s v="Verificar estado y correcto funcionamiento de las fuentes reguladas"/>
        <s v="Verificar que la calibración de touch sea la correcta"/>
        <s v="Verificar que la menbrana tenga todas sus teclas activas"/>
        <s v="verificar estado rotametros y sensores de flujo"/>
        <s v="inpeccion visual de cable a tierra"/>
        <s v="toma de amperaje cable a tierra"/>
        <s v="toma de temperatura y registre el valor"/>
        <s v="Realizar borrado de cache"/>
        <s v="Realizar limpieza a base de carga"/>
        <s v="verifcar estado de cargador y conexión"/>
        <s v="verificar conexiones de red"/>
        <s v="Inspección moto ventiladores"/>
        <s v="Verificar correcto funcionamiento del aire acondicionado"/>
        <s v="Verificar estado de los filtros"/>
        <s v="Aplique limpiador de partes eléctricas contactores"/>
        <s v="Compare las mediciones efectuadas de resistencias  con respecto  a las nominales del equipo"/>
        <s v="Compare las mediciones efectuadas de resistencias  con respecto  a las nominales del equipo."/>
        <s v="Compruebe que no exista tensión entre las líneas de alimentación  aguas abajo del breaker usando el voltímetro"/>
        <s v="Diligencie el formato de inspección de resistencias  respectivo"/>
        <s v="Diligencie el formato de inspección de resistencias  respectivo."/>
        <s v="En casos donde el error permitido sea mayor, suelte la tapa donde se encuentran las conexiones eléctricas de la zona respectiva para verificar falsos contactos, cortocircuitos, puentes sueltos, cables con aislamientos deteriorados  o resistencias abierta"/>
        <s v="Revisar estado y correcto funcionamiento de las fotoceldas, resistencias  y termocuplas del horno"/>
        <s v="Una vez encontrado la causa de la desviación en el valor de la resistencia repita la medición en la zona corregida y anótela como observación encontrada"/>
        <s v="Una vez encontrado la causa de la desviación en el valor de la resistencia repita la medición en la zona corregida y anótela como observación encontrada."/>
        <s v="Una vez terminadas las mediciones suelte las tapas del horno e inspeccione el estado de los cables, aisladores, terminales, arandelas de soporte de las resistencias, confirmar correcto funcionamiento"/>
        <s v="Una vez terminadas las mediciones suelte las tapas del horno e inspeccione el estado de los cables, aisladores, terminales, arandelas de soporte de las resistencias, confirmar correcto funcionamiento."/>
        <s v="Verificación de corazas y tapas del horno, deben tener la tornilleria completa"/>
        <s v="Revisar el estado de empaque siliconado, realizar cambio de ser necesario"/>
        <s v="Revisar paro de emergencia"/>
        <s v="Revision alimentación principal"/>
        <s v="Verificar correcto funcionamiento de micro de seguridad"/>
        <s v="Verificar correcto funcionamiento de pulsadores"/>
        <s v="inspeccionar estado del teflón, cambiar teflon de ser necesario"/>
        <s v="Inspeccionar intercambiadores de calor, que no posean incrustaciones y estan funcionales"/>
        <s v="Inspección de magueras y racores de entrada cde agua"/>
        <s v="Verificar ausencia de fugas"/>
        <s v="Realizar limpieza y ajuste de conexiones en sensores loop de lamina"/>
        <s v="Verificar posición de cierre del horno"/>
        <s v="Verificar sensor de loop de lamina"/>
        <s v="Revisar sensores parada de rodillos precalentadores, garantizar su operatividad."/>
        <s v="Verificar espejos reflectivos piramidales"/>
        <s v="Ajuste de conexiones"/>
        <s v="Verificar estado sensor de  posicionamiento"/>
        <s v="verificación del estado y ruteo del cableado"/>
        <s v="Verificación de estado de sensores"/>
        <s v="verificación de estado de eléctrovalvula"/>
        <s v="verificar estado de sensores y valvulas de posicionamiento del apilador"/>
        <s v="Verifiacr el funcionamiento de las válvulas neumáticas"/>
        <s v="Realizar programación y ejecución para medición de vibraciones"/>
        <s v="En caso de escuchar ruidos anormales, reportar al supervisor de mtto"/>
        <s v="Generar una SOT para corrección en preventivo por estado"/>
        <s v="Adicionar aceite si es necesario"/>
        <s v="Verificar nivel de aceite"/>
        <s v="Ajustar tornillos de la manzana"/>
        <s v="Revisar estado del acople"/>
        <s v="Verificar estado de cuña y cuñero del motor y el acople"/>
        <s v="Verificar estado de eje del motor"/>
        <s v="Inspección acople araña (Manzanas y cuñas), cambiar si es necesario"/>
        <s v="verifique estado de tornilleria de las manzanas del acople"/>
        <s v="verifique estado del acople"/>
        <s v="Revisar vulcanizado si aplica de los rodillos y limpieza de los componetes que tengan contacto con la lamina"/>
        <s v="Revisar paralelismo del rodillo pisadores con respecto al rodillos de conductor"/>
        <s v="Revisión del vucanizado de lo rodillos."/>
        <s v="Revisar estado de ruedas en teflon y oring"/>
        <s v="Verificar parlelismo del sistema pisador"/>
        <s v="Verificar ruedas de rodillo"/>
        <s v="Revisar cilindros de apertura y cierre de rieles"/>
        <s v="Revisar ejes de apertura y cierre de rieles"/>
        <s v="Revisar estado de correa y poleas de la transmisión de la cadena de arrastre y realizar alineación poleas"/>
        <s v="Revisión guia entrada lamina"/>
        <s v="Revisión rodillos conducidos (Locos)"/>
        <s v="Verificar ajuste del rodamiento del piñón del eje estriado de la cadena"/>
        <s v="Verificar elongación y tension  de las cadenas de material, medir elongación"/>
        <s v="Verificar estado de piñones de las cadenas de arrastre, alinear y ajustar tornillos"/>
        <s v="Verificar estado de rieles, revisar que no exista material entre ellos."/>
        <s v="Inspección de acople rapido de manguera, verificar que no presente fugas"/>
        <s v="Inspección estado de flujometro, garantizar que no presente fuga o rotura"/>
        <s v="Inspección y cambio de ser necesario del filtro de entrada"/>
        <s v="Revisar tornilleria y anclaje del cilindro, realizar cambio si se requiere."/>
        <s v="Inspeccion de racores y mangueras, correfir fugas si se requiere."/>
        <s v="Revisar estado y correcto funcionamiento del sistema de lubricación automático."/>
        <s v="Inspección y alineación correa polea"/>
        <s v="Inspección y lubricación tornillo recirculante"/>
        <s v="Lubricación manual puntos fijos de la maquina"/>
        <s v="Verificación de  mecanismo de moviento de la placa (cadena y piñones)"/>
        <s v="Inspección y acople (cuña, cuñero y manzana"/>
        <s v="Revisión tornillos de hombro, arandelas concavas, bujes y guias laterales"/>
        <s v="Verificar paralelismo entre placas"/>
        <s v="Revisón sistema acodado (Brazos pasadores y rodamientos)"/>
        <s v="revisión del sistema de moviento manual, anclaje y eje."/>
        <s v="inspeccion del estado de los rodamiento lineales, realizar cambio si se requiere"/>
        <s v="revisar riles guias del rodamiento"/>
        <s v="Inspeccionar el estado de las paletas del rodillo antigiro "/>
        <s v="Nivelar aceite del vaso de lubricación (Festo)"/>
        <s v="Reguladro de paso, verificar que no presente fugas"/>
        <s v="Revisar vaso de lubricación, que no presente fujas"/>
        <s v="inspeccion valvula de corte, verificar estado si se requiere realizar cambio"/>
        <s v="revisar ajuste y rodamiento anti giro"/>
        <s v="revisar estado del manometro"/>
        <s v="Realizar inspeccion de racores y mangueras"/>
        <s v="Revisar válvula de paso"/>
        <s v="Garantizar que no existan fugas en el motor, realizar cambio de kit de reparación si se requiere "/>
        <s v="revisar mangueras y racores, garantizar hermeticidad del sistema"/>
        <s v="Revisar correcto funcionamiento de los manometros"/>
        <s v="Verificar ausencia de fugas de aire en el sistema neumático"/>
        <s v="Verificar correcto funcionamiento de actuadores neumaticos"/>
        <s v="Verificar estado de mangueras y racores neumáticas"/>
        <s v="Corregir fugas de aire"/>
        <s v="Revisar estado y correcto funcionamiento en los actuadores de desplazamiento"/>
        <s v="Revisar estado de los cilindros neumáticos, mangueras, racores, válvulas y unidad de mantenimiento."/>
        <s v="Revisar estado de mangueras, racores y acoples."/>
        <s v="Revisar pivotes o sistema de fijación"/>
        <s v="Verificar funcionamiento de cilindros neumáticos"/>
        <s v="Revisar estado de los cilindros neumáticos."/>
        <s v="Recuperar nivel de aceite de la unidad de mantenimiento"/>
        <s v="Revisar estado y buen funcionamiento unidad de mantenimiento"/>
        <s v="Inspeccionar visualmente el reductor para verificar que no exista fractura estructural, corrosion/soltura/desgaste en carcaza, base, brida o pernos de sujecion Cambiar o corregir en caso que se requiera"/>
        <s v="Realizar inspección verificando ausencia de fugas por retenedores, tapones y otros"/>
        <s v="Verificar alineación motor, acople y reductor"/>
        <s v="Realizar alineación de poleas"/>
        <s v="Verificar estado de correas y poleas"/>
        <s v="Ajustar tensor"/>
        <s v="Lubricar cadena con aceite"/>
        <s v="Lubricar chumaceras"/>
        <s v="Re torqueo de los tornillos o prisioneros de sujeción de piñoneria y tensión cadena"/>
        <s v="Realizar alineación piñones"/>
        <s v="Revisar estado y elongación de cadena"/>
        <s v="revisar cuñas y cuñero"/>
        <s v="Realizar limpieza y lubricación en la cadena"/>
        <s v="Revisar alineación de los piñones"/>
        <s v="Revisar elongación en la cadena"/>
        <s v="Revisar estado y correcto funcionamiento de las válvulas neumáticas" u="1"/>
        <s v="Garantizar que no presente exceso de grasa o aceite" u="1"/>
        <s v="Realizar lubricacion de chumaceras" u="1"/>
        <s v="Realizar lubricacion chumaceras o rodamientos según apliquen" u="1"/>
        <s v="Retirar guarda y verificar holguras y desgastes en el eje, sobre la base de la chumacera" u="1"/>
        <s v="Verificar estado chumaceras o rodamientos, realizar cambio si se requiere" u="1"/>
        <s v="Inspeccionar estado del filtro, si presenta deterioro realizar cambio" u="1"/>
        <s v="Realizar limpieza del filtro con aire Verifique condición del filtro" u="1"/>
        <s v="Verificar estado de mangueras y racores" u="1"/>
        <s v="Realizar lubricación del tornillo de apertura y cierre de los brazos de los conos de sujeción" u="1"/>
        <s v="Revisar estado de la tornilleria, retorquear o cambie si se encuentran en mal estado" u="1"/>
        <s v="Revisar paralelismo del rodillo pisadores con respecto al rodillos de caucho" u="1"/>
        <s v="Completar nivel de aceite de la unidad de mantenimiento" u="1"/>
        <s v="Verificar correcto funcionamiento de la unidad de mantenimiento" u="1"/>
        <s v="Inspección de estado de rodamientos si aplica" u="1"/>
        <s v="Inspección y lubricación de chumaceras si aplica" u="1"/>
        <s v="Limpieza y lubricación de engranajes con grasa" u="1"/>
        <s v="Retirar grasa vieja y sobrante" u="1"/>
        <s v="Revisar estado y correcto funcionamiento de las válvulas y fotoceldas" u="1"/>
        <s v="Revisar estado y correcto funcionamiento de las válvulas y fotoceldas." u="1"/>
        <s v="Revisar estado y correcto funcionamiento de los microswitches de seguridad de las puertas y guardas, paros de emergencia y otras seguridades" u="1"/>
        <s v="Revisar estado y correcto funcionamiento de los microswitches de seguridad de las puertas y guardas, paros de emergencia y otras seguridades." u="1"/>
        <s v="Verificar estado del cableado" u="1"/>
        <s v="Medir voltaje y amperaje de las resistencias de calentamiento de la placa" u="1"/>
        <s v="Realizar limpieza y verificación de correcto funcionamientos de la válvula solenoide" u="1"/>
        <s v="Verificación micro inicio y final de carrera del cilindro principal" u="1"/>
        <s v="Verificar el estado de las resistencias y termocupla en la placa del molde, según formato Realizar cambio si se requiere " u="1"/>
        <s v="Realizar cambio de valvula de vacio de la formadora por condicion y frecuencia semestral." u="1"/>
        <s v="Revisión y lubricación puntos placas porta molde" u="1"/>
        <s v="Limpiar mangueras, ajustar racores, corregir fugas del sistema de lubricación" u="1"/>
        <s v="Revisar lubricación de placas cilindros de balance" u="1"/>
        <s v="Verificar correcto funcionamiento del sistema de lubricación automática de la cadena" u="1"/>
        <s v="Realize calibracion de placas" u="1"/>
        <s v="Realize cambio de cilindros del clamp" u="1"/>
        <s v="verifique estado de los tornilloos de anclaje" u="1"/>
        <s v="Alinear poleas" u="1"/>
        <s v="Revisar estado de correa y poleas de la transmisión de la cadena de arrastre" u="1"/>
        <s v="Verificar ajuste del rodamiento del piñón del eje hexagonal de la cadena" u="1"/>
        <s v="Verificar elongación de las cadenas de material, medir elongación" u="1"/>
        <s v="Verificar estado de las rótulas y brazos tensores y cilindros de la cadena" u="1"/>
        <s v="Verificar estado de rieles, revisar que no exista material entre ellos" u="1"/>
        <s v="Verificar que la presión de los cilindros tensores de la cadena esté por debajo de 30 PSI, corregir fugas" u="1"/>
        <s v="Ajustar tornillos del conjunto de placas portamolde" u="1"/>
        <s v="Revisar brazos y rodamientos moviento placas" u="1"/>
        <s v="Revisar estado de los cilindros de balance de las planchas" u="1"/>
        <s v="Verificar estado de bujes y columnas Revisar retenedores" u="1"/>
        <s v="Verificar la correcta calibrar las placa inferior de sujeción del molde" u="1"/>
        <s v="Si la maquina se encuentra desnivelada informar al jefe de área para re programar la inspección de aseguramiento." u="1"/>
        <s v="Si se requiere realizar la nivelación" u="1"/>
        <s v="Verificación de la nivelación de la maquina" u="1"/>
        <s v="Realizar inspeccion termografica rapida a la bomba Si hay algun elemento por encima de 60°C o con una temperatura significativamente mayor que la de sus elementos adyacentes, proceder a inspeccionar el motor Corregir si es posible o reportar condición (Local)" u="1"/>
        <s v="Tomar medida temperatura (externo)" u="1"/>
        <s v="Inspeccione visualmente el estado del aceite viejo, cambiar si es necesario" u="1"/>
        <s v="Si el kit de empaque presenta daño cambie" u="1"/>
        <s v="si el elemento elastico presenta daño cambie" u="1"/>
        <s v="Revisión de estado lineas succión y decarga, revise que no existan fugas" u="1"/>
        <s v="inspección empaques y retenedores que no esten en mal estado y no presenten fugas " u="1"/>
        <s v="Garantizar la hermeticidad del sistema de vacio" u="1"/>
        <s v="Verifiación de filtros de succion (Realizar limpieza si se requiere)" u="1"/>
        <s v="Verificacion elemenntos separadores de aceite, que no se encuentren saturados realizar cambio si se requiere" u="1"/>
        <s v="Revisar estado y correcto funcionamiento del tacogenerador" u="1"/>
        <s v="Tomar medida temperatura, cuerpo del motor (Externo)" u="1"/>
        <s v="Realizar inspección sis control de válvulas proporcionales y/o selenoides" u="1"/>
        <s v="Verificacion estado de termocuplas" u="1"/>
        <s v="Verificación de resistencias" u="1"/>
        <s v="Verificación estado de control de temperatura" u="1"/>
        <s v="Ajustar tornillos de anclaje de la bomba" u="1"/>
        <s v="Realizar mantenimiento general a la bomba" u="1"/>
        <s v="Verificar desgaste del impeller y/o engranajes, carcaza, cambiar si es necesario" u="1"/>
        <s v="realizar limpieza interna y externa del horno" u="1"/>
        <s v="verificar que el horno se encuentra frio y desenergizado" u="1"/>
        <s v="Revisar estado mecanismo de apertura y cierre" u="1"/>
        <s v="Verificar estado de las guias de la guaya" u="1"/>
        <s v="Revisar estado y correcto funcionamiento en los cilindros de apertura, cierre y desplazamiento del horno" u="1"/>
        <s v="Realizar inspección en partes moviles del molino, realizar lubricación si se requiere" u="1"/>
        <s v="Ajustar los prisioneros de las poleas" u="1"/>
        <s v="Alinear nuevamente las poleas &amp; y rectificar la tensión de la correa" u="1"/>
        <s v="Si aplica, verificar que los sensor de presion de seguridad y temperatura se encuentren en buen estado y funcionales Reemplazar y recalibrar en caso necesario" u="1"/>
        <s v="Corregir fugas" u="1"/>
        <s v="Lubricar puntos de la máquina" u="1"/>
        <s v="Lubricar válvulas" u="1"/>
        <s v="Revisar estado y correcto funcionamiento del sistema de lubricación automático" u="1"/>
        <s v="Ajustar tornillos del portaherramientas" u="1"/>
        <s v="Realizar verificación de estado de los brazos" u="1"/>
        <s v="Revisar estado de columnas y bujes de la troqueladora" u="1"/>
        <s v="Revisar estado de retenedores, cambiar si es necesario" u="1"/>
        <s v="Revisar paralelismo de la placa porta herramienta" u="1"/>
        <s v="Revisar sistema swing de la canasta, chumaceras y eje" u="1"/>
        <s v="Revisión guia fibra optica" u="1"/>
        <s v="Revisón del sistema calibración streapeer cadena y bujes" u="1"/>
        <s v="Revisón piñones y cadena calibracion streeper" u="1"/>
        <s v="Revisón piñones y cadena desplazamiento streeper" u="1"/>
        <s v="Revisión de sistema de marcacion " u="1"/>
        <s v="Realizar inspeción de los rodamientos de la guarda de salida cambiar si se encuentran en mal estado" u="1"/>
        <s v="Realice desarme de sistema de transmision avance lamina servopick y canopy" u="1"/>
        <s v="verifique el estado de el acoplamiento" u="1"/>
        <s v="verifique el estado de el eje solidario" u="1"/>
        <s v="verifique el estado de el piñon" u="1"/>
        <s v="Asegúrese de tener el plano  eléctrico con el fin de  ubicar la Termocupla   y el controlador o indicador de temperatura de la zona a verificar" u="1"/>
        <s v="Comparar los datos tomados con el historial &amp; notificar en caso de encontrar anomalias" u="1"/>
        <s v="Medir OHMIAJE y registrar datos" u="1"/>
        <s v="Medir aislamiento en las resistencias y registrar datos" u="1"/>
        <s v="Medir amperaje en las resistencias y registrar datos" u="1"/>
        <s v="Revisar condición del cableado eléctrico,  no debe tener signos de quemadura, rasgadura o rotura, deterioro de aislamiento, sin empalmes De presentar alguna de estas condiciones, cambiar" u="1"/>
        <s v="VERIFICAR FUNCIONAMIENTO DE LAS RESISTENCIAS" u="1"/>
        <s v="Ajuste conexiones" u="1"/>
        <s v="Medir corriente de resistencias, registrar datos" u="1"/>
        <s v="Medir voltaje de resistencias, registrar datos" u="1"/>
        <s v="Verificar estado de manómetros" u="1"/>
        <s v="Verificar estado y correcto funcionamiento de termocuplas" u="1"/>
        <s v="Conecte el bloque seco  cerca a la zona a verificar" u="1"/>
        <s v="Desconecte la termocupla del controlador de temperatura, conecte el calibrador de procesos  Ref: FLUKE-725; Serie: 7385065 y simule la señal de la termocupla en los valores de milivoltios equivalentes 150°C, 200°C y 250°C" u="1"/>
        <s v="Diligencie el formato (xxxxx) Verificación controladores de temperatura y si el error esta por fuera de +/- 5°C, cambie el controlador de temperatura y repita los pasos del 72 al 74 de este procedimiento" u="1"/>
        <s v="Diligencie el formato (xxxxx) Verificación del lazo de control de temperatura zonas de extrusión, registrando en el las mediciones indicadas" u="1"/>
        <s v="Los errores  permitidos  para las zonas de extrusión según las áreas son los siguientes:" u="1"/>
        <s v="Remueva la termocupla de la zona y colóquela en el alojamiento del bloque seco" u="1"/>
        <s v="Si el error esta por fuera del permitido según la tabla anterior, revisé las líneas de conexión desde la termocupla hasta el controlador de temperatura y repita los pasos del 72 al 74 de este procedimiento" u="1"/>
        <s v="Si el error persiste cambie la termocupla y repita los pasos del 72 al 74 de este procedimiento" u="1"/>
        <s v="Si el error persiste verifique el controlador de temperatura de la siguiente forma" u="1"/>
        <s v="Una vez terminado el mantenimiento correspondiente, deje el equipo y el área donde se realiza el trabajo limpia  de trapos y libre de herramientas, piezas de recambio y partículas que afecten la seguridad del  equipo y del producto" u="1"/>
        <s v="Realizar inspeccion termografica rapida del tranformador Si hay algun elementos con una temperatura significativamente mayor que la de sus elementos adjacentes, proceder a inspeccionar individualmente Cambiar o corregir si se requiere (Local)" u="1"/>
        <s v="Verifique conexiones y estado de termocuplas" u="1"/>
        <s v="Verifique funcionamiento de termocuplas de la botella" u="1"/>
        <s v="desconecte blower" u="1"/>
        <s v="emplee el lapiz detector de alto voltaje" u="1"/>
        <s v="realice limpieza de la voluta e impulsor" u="1"/>
        <s v="realice limpieza del cable desde la fuente hasta el eliminador" u="1"/>
        <s v="rearme el equipo" u="1"/>
        <s v="verifique funcionamiento" u="1"/>
        <s v="Verificar correcto funcionamiento de Actuador expulsor de las paletas" u="1"/>
        <s v="Verificar estado del filtro del motor" u="1"/>
        <s v="Revisar correcta funcionabilidad del eje de las Aletas, corregir si se requiere" u="1"/>
        <s v="Revisar estado de los empaques, si se requiere realizar cambio" u="1"/>
        <s v="Revisar estado del embolo que abre o cierra las aletas" u="1"/>
        <s v="Revisar rodamientos de leva y resortes" u="1"/>
        <s v="revisar ajuste de paleta expulsora y su correcto funcionamiento" u="1"/>
        <s v="revision y ajuste de tornilleria de las aletas del rodillo embobinador" u="1"/>
        <s v="Revisar tensión de la guaya de seguridad y correcto funcionamiento y calibración del sensor" u="1"/>
        <s v="Verificar estado del cableado y ajuste de conexiones" u="1"/>
        <s v="Revisar estado de los rodillos de caucho" u="1"/>
        <s v="Revisar paralelismo de los rodillos pisadores con respecto a los rodillos haladores" u="1"/>
        <s v="Revisión de tornilleria de  los balancines de los rodillos" u="1"/>
        <s v="revisión de correcto funcionamiento del regulador altura de los tornillos" u="1"/>
        <s v="Verificar chumaceras o rodamientos" u="1"/>
        <s v="Corregir fugas de material de ser necesario" u="1"/>
        <s v="Revisar garganta visores y tornilleria" u="1"/>
        <s v="Verificación del correcto flujo de refrigeración" u="1"/>
        <s v="Verificación y limpieza racores y mangueras del sistema de refrigeración de la garganta" u="1"/>
        <s v="Verificar estado de los imanes y visor" u="1"/>
        <s v="Lubricación rodamientos y chumaceras tornillo blender" u="1"/>
        <s v="Verificar estado de los rodamientos y chumaceras, si se requiere realizar cambio" u="1"/>
        <s v="Inspección de engranajes" u="1"/>
        <s v="Inspección de estado de rodamientos" u="1"/>
        <s v="Inspección y lubricación de chumaceras" u="1"/>
        <s v="Limpiar el sensor de nivel de la tolva, retirar suciedad Verificar que el sensor esté en buen estado, sin daños superficiales, de lo contrario, notificar y cambiar" u="1"/>
        <s v="Revisar condición del cableado del sensor No debe tener signos de rasgaduras  o rasgaduras, deterioro de aislamiento De lo contario, cambiar" u="1"/>
        <s v="Verificar que el sensor esté correctamente instalado, realizar ajuste de sujeción a sistema" u="1"/>
        <s v="Verificar estado y correcto funcionamiento de los vibradores de las tolvas" u="1"/>
        <s v="Realizar el retorqueo de los tornillos de fijación No debe haber juego ni vibraciones significativas" u="1"/>
        <s v="Revise estado de la tolva, sellos y cierres" u="1"/>
        <s v="Revisón de perdida de tolerancia en chumaceras" u="1"/>
        <s v="Revisar y calibrar lazos de control de flujo y presión" u="1"/>
        <s v="Verificar que no existen fugas de gas y aire en mangueras y racores" u="1"/>
        <s v="Inspeccionar el estado del filtro de aire, si presenta saturación realizar el cambio" u="1"/>
        <s v="Inspeccionar el estado del filtro de butano si presenta saturación realizar el cambio" u="1"/>
        <s v="Verificar estado de tuberías, racores y manometros" u="1"/>
        <s v="Revisa spool de la valvula y alojamiento" u="1"/>
        <s v="Revisar desgaste en el empaque oring" u="1"/>
        <s v="Verificar funcionamiento mecánico de válvula de alivio, mecanica y electrovalvulas" u="1"/>
        <s v="Verificar estado y funcionamiento de sensor de presión" u="1"/>
        <s v="Limpieza" u="1"/>
        <s v="Si presenta flujo de gas en la posición 0 remplace el Trim" u="1"/>
        <s v="Verificaión de 0 y spam que abra 100%" u="1"/>
        <s v="Asegúrese que el sensor de presión y el controlador de presión este correctamente conectado" u="1"/>
        <s v="Encaso que no ajuste en los valores indicados, Remplace el sensor y repita los pasos anteriores" u="1"/>
        <s v="Verificar que no halla presión en la línea" u="1"/>
        <s v="Verifique en el controlador de presión, que cuando se le de calibración  0 la presión quede en cero (indicación 0 psi)" u="1"/>
        <s v="Verifique en el controlador de presión, que cuando se le de calibración  Span (80%) la presión quede en 8000 psi" u="1"/>
        <s v="Limpieza del sensor" u="1"/>
        <s v="verificación de lazo de control 4 a 20 mm Amp" u="1"/>
        <s v="Inspeccione visualmente el estado del aceite viejo, de encontrar anomalias remplace" u="1"/>
        <s v="Revisar empaque oring" u="1"/>
        <s v="nivelar aceite si se requiere" u="1"/>
        <s v="Verifiación de filtros de entrada de agua (revisar saturación)" u="1"/>
        <s v="Verifiación de filtros de entrada de aire (revisar saturación)" u="1"/>
        <s v="Verifiación de filtros de entrada de gas (revisar saturación)" u="1"/>
        <s v="Enviar análisis" u="1"/>
        <s v="Tomar muestra de aceite" u="1"/>
        <s v="Revise unidad de mtto, electroválvulas, pistones y vacuometro" u="1"/>
        <s v="Verificar hermeticidad en el sistema" u="1"/>
        <s v="Verificar tubería, mangueras y racores del ST" u="1"/>
        <s v="Inspección de buen funcionamiento sistema Autolimpieza" u="1"/>
        <s v="Revisión del estado operativo de las Mangas" u="1"/>
        <s v="Verificación de botón paro de emergencia" u="1"/>
        <s v="Verificar estado y funcionamiento del pulsador de arranque-paro" u="1"/>
        <s v="Lubricacion de rodamientos con grasa y limpiar residuos" u="1"/>
        <s v="Realice limpieza interna / Externa del blower" u="1"/>
        <s v="Verificar estado de las soldaduras de la base" u="1"/>
        <s v="Verificar estado de los componentes de anclaje del blower Debe estar completo y sin perdida de ajuste" u="1"/>
        <s v="Verifiación de estado racores, mangueras y empaques ranurados" u="1"/>
        <s v="Verificar que el nivel de ruido del silenciador se encuentre bajo su condición de operación normal." u="1"/>
        <s v="Verificar que la valvula de alivio funcione y este correctamente ajustada en su limite de disparo" u="1"/>
        <s v="Revise electroválvula de accionamiento del cilindro de la válvula de direccionamiento." u="1"/>
        <s v="verifique estado del sensor de la lengüeta de la tolva." u="1"/>
        <s v="Realizar inspección del filtro de finos y del sistema de autolimpieza" u="1"/>
        <s v="En la válvula de direccionamiento revise que no existan obstrucciones y el correcto funcionamiento del cilindro neumático." u="1"/>
        <s v="Inspeccionar el estado de sello de la lengueta. Realizar el cambio si se requiere" u="1"/>
        <s v="Realizar inspección de los empaques del receiver, realizar cambio si se requiere" u="1"/>
        <s v="Verifique el funcionamiento de válvulas de vacío." u="1"/>
        <s v="Verifique hermeticidad del sistema, corregir si es necesario." u="1"/>
        <s v="Realizar inspeccion termografica rapida a todos los elementos del tablero Si hay algun elementos por encima de 60°C o con una temperatura significativamente mayor que la de sus elementos adjacentes, proceder a inspeccionar individualmente Cambiar o corregir si se requiere (Local)" u="1"/>
        <s v="Verificar estado y correcto funcionamiento de la fotocelda." u="1"/>
        <s v="Lubricar rótulas" u="1"/>
        <s v="Corregir fugas de aire." u="1"/>
        <s v="Verificar estado de los rodillos de caucho y sus rodamientos" u="1"/>
        <s v="Medir aislamiento registrar lectura" u="1"/>
        <s v="Realizar limpieza general" u="1"/>
        <s v="Registrar las medidas de voltaje, temperatura y corriente respectivas." u="1"/>
        <s v="Tomar medida Voltaje" u="1"/>
        <s v="Tomar medida de consumo de corriente. (Se compara contra valor nominal)" u="1"/>
        <s v="Tomar medida temperatura, cuerpo del motor" u="1"/>
        <s v="Realizar cambio de correas por condición" u="1"/>
        <s v="DESMONTE EL EQUIPO" u="1"/>
        <s v="MIDA VOLTAJE DE ESTATICA A 1 Mt. Y COMPARE CON EL VALOR DE REFERENCIA" u="1"/>
        <s v="REALICE LIMPIEZA EXTERNA Y CABLEADO DE LA FUENTE HASTA LA BARRA" u="1"/>
        <s v="VERIFIQUE FUNCIONAMIENTO DEL ELIMINADOR" u="1"/>
        <s v="Revision/Sujecion/Cambio por estado de sensores" u="1"/>
        <s v="Revisar estado y correcto funcionamiento de las válvulas neumáticas." u="1"/>
        <s v="Corregir fugas de agua" u="1"/>
        <s v="Revisar estado y correcto funcionamiento de las válvulas neumáticas, reguladores y unidad de mantenimiento." u="1"/>
        <s v="Verificar estado de mangueras de agua de conexión de la máquina al molde, ajustar racores." u="1"/>
        <s v="Verificar estado de mangueras neumáticas" u="1"/>
        <s v="Verificar nivel de aceite, completar si es necesario" u="1"/>
        <s v="Cambiar aceite a la bomba" u="1"/>
        <s v="Cambiar filtro de aceite" u="1"/>
        <s v="Corregir fugas de vacío" u="1"/>
        <s v="Limpiar filtro de aceite" u="1"/>
        <s v="INSPECCIONE ESTADO DEL ACOPLE, MANZANAS." u="1"/>
        <s v="VERIFICAR ESTADO DE LOS CAUCHOS, ANILLOS DE RETENCION Y TORNILLOS" u="1"/>
        <s v="En caso de escuchar ruidos anormales, realizar cambio del elemento mecanico en falla." u="1"/>
        <s v="Realizar inspección con estetoscopio de ruidos en  equipo y sus componentes mecánicos." u="1"/>
        <s v="Lubricar rodamientos del motor" u="1"/>
        <s v="Ordenar cableado" u="1"/>
        <s v="Revisar estado de empaques, tornillos y cerradura" u="1"/>
        <s v="Verificar estado de pintura y rotulación" u="1"/>
        <s v="Aplique limpiador de partes eléctricas a los breaker" u="1"/>
        <s v="Coloque la tapa y ajuste los tornillos de sujeción" u="1"/>
        <s v="Desenergize la termofromadora  bajando el breaker de alimentación general en la maquina" u="1"/>
        <s v="Diligencie y coloque su tarjeta roja en el breaker de alimentación" u="1"/>
        <s v="En casos donde el error permitido sea mayor, suelte la tapa donde se encuentran las conexiones eléctricas de la zona respectiva para verificar falsos contactos, cortocircuitos, puentes sueltos, cables con aislamientos deteriorados  o resistencias abiertas." u="1"/>
        <s v="Haga entrega del horno al supervisor de área, técnico de tueno o en su defecto al operario líder de producción y compruebe la  buena operación del equipo" u="1"/>
        <s v="Informe al supervisor de la planta o al técnico de producción el trabajo a realizar" u="1"/>
        <s v="SOLICITE EL FORMATO DE INSPECCION DE RESISTENCIAS DE ACUERDO AL HORNO A REVISAR" u="1"/>
        <s v="Suba el breaker,  retire la tarjeta roja  del equipo." u="1"/>
        <s v="Una vez terminadas las mediciones suelte las tapas del horno e inspeccione el estado de los cables, aisladores, terminales, arandelas de soporte de las resistencias" u="1"/>
        <s v="Una vez terminado el mantenimiento correspondiente al equipo, deje la maquina y el área donde se realiza el trabajo limpia de trapos, herramientas y piezas de recambio como: tornillos empaques, destornilladores y otros  que afecten la seguridad del equipo." u="1"/>
        <s v="Revisar estado y correcto funcionamiento de las fotoceldas y termocuplas del horno" u="1"/>
        <s v="Verificar correcto funcionamiento del sistema de lubricación automática de la cadena." u="1"/>
        <s v="Medir elongación, retensionar y alinear piñones" u="1"/>
        <s v="Revisar estado y correcto funcionamiento del motor neumático de apertura/cierre del horno, válvulas y actuadores neumáticos." u="1"/>
        <s v="Verificar estado de cadena y piñones de arrastre" u="1"/>
        <s v="Verificar estado de mangueras" u="1"/>
        <s v="Revisar estado y correcto funcionamiento de los microswitches de las guardas de seguridad, paros de emergencia y demás seguridades del equipo." u="1"/>
        <s v="Limpiar residuos de grasa sobrante" u="1"/>
        <s v="Lubricar chumaceras y partes móviles del molino" u="1"/>
        <s v="Ajustar el gap de las cuchillas del molino" u="1"/>
        <s v="Retensionar y alinear poleas" u="1"/>
        <s v="Verificar estado de las correas y poleas" u="1"/>
        <s v="Revisar elementos de mando-operación" u="1"/>
        <s v="Revisar estado de empaques" u="1"/>
        <s v="Revisar estado de pintura" u="1"/>
        <s v="Revisar estado y correcto funcionamiento de las válvulas neumáticas de accionamiento de los cilindros del horno y válvulas solenoides de la unidad de calentamiento de los dados de rebordeo" u="1"/>
        <s v="Lubricar juntas rotativas" u="1"/>
        <s v="Lubricar los diferentes puntos de lubricación de la rebordeadora." u="1"/>
        <s v="Revisar el estado general de las mangueras de refrigeración, corregir fugas" u="1"/>
        <s v="Revisar estado de correas y poleas de la máquina, retensionar y alinear." u="1"/>
        <s v="Revisar estado de los cauchos de empuje, rodamientos y ejes" u="1"/>
        <s v="Revisar estado de rodamientos, ejes y chumaceras de los dados de rebordeo." u="1"/>
        <s v="Revisar y ajustar la rótulas de las guías del vaso dentro del horno" u="1"/>
        <s v="VERIFICAR ESTADO DE BANDA PLASTICA" u="1"/>
        <s v="VERIFICAR ESTDO DE RODAMIENTOS DE LA BANDA PLASTICA" u="1"/>
        <s v="Para las resistencias ajustar terminales y fijación" u="1"/>
        <s v="Revisar estado y funcionamiento de microswitches y seguridades de la empacadora" u="1"/>
        <s v="Verificar correcto funcionamiento de las resistencias" u="1"/>
        <s v="Revisar estado del cableado" u="1"/>
        <s v="Revisar estado y funcionamiento de fotoceldas" u="1"/>
        <s v="Lubricar bloques de soporte de las mordazas" u="1"/>
        <s v="Lubricar rodamientos de agujas de accionamiento mordazas y piñon de avance de película" u="1"/>
        <s v="Verificar nivel de lubricante en los reductores de las bandas de alimentación, completar si es necesario" u="1"/>
        <s v="Ajustar acoples rápidos" u="1"/>
        <s v="Revisar estado de cuchillas, mordazas, empaques (silicone gripperl)" u="1"/>
        <s v="Verificar correcto funcionamiento de los cilindros neumáticos, ausencia de fugas, ajustar racores" u="1"/>
        <s v="Verificar estado y funcionamiento de válvulas neumáticas" u="1"/>
        <s v="Verificar funcionamiento de la unidad de mantenimiento" u="1"/>
        <s v="Realizar limpieza y ajuste de componentes" u="1"/>
        <s v="MIDA OHMIAJE" u="1"/>
        <s v="USE CALIBRADOR DE PROCESOS" u="1"/>
        <s v="VERIFICAR CONEXIONES" u="1"/>
        <s v="Medir y registrar presión de descarga" u="1"/>
        <s v="Ajustar conexiones." u="1"/>
        <s v="Realizar limpieza." u="1"/>
        <s v="Revisar estado y correcto funcionamiento de los microswitches de seguridad de las puertas y guardas." u="1"/>
        <s v="Verificar estado del cableado." u="1"/>
        <s v="Verifique estado y funcionamiento de las alarmas sonoras." u="1"/>
        <s v="Revisar estado y correcto funcionamiento de las válvulas, sensores y fotoceldas." u="1"/>
        <s v="BOMBA DE VACIO: VERIFICAR NIVEL DE ACEITE DE LA BOMBA DE VACIO DEBE ESTAR EN LA MIRILLA SUPERIOR." u="1"/>
        <s v="CADENAS PRINCIPALES: RETIRAR GUARDAS DELANTERAS Y LUBRICAR CADENA EN MOVIMIENTO SUAVE" u="1"/>
        <s v="GUIAS DE CADENAS: LUBRICAR LOS TORNILLOS RECIRCULANTES Y LAS GUIAS." u="1"/>
        <s v="REALIZAR LIMPIEZA DE FUGAS DE LUBRICANTE ACEITE/GRASA" u="1"/>
        <s v="REDUCTOR CADENA:VERIFICAR NIVEL DE ACEITE DE REDUCTORES/ REPONER SI ES NECESARIO." u="1"/>
        <s v="SISTEMA DE PERFORACIÓN:LUBRICAR LOS TORNILLOS RECIRCULANTES Y SISTEMA EN GENERAL." u="1"/>
        <s v="SISTEMA DE TROQUEL: LUBRICAR TODOS LOS PUNTOS DE GRASERA , COLUMNAS Y TORNILLOS RECIRCULANTES." u="1"/>
        <s v="SISTEMA DESEMBOBINADOR:LUBRICAR LAS COLUMNAS.LUBRICAR LOS TORNILLOS RECIRCULANTES DE AJUSTE Y MOVIMIENTO. LUBRICAR CHUMACERAS DE RODILLOS." u="1"/>
        <s v="SISTEMA NEUMATICO: VERIFICAR NIVEL DE ACEITE Y REPONER SI ES NECESARIO." u="1"/>
        <s v="SISTEMA STRAKER: LUBRICAR LOS TORNILLOS RECIRCULANTES , VERIFICAR NIVEL DE ACEITE DE REDUCTORES/ REPONER SI ES NECESARIO." u="1"/>
        <s v="Corregir fugas." u="1"/>
        <s v="Lubricar válvulas." u="1"/>
        <s v="Verificar estado de mangueras y racores." u="1"/>
        <s v="Ajustar tornillería " u="1"/>
        <s v="Limpiar vástagos" u="1"/>
        <s v="Verificar ausencia de fugas " u="1"/>
        <s v="Verificar estado de sellos y ausencia de cayaduras" u="1"/>
        <s v="Verificar funcionamiento correcto de manómetros, fugas de aire." u="1"/>
        <s v="Ejecución con representante de fabrica para variadores de potencia mayor a 50HP" u="1"/>
        <s v="Realize cambio de sensor que posiciona el eyector." u="1"/>
        <s v="Verifique cableado y enrrutamiento." u="1"/>
        <s v="Verifique correcto funcionamiento" u="1"/>
        <s v="Limpiar todas las piezas del exceso de material resultante de la operación, usar cepillos de bronce &amp; espátulas, realizar esta labor con apoyo de los operadores de producción" u="1"/>
        <s v="Verificar que no existan fugas de polímero en los sellos del cambiamallas" u="1"/>
        <s v="Revisar estado de los filtros strainer, si se encuentra saturado realizar limpieza" u="1"/>
        <s v="Revisar mangueras y racores" u="1"/>
        <s v="Revise fugas en manifold de distribución" u="1"/>
        <s v="Verifiación de estado de las válvulas" u="1"/>
        <s v="Inspección acople falk (Manzanas, cuñas y mallas y guardas), Cambiar si es necesario" u="1"/>
        <s v="Lubricar acople falk" u="1"/>
        <s v="Realizar inspección visual de los elementos internos, verificando el estado y desgaste" u="1"/>
        <s v="Realizar limpieza del visor si aplica" u="1"/>
        <s v="Verificar ausencia de fugas en juntas rotativas, magueras y racores" u="1"/>
        <s v="Verificar flujo de refrigeración" u="1"/>
        <s v="realizar limpieza del tubo de refrigeración" u="1"/>
        <s v="Verificar el correcto flujo de agua mediante visores de flujo" u="1"/>
        <s v="Verifiación de filtros de entrada (Realizar limpieza)" u="1"/>
        <s v="Verificar estado de mangueras, tuberías, ajustar y racores" u="1"/>
        <s v="Verificar estado del haz de tubos, relizar limpieza en caso de requerirse" u="1"/>
        <s v="Verificar estado del visor del tanque de almacenamiento, si se encuentra en mal estado realizar el cambio" u="1"/>
        <s v="Verificar que no presente fugas en mangueras ni racores" u="1"/>
        <s v="Verificar que no presenten fugas los tanques de almacenamiento" u="1"/>
        <s v="verificar correcto funcionamiento de racores" u="1"/>
        <s v="Realizar retorqueo de tornillos si se requiere" u="1"/>
        <s v="Verificar ausencia de fugas de material en bridas y cuerpo del adaptador" u="1"/>
        <s v="Inspeccionar estado del aspa" u="1"/>
        <s v="Realice limpieza de los after cooler del blower" u="1"/>
        <s v="Revisa estado de las aspas y ajuste de tornillería" u="1"/>
        <s v="Verificar el estado de las aspas &amp; notificar al supervisor en caso de que tengan corrosión o desgaste excesivo" u="1"/>
        <s v="Realizar inspeccion de bobinado por parte de provedor externo" u="1"/>
        <s v="Inspeccionar estado de mangueras y racores de refrigeración internas Cambiar de ser necesario" u="1"/>
        <s v="Realizar limpieza interna de la tubería" u="1"/>
        <s v="Realizar limpieza y ajuste de todas las valvulas del sistema o equipo" u="1"/>
        <s v="Revisar hilo de la rosca tornillo de graduación y desgaste en general, si se requiere realizar el cambio" u="1"/>
        <s v="Revisar que la botella no presente fugas ni taponamientos" u="1"/>
        <s v="Revisar que la mordaza no presente fugas" u="1"/>
        <s v="Verificar estado de las ruedas del carro porta botella, en caso de presentar desgaste externo de la rueda y/o del rodamieto, realizar el cambio" u="1"/>
        <s v="CAMBIE LA CUÑA SI PRESENTA DESGASTE O DAÑO" u="1"/>
        <s v="RETIRE EL MOTOR Y VERIFIQUE EL ESTADO DE LA CUÑA Y CUÑERO," u="1"/>
        <s v="Realice limpieza externa." u="1"/>
        <s v="Verifique ausencia de fugas de lubricante." u="1"/>
        <s v="Nivelar las placas de sujeción del molde" u="1"/>
        <s v="Revisar estado de las correa y poleas de la unidad de plugs. Retensionar y alinear poleas" u="1"/>
        <s v="Revisar rótulas, guías y soporte de las guías.  Ajustar si es necesario." u="1"/>
        <s v="Verificar que estado de bujes y columnas, revisar retenedores." u="1"/>
        <s v="Cambiar filtros separadores" u="1"/>
        <s v="Verificar el estado de la venta viola o ventilador" u="1"/>
        <s v="Verifique aislamiento y registre lectruras" u="1"/>
        <s v="Cambiar correas" u="1"/>
        <s v="Torquear tornillos y pernos del molino" u="1"/>
        <s v="Verificar estado de poleas" u="1"/>
        <s v="Verificar juego axial y radial del rotor y registrar datos" u="1"/>
        <s v="Tensionar correas" u="1"/>
        <s v="Verificar afilado y calibración de las cuchillas" u="1"/>
        <s v="Revisar estado y correcto funcionamiento de los eliminadores de estática" u="1"/>
        <s v="Corregir fugas en el sistema de lubricación automático y verificar su correcto funcionamiento." u="1"/>
        <s v="Limpiar mangueras con aire a presión" u="1"/>
        <s v="Lubricar chumaceras del servopick y brazos" u="1"/>
        <s v="Lubricar puntos de engrase del troquel" u="1"/>
        <s v="Realizar reglaje de correas del servopick y encoder. Verificar estado de poleas." u="1"/>
        <s v="Revisar estado de desgaste de las ruedas del servopick y del canopy" u="1"/>
        <s v="Revisar estado de los cilindros neumáticos del canopy, servopick y marcadores (si lleva este mecanismo)" u="1"/>
        <s v="Revisar estado de rodamientos de los brazos" u="1"/>
        <s v="Revisar estado y correcto funcionamiento de la unidad de mantenimiento." u="1"/>
        <s v="Ajustar racores." u="1"/>
        <s v="Verificar correcto funcionamiento de cilindros y multiplicador." u="1"/>
        <s v="Verificar estado de mangueras hidráulicas y neumáticas, válvulas y unidad de mantenimiento." u="1"/>
        <s v="INSPECCION DE BRAZOS" u="1"/>
        <s v="VERIFIQUE ESTADO DE EJES" u="1"/>
        <s v="VERIFIQUE ESTADO DE RODAMIENTOS" u="1"/>
        <s v="INSPECCIONE EJES ESTRIADOS" u="1"/>
        <s v="INSPECCIONE LAS GUIAS Y RODAMIENTOS LINEALES" u="1"/>
        <s v="INSPECCIONE ESTADO DE LOS CILINDROS" u="1"/>
        <s v="INSPECCIONE ESTADO DE MORDAZAS MANUALES" u="1"/>
        <s v="INSPECCIONE ESTADO DE ROTULAS" u="1"/>
        <s v="INSPECCIONE FUNCIONAMIENTO DE LAS GUIAS" u="1"/>
        <s v="VERIFICAR ESTADO DE LAS RUEDAS DE ARRASTRE DE LÁMINA." u="1"/>
        <s v="VERIFICAR ESTADO DEL EJE DEL SERVO PICK" u="1"/>
        <s v="VERIFICAR ESTADO Y AJUSTE DE LAS POLEAS SERVO PICK" u="1"/>
        <s v="SIGA INSTRUCTIVO DEL MANUAL" u="1"/>
        <s v="Verificar el  sistema de lubricacion de las guias del troquel" u="1"/>
        <s v="Verificas el estado de los BAQUELITAS parte superior de las guias con una tolerancia no mayor a 0.00 mm  con galgas milimetricas" u="1"/>
        <s v="Verificas el estado de los PADS parte inferior de las guias con una tolerancia no mayor a 0.15 mm  con galgas milimetricas" u="1"/>
        <s v="Revisar estado y correcto funcionamiento del electro-clutch" u="1"/>
        <s v="Revisar estado y correcto funcionamiento del encoder" u="1"/>
        <s v="Verificar estado de la correa, retensionar si es necesario" u="1"/>
        <s v="Verificar el estado de la barra" u="1"/>
        <s v="Verificar que el cable pase por los elemtos aislantes (armellas o aisladores" u="1"/>
        <s v="inspeccion sistema de anclaje" u="1"/>
        <s v="verificar ausencia de fisuras, si se requiere realizar soldadura" u="1"/>
        <s v="Revisar estado y cambio si se requiere de las ruedas" u="1"/>
        <s v="Revisar tornillos de anclaje desembobinador" u="1"/>
        <s v="Realizar inspección, limpieza y ajuste de conexiones del micro final de carrera" u="1"/>
        <s v="Revisar cilindro amortiguador" u="1"/>
        <s v="Revisar estado y calibración de torque" u="1"/>
        <s v="Revisar funcionabilidad del balancin" u="1"/>
        <s v="Aplicar 20 gr. de grasa (EP2) por cada punto del cilindro" u="1"/>
        <s v="Lubricar rodamientos lineales guias" u="1"/>
        <s v="Verificar estado y correcta lubricación de los bujes y rodamientos cruceta que transmite movimiento del cilindro principal al sistema acodado" u="1"/>
        <s v="Revisar estado de soportes o bujes, si presenta rotura realizar cambio" u="1"/>
        <s v="Revisar que no presente fisuras las guias de entrada de la placa" u="1"/>
        <s v="Revisar columnas y verificar ajuste de tuercas de anclaje, si presenta fisuras informar al jefe de área para realizar cambio." u="1"/>
        <s v="Realizar re torqueo tornillos anclaje del cilindro" u="1"/>
        <s v="Realizar re torqueo tuerca del cilindro, si se encuentra en mal estado cambiar." u="1"/>
        <s v="Revisar estado de abrazadera, si se encuentra en mal estado cambiar" u="1"/>
        <s v="Re torqueo de los tornillos o prisioneros de sujeción de piñoneria y tensión cadena, inspeccione el estado del cuñero" u="1"/>
        <s v="realizar limpieza y ajuste de conexiones micro final de carrera" u="1"/>
        <s v="Revisar actuador desembobinador auxiliar" u="1"/>
        <s v="Revisar rodamientos rodillo balancin" u="1"/>
        <s v="Revisar rodamientos rodillo conducido" u="1"/>
        <s v="Realizar limpieza y ajuste de conexiones de los micros de seguirdad y paros de emergencia" u="1"/>
        <s v="Revisar el vulcanizado del rodillo, si se encuentra en mal estado realizar el cambio." u="1"/>
        <s v="Revisar estado de los rodillos anti giro si presenta desgaste y daño en los rodamientos realizar cambio" u="1"/>
        <s v="Revisar que no presente desajuste la base del rodillo anti giro, si presenta perdida de tolerancia realizar el cambio." u="1"/>
        <s v="Garantizar que no presente fugas el sistema por mangueras o racores" u="1"/>
        <s v="verificar que el actuador del rodillo pisador no presente fugas" u="1"/>
        <s v="Verificacion inspeccion y verificacion de estado de mangueras y racosres en sistema neumatico general" u="1"/>
        <s v="Verificar paro de emergencia, realizar limpieza y ajuste de conexiones" u="1"/>
        <s v="Verificar el correcto funcionamiento de las válvulas bi estable, corte, piloteadas y de expulsion" u="1"/>
        <s v="Verificar el correcto funcionamiento de las válvulas neumaticas auxiliares" u="1"/>
        <s v="Verificar el correcto funcionamiento válvula cierre manual del cilindro principal" u="1"/>
        <s v="Verificar el correcto funcionamiento válvula de lentamiento placa calentadora" u="1"/>
        <s v="verificar el correcto funcionamiento válvula de levantamiento de molde" u="1"/>
        <s v="Drenar condensados de los tanques acumuladores" u="1"/>
        <s v="Revisar estado y funcionamiento de los cilindros neumáticos." u="1"/>
        <s v="Revisar la valvula de alivio de los tanques acumuladores " u="1"/>
        <s v="Revisar los tanques acumuladores confirmado que no presente fisuras ni fugas" u="1"/>
        <s v="Desmonte tanque acumulador" u="1"/>
        <s v="realize limpieza del tanque" u="1"/>
        <s v="verifique estado de tanque" u="1"/>
        <s v="vuelva a instalar y verifique que no quede con fugas" u="1"/>
        <s v="Verificar estado y funcionamiento de manometros, de ser necesario realizar el cambio" u="1"/>
        <s v="Ajuste conexiones del circuito de control" u="1"/>
        <s v="Mida voltaje en el motor del dosificador a 0, 60, 120, 240 RPM" u="1"/>
        <s v="Revisar estado de la válvula y su correcto funcionamiento, si es necesario realizar cambio" u="1"/>
        <s v="Revisar estado de puestas a tierra, realizar limpieza y ajuste." u="1"/>
        <s v="Revisar estado y funcionamiento de los cilindros neumáticos, mangueras, racores, válvulas y unidad de mantenimiento." u="1"/>
        <s v="Revisar el estado de las cuchillas" u="1"/>
        <s v="Tornillo sin fin de moviento de la guillotina" u="1"/>
        <s v="revisar anclaje y  fisuras en la estructura de la garganta de salida" u="1"/>
        <s v="revisar estado brazos de movientoy eje" u="1"/>
        <s v="revisar estado de chumacera" u="1"/>
        <s v="revisar estado y lubricación guias de bronce" u="1"/>
        <s v="Realice limpieza y lubricación con grasa cremallera y piñon " u="1"/>
        <s v="Realizar inspección cremallera piñon desplazamiento del horno" u="1"/>
        <s v="Ajustar tornillos del portaherramienta y brazos" u="1"/>
        <s v="Realizar verificación de estado y alineación de los brazos" u="1"/>
        <s v="Relaizar veriifcación del funcionamiento de la válvula hidraulica" u="1"/>
        <s v="Verificar ausencia de fugas en válvulas hidráulicas" u="1"/>
        <s v="Verificar correcto funcionamiento y ausencia de fugas en actuadores hidráulicos" u="1"/>
        <s v="Verificar estado de las mangueras hidráulicas, ajustar racores" u="1"/>
        <s v="Limpiar y secar los terminales de las baterías" u="1"/>
        <s v="Verificar la gravedad específica y el nivel del electrolito de las baterías." u="1"/>
        <s v="Verificar que esten apretados los terminales de las baterías y no exista corrosión en los mismos." u="1"/>
        <s v="Verificar que esten apretados los terminales del starter y no exista corrosión en ellos." u="1"/>
        <s v="Abrir el panel de instrumentos y revisar que estén apretados todos los terminales" u="1"/>
        <s v="Probar las baterías para determinar el estado de las celdas y la carga." u="1"/>
        <s v="Revisar estado del electrodo de ZINC del sistema de refrigeración, cambiar si está deteriorado más de la mitad." u="1"/>
        <s v="Revisar que estén apretadas y no exista corrosión en los terminales de la batería y del starter." u="1"/>
        <s v="Verificar gravedad especifica y nivel electrólito, limpiar y secar los terminales" u="1"/>
        <s v="Ajuste conjunto de freno y patines de freno." u="1"/>
        <s v="Mida espesor de patines del freno. Compare contra valor mínimo de 2.3 mm." u="1"/>
        <s v="Verifique el estado de cojinetes de rodillos del desplazador lateral." u="1"/>
        <s v="Verifique estado y correcto funcionamiento del sistema de dirección." u="1"/>
        <s v="Lubrique eje pivote de pedales con lubricante pulverizado." u="1"/>
        <s v="Verifique ajuste de los rieles de deslizamiento del carro superior." u="1"/>
        <s v="Verifique estado de dientes del eje y aro de dirección." u="1"/>
        <s v="Inspeccione escobillas de motores eléctricos. Cambie si es necesario." u="1"/>
        <s v="Verifique ausencia de quemaduras en contactores, remplace si es necesario." u="1"/>
        <s v="Verifique estado y funcionamiento de bandas antiestática." u="1"/>
        <s v="Verifique funcionamiento de contacto de presión del contactor." u="1"/>
        <s v="Verifique y ajuste de conexiones de contactores." u="1"/>
        <s v="Limpie y lubrique las cadenas de elevación." u="1"/>
        <s v="Verifique ausencia de fugas en sistemas hidráulicos." u="1"/>
        <s v="Verifique nivel de aceite de la unidad de impulsión. Complete si es necesario." u="1"/>
        <s v="Verifique nivel de aceite del depósito hidráulico. Complete si es necesario." u="1"/>
        <s v="Inspeccione cojinetes de la rueda de carga. Cambie si es necesario." u="1"/>
        <s v="Inspeccione retenedores del cilindro del ariete de elevación." u="1"/>
        <s v="Verifique ausencia de fugas de aceite ó signos de aceite en patines y/o rotor." u="1"/>
        <s v="Verifique estado de bastidor y engranajes del desplazador lateral." u="1"/>
        <s v="Verifique estado de cables y mangueras que van por encima del mástil." u="1"/>
        <s v="Compruebe el peso de la batería." u="1"/>
        <s v="Inspeccione y verifique estado y funcionamiento de los conjuntos de sensores, ajuste conexiones." u="1"/>
        <s v="Realice limpieza externa a motores eléctricos." u="1"/>
        <s v="Verifique el freno automático por perdida de señal del cable guía." u="1"/>
        <s v="Verifique que la carretilla toma la señal del cable guía." u="1"/>
        <s v="Revisar que el cableado se encuentre ruteado adecuadamente" u="1"/>
        <s v="Verificar funcionamiento del encoder lineal" u="1"/>
        <s v="Realizar limpieza del tornillo sin fin" u="1"/>
        <s v="Revisar despegador de lamina, si presenta desgaste cambie" u="1"/>
        <s v="Revisar pisadores de lamina, si presentan desgaste cambie" u="1"/>
        <s v="Verificar el estado del tornillo sin fin" u="1"/>
        <s v="verificar que no presente desgaste las guardas laterales y que tenga su tornilleria completa" u="1"/>
        <s v="Realizar alineación de los rieles, que no presente desajuste" u="1"/>
        <s v="Revisar eje principal que no presenta daño en cuña o cuñero" u="1"/>
        <s v="Revisar piñon de arrastre principal, que no presente desajuste en rodamientos ni cuñero" u="1"/>
        <s v="Verificar estado de rieles, revisar que no exista material entre ellos y que no presenten desgaste" u="1"/>
        <s v="Verificar estado del tornillo tensor de la cadena" u="1"/>
        <s v="Garantizar que tenga aceite el dispositivo, si se encuentra vacio realizar el cambio " u="1"/>
        <s v="Revisar que no presente fujas el manifold" u="1"/>
        <s v="Revisar que no presente fujas el sistema en mangueras y racores" u="1"/>
        <s v="Inspección general, garantizar que no exista presencia de fugas" u="1"/>
        <s v="Limpieza externa del reductor" u="1"/>
        <s v="Verificar ausencia de fugas de los reductores de ser necesario realizar cambio" u="1"/>
        <s v="Verificar estado y anclaje del reductor, si se encuentra alguna condición subestandar corregirla Si los reductores se encuentran en mal estado realizar cambio" u="1"/>
        <s v="Realizar la limpieza y lubricación del tornillo recirculante y las columnas guias" u="1"/>
        <s v="Revisar estado de mangueras, racores y acoples" u="1"/>
        <s v="Revisar estado y funcionamiento de los cilindros neumáticos" u="1"/>
        <s v="Revisar sistema de anclaje de brazo" u="1"/>
        <s v="Revisar la alineación, tensión y estado de la banda, si es necesario realizar cambio" u="1"/>
        <s v="Revisar rodamientos de los rodillos, si se requiere realizar cambio" u="1"/>
        <s v="Realizar medición en la bobina" u="1"/>
        <s v="Verificar correcto funcionamiento del electro freno" u="1"/>
        <s v="Inspeccion roscas y tornillerias del sistema de tension de la correa" u="1"/>
        <s v="Revisar rodamientos y eje, si se requiere realice cambio" u="1"/>
        <s v="verificar paralelismo de las correas" u="1"/>
        <s v="Verificar estado de la stilla del freno, si se requiere realizar cambio" u="1"/>
        <s v="Revisar el estado operativo del selector de posición central" u="1"/>
        <s v="Revisar final de carrera" u="1"/>
        <s v="Verificar estado de cadenas y piñones" u="1"/>
        <s v="Verificar estado de tornillos y alineación de bloques" u="1"/>
        <s v="Revisar valvula de selector neumatica de accionamiento" u="1"/>
        <s v="Realizar inspección de correcto funcionamiento de las válvulas  (formado, expulsión, escape y de levantamiento del molde), que el spool se encuentre libre de contaminación" u="1"/>
        <s v="Realizar limpieza y lubricación al spool" u="1"/>
        <s v="Realice cambio general  de sellos y empaquetadura de valvula de vacio" u="1"/>
        <s v="verifique el estado de la valvula de vacio" u="1"/>
        <s v="Inspeccionar que el tornillo de anclaje no tenga daño en la rosca o desgaste por ajuste" u="1"/>
        <s v="Limpieza  e inspección de tornillo recirculante y ejes guias " u="1"/>
        <s v="Verificar pasadores bujes y rodamientos en el sistema acodado" u="1"/>
        <s v="Verificar que las bielas no presenten desajuste en el cuadrante, ni daño en la rosca" u="1"/>
        <s v="inspeccion de cuña y cuñero del eje de los brazos, si se requiere realizar cambio" u="1"/>
        <s v="Revisar estado y funcionamiento de cilindros, mangueras, racores y acoples" u="1"/>
        <s v="Verificar estado de guia, si presenta desgaste o deformaciones realizar cambio" u="1"/>
        <s v="Revisar estado de los cilindros neumáticos" u="1"/>
        <s v="Revisar regulador y manometro" u="1"/>
        <s v="Garantizar hermeticidad dels sistema" u="1"/>
        <s v="Revisar mangueras que no presenten deformación, si se requiere realizar cambio" u="1"/>
        <s v="Revisar correcta inyeccion de grasa" u="1"/>
        <s v="Revisar racores y mangueras, que no presenten fugas" u="1"/>
        <s v="Revisar que no presente fugas el manifold" u="1"/>
        <s v="Verificar alineación y anclaje de las puertas" u="1"/>
        <s v="Verificar empaques y policarbonato de las puertas, si se requiere cambie" u="1"/>
        <s v="Verificar estado de los seguros de las puertas" u="1"/>
        <s v="Verificar rieles guias" u="1"/>
        <s v="Realizar lubricacion con grasa del tornillo y tuerca regulación placa" u="1"/>
        <s v="Revisar desgaste de las tuercas en bronce" u="1"/>
        <s v="Revisar paralelismpo tronillos de regulación" u="1"/>
        <s v="Verificar estado y funcionaiento de los sensores final de carrera" u="1"/>
        <s v="Revisar estado y correcto funcionamiento en los cilindros de desplazamiento del horno" u="1"/>
        <s v="Realizar inspección a los rodamientos lineales y del riel, si se encuentra en mal estado realizar cambio" u="1"/>
        <s v="Revisión rodamientos de rodillos conducidos (Locos)" u="1"/>
        <s v="Revisar estado y correcto funcionamiento en los cilindros de apertura y cierre de rieles" u="1"/>
        <s v="Vericar válvulas de control de los cilindros" u="1"/>
        <s v="Realizar limpieza e inspección del cilindro mecanico" u="1"/>
        <s v="Verificar anclaje del cilindro" u="1"/>
        <s v="verificar Gap, calibración y afilado de cuchillas" u="1"/>
        <s v="Revisar correcto funcionamiento sistema acodado" u="1"/>
        <s v="Revisar correcto funcionamiento válvula del freno" u="1"/>
        <s v="Revisar valvulas de los cilindros" u="1"/>
        <s v="Realizar lubricacion con grasa del tornillo y tuerca regulaciópn placa" u="1"/>
        <s v="Verificar base de anclaje del cilindro sistema acodado" u="1"/>
        <s v="Realizar la inspección, verificando el desgaste del freno, si se encuentra en mal estado realizar cambio" u="1"/>
        <s v="Verificar el correcto funcionamiento electrovalvula de vacio" u="1"/>
        <s v="Realizar inspeccion de la unidad de mantenimiento" u="1"/>
        <s v="Revisar racores y mangueras" u="1"/>
        <s v="revisar riles guias del rodamiento y tornillos de anclaje" u="1"/>
        <s v="Revisión de ejes y rodamientos flanchados" u="1"/>
        <s v="Verificar anclaje de ejes y soporte platinas" u="1"/>
        <s v="Verificar alineación y desgaste, si es necesario realizar el cambio" u="1"/>
        <s v="Inspección de tuercas en bronce" u="1"/>
        <s v="Medir la elongación de la cadena" u="1"/>
        <s v="Paralelismo de tuercas con las columnas" u="1"/>
        <s v="Realizar tensión de la cadena de ser necesario" u="1"/>
        <s v="Inspección de rodamientos y brazos de moviento del sistema acodado" u="1"/>
        <s v="Realizar inspección cuña y cuñero del eje transmisión reductor, si presenta desgaste informar al supervisor de mtto para programar el cambio" u="1"/>
        <s v="Revisar los bujes de las columnas guias" u="1"/>
        <s v="Verificar ajuste de los pasadores roscados" u="1"/>
        <s v="inspección de pasadores bujes de brazos cortos, arandelas en bronce y anillos SEGER" u="1"/>
        <s v="Revisión regulador y manometro" u="1"/>
        <s v="Realizar la lubricación de la cadena con OKS-3751" u="1"/>
        <s v="Diligencien el formato de paralelismo" u="1"/>
        <s v="Realice nivelacion de placas en caso de encontrar desnivelacion en algun punto" u="1"/>
        <s v="Verifique el paralelismo de las placas de troquel" u="1"/>
        <s v="Realizar libricación de los rodamientos lineales" u="1"/>
        <s v="Verifique estado de los rodamiento si se requiere realizar cambio." u="1"/>
        <s v="Realizar inspección de los rodillos haladores garantizando su correcto funcionamiento" u="1"/>
        <s v="Verificar chumaceras, lubricar si aplica" u="1"/>
        <s v="Verificar alineación de las bandas" u="1"/>
        <s v="Verificar correcto funcionamiento de actuadores y/o cilindros neumaticos" u="1"/>
        <s v="Re torqueo de los tornillos o prisioneros de sujeción de piñoneria y tensión cadena." u="1"/>
        <s v="Realizar verificación de resistencias y termocuiplas según aplique" u="1"/>
        <s v="Revisar estado de empaques siliconados" u="1"/>
        <s v="Verificar estado y correcto funcionamiento de la cuchilla horizontal y vertical" u="1"/>
        <s v="Verificar que no se encuentre en buen estado el teflonado de las cuchillas " u="1"/>
        <s v="Inspeccionar rebordeadora confirmado ausencia de fugas del sistema de refrigeración" u="1"/>
        <s v="Revisar ajuste de las guardas de seguridad" u="1"/>
        <s v="Acumulador de presión" u="1"/>
        <s v="Confirmar presión de trabajo entre 1500 -2500 psi" u="1"/>
        <s v="Revise y/o cambie el filtro del aceite del sistema" u="1"/>
        <s v="revisar funcionamiento con respecto a la válvula y su accionar, para evitar la caida de presión" u="1"/>
        <s v="Realizar la inspección completa del tornillo" u="1"/>
        <s v="Cambiar el Kit de la válvula de inyección, garantizar ausencia de fugas" u="1"/>
        <s v="Toma de datos de vibraciones para identificación de fallas mecanicas en equipo rotativo" u="1"/>
        <s v="Inspección de cuñas y cuñeros" u="1"/>
        <s v="Revisar estado de la guarda y ajuste de tornilleria" u="1"/>
        <s v="Verifiación de filtros de salida (Realizar limpieza, si es necesario cambio por saturación)" u="1"/>
        <s v="Medir corriente en resistencias y molde de extrusión " u="1"/>
        <s v="Medir voltaje en resistencias y molde de extrusión" u="1"/>
        <s v="Verificar estado y conexiones de termocuplas" u="1"/>
        <s v="verficar correcto funcionamiento" u="1"/>
        <s v="Revisar estado y correcto funcionamiento de microswitches y guayas de seguridad" u="1"/>
        <s v="Realice limpieza de filtro de malla" u="1"/>
        <s v="Revisar correcto funcionamiento reguladores de altura rodillos laminadores" u="1"/>
        <s v="Verificación de ausencia de fugas en la junta rotativa" u="1"/>
        <s v="Verificar correcto funcionamiento de la alarma luminosa (licuadora)" u="1"/>
        <s v="Verificar estado y correcto funcionamiento de tomas, swtiches" u="1"/>
        <s v="Verificar estado y correcto funcionamiento, microswitches guardas y seguridades del equipo" u="1"/>
        <s v="inspección de hermeticidad, empaques de las tolvas" u="1"/>
        <s v="Correjir fugas" u="1"/>
        <s v="Verificar estado de la lengüeta, tuerca y vástago, válvula rompe vacío" u="1"/>
        <s v="Verificar estado y correcto funcionaiento sistemas neumaticos (válvulas, cilindros neumáticos y unidad de mantenimiento)" u="1"/>
        <s v="Verificar el correcto funcionamiento del micro de seguridad" u="1"/>
        <s v="inspección de tornilleria" u="1"/>
        <s v="Verificación de ausencia de fugas de material" u="1"/>
        <s v="Verificar estado de rodamientos, bujes y paletas dosificadoras" u="1"/>
        <s v="Revisar fisuras y fugas de material" u="1"/>
        <s v="Realizar limpieza al intercambiador de la cámara de enfriamiento" u="1"/>
        <s v="Verificar estado del cableado de las bobinas" u="1"/>
        <s v="Verificar estado y correcto funcionamiento de termocuplas y válvulas solenoides de los tanques de regeneración" u="1"/>
        <s v="Realizar inspección de mangueras y racores de refrigeración del tablero horno AA" u="1"/>
        <s v="Cambiar empaquetadura" u="1"/>
        <s v="Limpiar haz de tubo del condensador" u="1"/>
        <s v="Realizar MTTO general" u="1"/>
        <s v="Realizar limpieza al condensador" u="1"/>
        <s v="Revisar funcionamiento electroválvulas" u="1"/>
        <s v="Verificar ausencia de fugas de agua" u="1"/>
        <s v="Verificar fijación solenoides" u="1"/>
        <s v="Verificar funcionamiento válvula de corte tipo flotador" u="1"/>
        <s v="Ajustr tornillos de las manzanas" u="1"/>
        <s v="Verificar estado de cuñeros y cuñas" u="1"/>
        <s v="Verificar estado del acople" u="1"/>
        <s v="Retensionar correas" u="1"/>
        <s v="Toma de especto termografico para identificación de fallas mecanicas y electricas" u="1"/>
        <s v="Inspeccionar la tubería del sistema para confirmar que no tenga saturación de solidos" u="1"/>
        <s v="Inspección de la empaquetadura, cambiar si se encuentran en mala condición" u="1"/>
        <s v="Realice limpieza de filtro de malla y/o  filtro strainer" u="1"/>
        <s v="Realizar limpieza a los intercambiadores de calor, inyectar agua a presión para confirmar que no tenga saturación de solidos" u="1"/>
        <s v="Verificar las valvulas de corte que no presenten fugas o paso de fluido" u="1"/>
        <s v="Verificar que las uniones universales no presenten fugas" u="1"/>
        <s v="Cambio de empaques" u="1"/>
        <s v="Cambio de tornilleria" u="1"/>
        <s v="Realizar prueba de estanqueidad para evitar contaminación de los fluidos" u="1"/>
        <s v="Aplicar lubricante OKS3751 al tornillo recirculante" u="1"/>
        <s v="Realizar limpieza y lubricación de los engranajes" u="1"/>
        <s v="Revisar desgaste y perdida de tolerancia entre el paso de los engranajes de transmisión" u="1"/>
        <s v="Revisar estado de los eslavones, realizar el cambio si se requiere" u="1"/>
        <s v="Verificar la elongación de la banda, si se encuentra fuera de sus condicion normal de trabajo realizar el reacondicionamiento o cortar eslavones" u="1"/>
        <s v="Verificar el estado de las bandas, si se encuentran cristalizadas o en mal estado realizar cambio" u="1"/>
        <s v="inspeccionar rodamientos de los rodillos, si se encuentran en mal estado realizar cambio" u="1"/>
        <s v="Realizar la inspección de los rodillos" u="1"/>
        <s v="Realizar cambio de la banda si se encuentra en mal estado" u="1"/>
        <s v="Verificar la tensión de funcionamiento si es necesario re tensionar" u="1"/>
        <s v="Revisar estado rodamientos, perforadores" u="1"/>
        <s v="Revisar rodamientos de los rodillos" u="1"/>
        <s v="revisar piñones rodillos haladores" u="1"/>
        <s v="verificar estado general del cableado" u="1"/>
        <s v="Inspeccionar accionamiento de la válvula. Verificar que se encuentre correctamente fijada. De lo contrario ajustar." u="1"/>
        <s v="Verificar el estado de la válvula. No debe tener daños superficiales, golpes. En caso contrario, cambiar o corregir." u="1"/>
        <s v="Verificar estado y condición del cableado eléctrico. No debe presentar signos de quemadura, rasgadura o rotura, deterioro de aislamiento, empalmes en mal estado, múltiples empalmes. De presentar alguna de estas condiciones, cambiar." u="1"/>
        <s v="Verificar el estado de la válvula de limpieza. Inspeccionar diafragma y accionamiento. De presentarse en mal estado, cambiar o corregir" u="1"/>
        <s v="Compruebe las juntas y las aberturas de los elementos filtrantes" u="1"/>
        <s v="Inspeccionar el estado del elemento filtrante, cambiar si presenta daño o deterioro" u="1"/>
        <s v="Inspeccionar el estado general del filtro. Retirar suciedades con aire comprimido" u="1"/>
        <s v="Inspeccionar estado del contenedor de recolección de polvo. Sin defectos estructurales, fugas o deterioro" u="1"/>
        <s v="Verificar estado de la solapa y sello de descarga. Cambiar y/o ajustar si se requiere." u="1"/>
        <s v="Verificar estado y correcto funcionamiento de las válvulas neumáticas, sensores de nivel, válvula de vaciado de la bandeja de pesaje" u="1"/>
        <s v="Verificar estado y correcto funcionamiento de paros de emergencia, microswitches guardas y seguridades del equipo" u="1"/>
        <s v="Verificar estado y correcto funcionamiento de tomas, swtiches, pulsadores" u="1"/>
        <s v="inspeccion visual, verificando el estado de los pines y sus alojamientos" u="1"/>
        <s v="Verificar correcto funcionamiento del filtro-regulador y ajustar presion a 80PSI" u="1"/>
        <s v="Verificar los Actuadores del maguire, garantizar ausencia de fugas de aire y material" u="1"/>
        <s v="Compruebe que el ajuste de la horquilla del cilindro permite que la compuerta se cierre correctamente" u="1"/>
        <s v="Compruebe que el vástago de la horquilla que conecta el cilindro de aire esté intacto, es decir, que no esté roto ni desgastado" u="1"/>
        <s v="Compruebe que la presión del aire es correcta, que las juntas están bien cerradas y que no hay conductos de aire dañados ni doblados." u="1"/>
        <s v="Inspeccione las guías de las compuertas para ver si están desgastadas" u="1"/>
        <s v="Compruebe que la aleta de vaciado se mueve suavemente, los puntos de articulación no deberían estar desgastados." u="1"/>
        <s v="Compruebe que la aleta se cierra completa y suavemente. La suavidad del cierre se puede ajustar." u="1"/>
        <s v="Examine detenidamente todas las piezas de la bandeja de pesaje y el soporte del que cuelga para asegurarse de que nada toca las piezas fijas." u="1"/>
        <s v="La compuerta debería superponerse al borde delantero lo suficiente como para impedir que gotee al cerrarse, incluso si al hacerlo atrapa algún gránulo." u="1"/>
        <s v="Compruebe que no hay aspas AFILADAS" u="1"/>
        <s v="Compruebe que no hay aspas dobladas" u="1"/>
        <s v="Inspeccionar &amp; limpiar entrada y salida de aire de los ventiladores del secador." u="1"/>
        <s v="Inspeccionar el estado  de las ruedas para rotación del tambor se cador. Verificar que no existan signos de desgaste o daños estructurales. Cambiar si se requiere. Ajustar sujeción" u="1"/>
        <s v="Realizar inspección general del secador. Limpiar exceso de suciedad e impurezas presenten en el bastiador, carro soporte, cubiertas &amp; partes interiores del secador." u="1"/>
        <s v="Inspeccionar el estado de la estructura de apoyo del secador. Ajustar si es necesario" u="1"/>
        <s v="Inspeccionar estado de tuberías &amp; elementos de sujeción. Verificar que no existan fugas, de lo contrario ajustar, sellar o cambiar." u="1"/>
        <s v="Realizar limpieza general a la bomba. Retirar suciedades de las ranuras de ventilación." u="1"/>
        <s v="Verificar nivel de aceite. Rellenar hasta nivel de operación si es necesario." u="1"/>
        <s v="Inspeccionar estado del asiento de la válvula de retención. Cambiar o corregir si es necesario" u="1"/>
        <s v="Limpiar filtro de aire de admisión. Limpiar o cambiar el filtro de la malla" u="1"/>
        <s v="Ajustar conexiones de la bornera. Revisar el estado del cable de potencia eléctrica. Notificar rasgaduras o aislamiento del cable. Cambiar de ser necesario." u="1"/>
        <s v="Inspeccionar el estado del motor. Verificar que no existan fisuras, corrosión, daño en ventilador o desajustes de base, carcaza o pernos de sujeción. Cambiar o corregir cuando se requiera." u="1"/>
        <s v="Medir y registrar datos de aislamiento entre fases y fase a tierra. Notificar al supervisor en caso de encontrar medidas fuera de tolerancias" u="1"/>
        <s v="Realizar limpieza general de motor." u="1"/>
        <s v="Inspeccionar el estado de las lámparas infrarrojas. Verificar que no se encuentren fisuradas o dañadas. Cambiar si es necesario" u="1"/>
        <s v="Inspeccionar el estado del cableado eléctrico. Ante cualquier signo de rotura, quemadura, desgaste, cambiar." u="1"/>
        <s v="Realizar limpieza de los módulos radiadores. Eliminar excesos de polvo o producto." u="1"/>
        <s v="Verificar la sujeción de las lámparas infrarrojas al módulo. Ajustar si es necesario." u="1"/>
        <s v="Inspeccionar condición y funcionamiento. Realizar limpieza, eliminar excesos de polvo. Verificar correcta sujeción al sistema. Ajustar si se requiere" u="1"/>
        <s v="Verificar condición del cableado, que no presente rasgaduras, quemaduras.  Ajustar conexiones si es necesario" u="1"/>
        <s v="Realizar inspección general del secador. Limpiar exceso de suciedad e impurezas presenten en el bastiador, carro soporte, cubiertas &amp; partes interiores del secador. (Realizar esta actividad en apoyo con producción)" u="1"/>
        <s v="Inspeccionar el estado  de las ruedas para rotación del tambor secador. Verificar que no existan signos de desgaste o daños estructurales. Cambiar si se requiere. Ajustar sujeción" u="1"/>
        <s v="Revisión de estado de clableado y ruteado, realizar cambio si aplica." u="1"/>
        <s v="Revisión de estado de resistencia, realizar cambio si aplica." u="1"/>
        <s v="Revisión de estado de termocupla, realizar cambio si aplica." u="1"/>
        <s v="Cambiar aceite" u="1"/>
        <s v="Inspeccione visualmente el estado del aceite viejo" u="1"/>
        <s v="Verifique ausencia de fugas de vacío." u="1"/>
        <s v="Verifique el funcionamiento de válvulas piloto." u="1"/>
        <s v="REALIZAR INSPECCIÓN GENERAL A LA BOMBA, ESTADO DE FILTROS, POR FUGAS DE ACEITE Y VACIO, RUIDOS EXTRAÑOS, EFICIENCIA DE LA BOMBA" u="1"/>
        <s v="Medir corriente y voltaje de las resistencias de la unidad de calentamiento de los dados de rebordeo" u="1"/>
        <s v="Revisar estado de chumaceras y eje principal" u="1"/>
        <s v="Revisar estado de cilindros de apertura del horno y tensionador de las correas de las ruedas de alimentación" u="1"/>
        <s v="Revisar estado de la banda de alimentación y sus rodamientos, retensionar y alinear" u="1"/>
        <s v="VERIFIACAR ESTADO DE CHUMACERAS" u="1"/>
        <s v="VERIFICAR ESTADO DE RODAMIENTOS, CAMBIAR SIS SE REQUIERE." u="1"/>
        <s v="Revisar estado correa dentada y polea" u="1"/>
        <s v="Revisar rodamientos brazo empujador" u="1"/>
        <s v="Lubricación rodamientos lineales" u="1"/>
        <s v="Realizar alineación de la cuchilla" u="1"/>
        <s v="Realizar revisión del fleje" u="1"/>
        <s v="Revisar arandelas de bronce chapas de palpado" u="1"/>
        <s v="Revisar estado del teflon, si presenta desgaste realizar cambio" u="1"/>
        <s v="Revisar rollo de teflon remplar si es necesario" u="1"/>
        <s v="revisar sistema correa polea cuchilla transversal" u="1"/>
        <s v="revisar tornilleria chapas de palpado" u="1"/>
        <s v="Alineación de las bandas " u="1"/>
        <s v="Revisar estado de las bandas, realizar reacondicionamiento si se requiere" u="1"/>
        <s v="Revisar rodamientos rodillos tensores " u="1"/>
        <s v="Si la banda se encuentra en mal estado realizar cambio." u="1"/>
        <s v="Revisar valvulas neumaticas" u="1"/>
        <s v="Realizar Cambio de los esparragos de Calibración" u="1"/>
        <s v="revisión de clutch del blender verificando el estado, si presenta desgaste realizar cambio." u="1"/>
        <s v="Verificar que la válvula de almacén se encuentre calibrada" u="1"/>
        <s v="Realice cambio de rodamientos al motor" u="1"/>
        <s v="Realice limpieza interna" u="1"/>
        <s v="Verificar ajuste de alojamientos en las tapas" u="1"/>
        <s v="Verificar estado y funcionamiento de switches de seguridad LSIA, LSIC" u="1"/>
        <s v="Verifique ausencia de fugas." u="1"/>
        <s v="Verifique el funcionamiento de las válvulas piloto." u="1"/>
        <s v="Verifique el funcionamiento de válvulas neumáticas." u="1"/>
        <s v="Lubricar columnas del molde de cierre" u="1"/>
        <s v="Registrar resultados" u="1"/>
        <s v="Rotular y envíar análisis" u="1"/>
        <s v="Tomar muestra de aceite de tanque hidráulico" u="1"/>
        <s v="Realizar nivelación de la máquina" u="1"/>
        <s v="Verificar estado de amortiguadores de los apoyos" u="1"/>
        <s v="Verificar estado de paralelismo entre las placas de sujeción del molde" u="1"/>
        <s v="Revise bujes y pines de carro alimentador" u="1"/>
        <s v="Torquee pernos cabeza cilindro de inyección según manual Nissei" u="1"/>
        <s v="Torquee pernos de aseguramiento husillo-pistón de inyección" u="1"/>
        <s v="Torquee tornillería de toda la máquina" u="1"/>
        <s v="Verificar ausencia de fugas en motor hidráulico de plastificación e inyección" u="1"/>
        <s v="Verificar estado de mangueras de agua y ausencia de fugas" u="1"/>
        <s v="CAMBIO DE EMPAQUES DE LAS TAPAS" u="1"/>
        <s v="HACER LIMPIEZA DE LOS TUBOS CON CEPILLO REDONDO DE NYLON" u="1"/>
        <s v="VERIFICAR ESTADO DE CONEXIONES DE AGUA  COREGIR FUGAS" u="1"/>
        <s v="VERIFICAR ESTADO DE HAZ DE TUBOS" u="1"/>
        <s v="VERIFICAR ESTADO DE MANGUERAS HIDRAULICAS" u="1"/>
        <s v="INSPECCION VISUAL DE LAS COLUMNAS" u="1"/>
        <s v="INSTALAR EN LOS EXTREMOS DE LAS COLUMNAS COMPARADORES DE CARATULA" u="1"/>
        <s v="LA ESLONGACION DEBE SER DE 0.05MM +/- 0.01MM" u="1"/>
        <s v="PONER EN FUNCIONAMIENTO LA UNIDAD DE CIERRE Y TOMA LA LECTURA DE LOS COMPARADORES" u="1"/>
        <s v="SOLTAR LAS TUERCAS DE LAS COLUMNAS Y AJUSTAR NUEVAMENTE." u="1"/>
        <s v="Revisar estado de mangueras y racores neumáticos" u="1"/>
        <s v="Verificar ausencia de fugas de aire" u="1"/>
        <s v="Lubricar los puntos de lubricación de la bomba" u="1"/>
        <s v="Verificar entrada y correcto funcionamiento de los termostatos, sensores de flujo y nivel" u="1"/>
        <s v="Limpiar elemento respirador de aire del tanque" u="1"/>
        <s v="Limpiar filtro de succión de aceite" u="1"/>
        <s v="Verificar estado de mangueras y racores hidráulicos" u="1"/>
        <s v="Cambie filtros del sistema hidráulico" u="1"/>
        <s v="Verificar estado del respiradero del tanque hidráulico" u="1"/>
        <s v="Medir y registrar temperatura " u="1"/>
        <s v="Revisar y limpiar cartuchos de la unidad de mantenimiento del filtro neumático" u="1"/>
        <s v="Verificar ausencia de alarmas en el ciclo de trabajo." u="1"/>
        <s v="Verificar estado y correcto funcionamiento de las válvulas de drenaje automático del prefiltro, purgar válvula." u="1"/>
        <s v="Verificar estado y correcto funcionamiento de las válvulas soleniodes, de alivio, switches de presión e higrómetro." u="1"/>
        <s v="Verificar estado y correcto funcionamiento del conjunto de válvulas direccionales de las 4 puertas" u="1"/>
        <s v="Verificar que la diferencia de presion del prefiltro y del post-filtro no exceda de 10PSI. Si es mayor cambie cartuchos." u="1"/>
        <s v="Verificar que la presión antes del silenciador de las válvulas direccionales de 4 puerats sea menor a 5 PSI." u="1"/>
        <s v="REALIZAR CALIBRACION DE VALVULA" u="1"/>
        <s v="Verificar correcto estado y funcionamiento de válvulas neumáticas" u="1"/>
        <s v="Verificar funcionamiento y set de ajuste válvula de alivio." u="1"/>
        <s v="Lubricar rodamientos" u="1"/>
        <s v="Apretar tornillos de fijación de blower, motor y anclajes" u="1"/>
        <s v="Revisar estado del vacuometro" u="1"/>
        <s v="Verificar estado de correas y poleas. Retensionar y alinear poleas" u="1"/>
        <s v="Verificar estado y correcto funcionaiento de válvulas, cilindros neumáticos y unidad de mantenimiento" u="1"/>
        <s v="Ajuste conexiones de todas las resistencias" u="1"/>
        <s v="Revise estado del cableado de todas las resistencias" u="1"/>
        <s v="Tomar medida de aislamiento resistencia boquilla, resistencia zona frente, resistenca zona media, resistencia zona atrás." u="1"/>
        <s v="Tomar lectura de aislamiento a todas las resistencias del barril" u="1"/>
        <s v="Apriete tornillos de fijación" u="1"/>
        <s v="Para las electro válvulas de: Soplado AV, molde VGA, cambio vel VI5A, expulsión atrás V11A, enfriamiento aceite V5D, inyección VI6A, Descom. V22B, Unid. iny. atrás V26A,  unid. Iny. Adel V26A, Alta presión V7" u="1"/>
        <s v="Verificar cableado" u="1"/>
        <s v="Verificar estado y funcionamiento" u="1"/>
        <s v="Ajuste conectores" u="1"/>
        <s v="Verificar cableado de todas las termocuplas anteriormente nombradas" u="1"/>
        <s v="Verificar estado de la termocupla E-A23" u="1"/>
        <s v="Verificar estado de la termocupla de la boquilla" u="1"/>
        <s v="Verificar estado de la termocupla del aceite hidráulico" u="1"/>
        <s v="Verificar estado de todas las termocuplas del barril (Zonas 1,2,3,4,5)" u="1"/>
        <s v="Verificar y Limpiar termopozo de cada una" u="1"/>
        <s v="Lubricar anillo de retencion husillo" u="1"/>
        <s v="Lubricar pestaña tacómetro husillo" u="1"/>
        <s v="Lubricar piñón y guía LM dispositivo de dosificación" u="1"/>
        <s v="Lubricar soporte cilindro de cierre" u="1"/>
        <s v="Limpiar haz de tubo de enfriador de aceite" u="1"/>
        <s v="Verificar estado de los anodos de Zn" u="1"/>
        <s v="COMPRUEBE SI ESTAN FLOJAS LAS TUERCAS DE LOS CILINDROS DE ESTIRADO,EXPULSIÓN; APERTURA Y CIERRE DEL MOLDE; TENSIÓN DE PLACA MOLDE INFERIOR" u="1"/>
        <s v="COMPRUEBE SI ESTAN FLOJAS TUERCAS DE CIERRE: COLUMNAS DE GUIA; TORNILLOS MOTOR ELÉCTRICO MESA ROTATIVA" u="1"/>
        <s v="COMPRUEBE SI ESTAN FLOJOS LOS TORNILLOS Y PLACAS DE CONEXIÓN" u="1"/>
        <s v="INSPECCIONE RESPRADERO DEL TANQUE DE ACEITE" u="1"/>
        <s v="LUBRIQUE LAS GUÍAS LINEALES Y ANILLO RETENCIÓN DEL HUSILLO" u="1"/>
        <s v="VERIFIQUE TUBOS, MANGUERAS, AJUSTE" u="1"/>
        <s v="CAMBIE EL FILTRO DE ACEITE" u="1"/>
        <s v="VERIFIQUE EL TORQUE PUNTERA INYECCIÓN" u="1"/>
        <s v="CAMBIE LA GRASA DE LA CADENA ACOPLE MOTOR/BOMBA" u="1"/>
        <s v="INSPECCIONE Y LIMPIE EL INTERIOR DEL INTERCAMBIADOR DE CALOR" u="1"/>
        <s v="LIMPIE FILTRO DE AIRE" u="1"/>
        <s v="LIMPIE FILTRO UNIDAD DE AIRE DE MANIOBRA" u="1"/>
        <s v="CAVIDADES DE INYECCIÓN VERIFIQUE BEBEDEROS ROTOS, FUGAS DE MATERIAL, LAS SUPERICIES DE LAS BOQUILLAS DE INYECCIÓN" u="1"/>
        <s v="CAVIDADES DE SOPLADO Y FONDOS DEL MOLDE RETIRE EL ÓXIDO Y LIMPIE LOS CIRCUITOS DE ENFRIAMIENTO Y CALENTAMIENTO" u="1"/>
        <s v="COMPRUEBE EN LOS MUELLES DE RETORNO PLACAS DE CUELLOS LAS ROTURAR U OPRECIONES ANORMALES" u="1"/>
        <s v="EN EL CANAL CALIENTE LIMPIE E INSPECCIONE LOS PISTONES Y FUGAS DE ACEITE" u="1"/>
        <s v="EN LOS MACHOS, CAVIDADESY MOLDE DE CUELLO DESMONTE, LIMPIE LAS SUPERFICIES FORMANTES DEL PRODUCTO Y APLIQUE ANTI CORROSIVO" u="1"/>
        <s v="LIMPIE EL INTERIOR DE LOS MACHOS DE SOPLADO" u="1"/>
        <s v="MOLDE DE CUELLOS COMPRUEBE LOS MATERILES EXTRAÑOS A TRAVÉS DE LA LÍNEA DE PARTICIÓN, RUGOSIDADES SUPERFICIALES" u="1"/>
        <s v="VERIFIQUE ESTADO DE LOS MUELLES DE VARILLAS DE ESTIRADO" u="1"/>
        <s v="VERIFIQUE POR RALLAS EN LA SUPERICIE EN LAS CAVIDADES, FONDOS DEL MOLDE Y MOLDE DE CUELLOS" u="1"/>
        <s v="Revise fuga de aire en:" u="1"/>
        <s v="Válvula ciere agua enfriador" u="1"/>
        <s v="Válvula cierre atuomatico alim." u="1"/>
        <s v="Válvula control flujo agua." u="1"/>
        <s v="Válvula enfriador aceite hidráulico" u="1"/>
        <s v="Válvula plato estacionario" u="1"/>
        <s v="Válvula sistema lubricación" u="1"/>
        <s v="Válvulas del colector de vacío." u="1"/>
        <s v="Limpiar magnetos" u="1"/>
        <s v="Verificar cableado y fijación" u="1"/>
        <s v="Verificar estado y funcionamiento de sensor de recorrido tornillo TEMPOSONICS B2DT" u="1"/>
        <s v="Verificar estado y funcionamiento de sensor válvulas Y8DQ, Y9DQ, Y10DQ, Y25D" u="1"/>
        <s v="Verificar estado y funcionamiento de sensor válvulas cheque 529PX y 5289PX" u="1"/>
        <s v="Verificar estado y funcionamiento de switch de presión aire de control 524PS" u="1"/>
        <s v="Verificar estado y funcionamiento de switch de presión de aceite S4LDPX" u="1"/>
        <s v="Verificar estado y funcionamiento de transductor de presión inyección B3PT" u="1"/>
        <s v="Realice nivelación haciendo los movimientos correspondientes al componente a nivelar" u="1"/>
        <s v="Verifique nivelación actual, tome los datos, si están fuera de rango, proceda a realizar nivelación" u="1"/>
        <s v="revisar la dentadura de la cremallera y del piñon, si presenta desgaste generar SOT para procedimiento programado" u="1"/>
        <s v="Verificar el estado del anillo de teflon de la paleta expulsora" u="1"/>
        <s v="Inspección visual de cuñas y cuñeros" u="1"/>
        <s v="Realizar inspección en los rodamientos de la banda de trasporte" u="1"/>
        <s v="Revisar el sistema de función que se encuentre operativo" u="1"/>
        <s v="Revisar tensión de la banda, que sea la optima para su funcionamiento (74mm)" u="1"/>
        <s v="Revisar estado de la cinta aislante termica si se encuentra en mal estado cambiarla " u="1"/>
        <s v="Verificar estado y correcto funcionamiento de termocuplas del sistema de refrigeración" u="1"/>
        <s v="Verificar estado y correcto funcionamiento de válvulas solenoides" u="1"/>
        <s v="Realizar revisón de buen funcionamiento de las válvulas, si se encuentran en mal estado realizar cambio" u="1"/>
        <s v="Verificar el estado de las mangueras y racores, remplazar de ser necesario" u="1"/>
        <s v="Realizar lubricacion de rodamientos de la bomba Reemplazar rodamientos si es necesario" u="1"/>
        <s v="inspección empaques, sellos y retenedores que esten en mal estado" u="1"/>
        <s v="Mantenimiento general de la bomba de vacio" u="1"/>
        <s v="Inspeccion ajuste de las tuercas de las columnas" u="1"/>
        <s v="Realizar inspeccion de estado del rodamiento, si se encuentra en mal estado reportar al supervisor de mtto para realizar la programción del cambio" u="1"/>
        <s v="Desmonte bomb y motor de elevación, inspeccione el conjunto." u="1"/>
        <s v="Inspeccione acople Oldham." u="1"/>
        <s v="Lubrique con compuesto de Molibdeno &quot;antiagarrotamiento&quot;" u="1"/>
        <s v="Realice limpieza" u="1"/>
        <s v="Limpiar y lubricar cadena de arrastre de material y de la rueda libre" u="1"/>
        <s v="Lubricar casquillos de la placa portamolde" u="1"/>
        <s v="Verificar estado de la leva principal de avance. Revisar ejes y rodamientos." u="1"/>
        <s v="Verificar estado de las guías de la cadena" u="1"/>
        <s v="Verificar estado de mangueras, racores y manómetros." u="1"/>
        <s v="Verificar estado y correcto funcionamiento de las válvulas neumáticas, unida de mantenimiento, reguladores y cilindros." u="1"/>
        <s v="Revisar correcto funcionamiento de los controladores de temperatura." u="1"/>
        <s v="Revisar estado y correcto funcionamiento de las válvulas del horno." u="1"/>
        <s v="Realice Limpieza, inspección de guías y rodamientos lineales." u="1"/>
        <s v="Realice lubricación de guías y rodamientos lineales." u="1"/>
        <s v="Retire los sobrantes de lubricante." u="1"/>
        <s v="Verifique su correcto funcionamiento" u="1"/>
        <s v="Medir elongación, retensionar y alinear" u="1"/>
        <s v="Revisar cadena de accionamiento de la rueda libre y piñones, alinear y retensionar" u="1"/>
        <s v="Revisar estado de cilindros y válvulas del sistema de desplazamiento del horno." u="1"/>
        <s v="Verificar correcto estado y funcionamiento de la rueda libre." u="1"/>
        <s v="Verificar estado de mangueras. Ajustar racores." u="1"/>
        <s v="INSPECCIONE ESTADO CILINDROS TENSORES" u="1"/>
        <s v="VERIFIQUE ESTADO DE CADENA IZQUIERDA Y DERECHA" u="1"/>
        <s v="VERIFIQUE SISTEMA ACEITE CILINDROS TENSORES" u="1"/>
        <s v="Realizar cambio de aceite en caso de ser necesario" u="1"/>
        <s v="Verificar estado de aceite actual" u="1"/>
        <s v="Verificar estado y correcto funcionamiento de las fotoceldas" u="1"/>
        <s v="Retensionar y alinear" u="1"/>
        <s v="Retensionar y alinear transmisión por correa" u="1"/>
        <s v="Revisar estado de correas y poleas" u="1"/>
        <s v="Revisar estado de la banda" u="1"/>
        <s v="Verificar estado de los rodillos" u="1"/>
        <s v="Lubricar los rodamientos del reductor" u="1"/>
        <s v="Ajustar tornillos de las manzanas" u="1"/>
        <s v="Retire las tapas del elastómero y verifque estado de cuñas y cuñeros," u="1"/>
        <s v="Verifique estado de las manzanas" u="1"/>
        <s v="Verifique estado del elastormero" u="1"/>
        <s v="Revisar cableado" u="1"/>
        <s v="Revisar estado y correcto funcionamiento del electrocluth" u="1"/>
        <s v="Lubricar dientes de la corona" u="1"/>
        <s v="Ajuste conexiones, repare si es necesario." u="1"/>
        <s v="Verifique el correcto funcionamiento de paradas de emergencia, microswitches y seguridades del equipo." u="1"/>
        <s v="Ajuste conexiones." u="1"/>
        <s v="Cambie filtros y limpie rejillas de ventilación." u="1"/>
        <s v="Ordene el cableado." u="1"/>
        <s v="Verifique el correcto funcionamiento de ventiladores cámara de lámparas U.V." u="1"/>
        <s v="Verifique la existencia de planos eléctricos." u="1"/>
        <s v="Verificar correcto funcionamiento de lámparas U.V." u="1"/>
        <s v="Lubrique la cadena." u="1"/>
        <s v="Lubrique los soportes de los rodillos." u="1"/>
        <s v="Realice limpieza a la transmisión." u="1"/>
        <s v="Revise estado y desgaste de los rodillos." u="1"/>
        <s v="Verifique estado de piñones." u="1"/>
        <s v="Ajuste tornillería de la estructura." u="1"/>
        <s v="Realice limpieza." u="1"/>
        <s v="Revise el estado de la banda." u="1"/>
        <s v="Verifique alineación banda." u="1"/>
        <s v="Verifique estado de rodillos conductores." u="1"/>
        <s v="Verifique la tensión de la banda." u="1"/>
        <s v="Verificar correcto funcionamiento lámpara U.V." u="1"/>
        <s v="Revisar estado de tomas y clavijas" u="1"/>
        <s v="Inspeccione las almohadillas de estabilidad y compruebe holgura." u="1"/>
        <s v="Revise estado y elongación de las cadenas de las cadenas de elevación." u="1"/>
        <s v="Verifique ausencia de dobladuras ó grietas en horquillas." u="1"/>
        <s v="Verifique tensión en resortes de cables y mangueras que van por encima del mástil." u="1"/>
        <s v="Cambie el aceite del depósito hidráulico." u="1"/>
        <s v="Cambie el filtro del sistema hidráulico." u="1"/>
        <s v="Purgue el sistema hidráulico." u="1"/>
        <s v="Garantizar que el micro se encuentre operativo" u="1"/>
        <s v="Realizar limpieza y ajuste de conexiones" u="1"/>
        <s v="Verificar el estado de las guias, confirmar funcionabilidad del rodamiento y ruedas, si se requiere realice el cambio." u="1"/>
        <s v="Verificar guarda de seguridad, confirmar que no se presenten fisuras en el policarbonato. Si es necesario realizar re acondicionamiento para su uso." u="1"/>
        <s v="Revisar estado funcionamiento de los cilindros neumáticos, mangueras, racores." u="1"/>
        <s v="Inspeccion de rodamientos y pasador de brazos de corte, realice lubricación y cambio de los componetes si se encuentran en mal estado." u="1"/>
        <s v="Inspeccion de rodamientos y pasador de brazos de moviento, realice lubricación y cambio de los componetes si se encuentran en mal estado." u="1"/>
        <s v="Realizar inspección y lubricación de los rodamiento del eje principal" u="1"/>
        <s v="Verificar rodamiento seguidor de la leva y realizar lubricación, realice cambio si se requiere" u="1"/>
        <s v="Realizar calibrar el freno si es necesario con una holgura de 0,6mm entre plato y bobina, puede trabajar máximo  1,0mm" u="1"/>
        <s v="Realizar limpieza del freno del motor principal y cada una de sus partes: Resortes, plato de frenado, disco de frenado, bobina." u="1"/>
        <s v="Verificar calibración del freno. Verificar correcto ajuste de los tornillos del freno del motor." u="1"/>
        <s v="Medir aislamiento a la bobina que sea mayor a 1MOhms" u="1"/>
        <s v="Realizar comparación el voltaje de alimentación con el de salida del rectificador (entrada 220, salida 205Vdc. = 195Vdc 3%)" u="1"/>
        <s v="Realizar inspección el rectificador en la caja de borneras, temperatura permisible -25°C a 80°C" u="1"/>
        <s v="Verificar el diámetro del disco de frenado que este entre los valores 12 - 16 mm." u="1"/>
        <s v="Verificar la resistencia de la bobina de accionamiento del freno que este en 420,3 ? ± 8% de error( 386? - 454?)" u="1"/>
        <s v="Ajustar todas las conexiones de la bornera. Cuando aplique, instalar el terminal adecuado a los cables que no lo tengan." u="1"/>
        <s v="Medir y registrar resistencia de aislamiento entre fases (devanados) y entre fase a tierra. Reportar condición a Ingeniero de Mantenimiento en caso de que el valor de ohmiaje sea menor a 100 Mohms." u="1"/>
        <s v="Realizar limpieza general del motor, eliminar suciedad adherida en sistema de ventilación, cables, borneras, etc." u="1"/>
        <s v="Verificar y ajustar todas las conexiones eléctricas del motor. Cuando aplique, instalar el terminales adecuado a los cables que no lo tengan." u="1"/>
        <s v="Medir y registrar la corriente eléctrica de cada fase. Si la corriente electrica de alguna fase es mayor que la corriente nominal de placa, proceder a inspeccionar el motor. Corregir si es posible o reportar condición." u="1"/>
        <s v="Medir y registrar temperatura con pistola (pirómetro) al motor: Cuerpo del motor, acoples, rodamientos frontal, rodamiento posterior y conexión eléctrica. Si hay algún elemento por encima de 60°C o con una temperatura significativamente mayor que la de s" u="1"/>
        <s v="Realizar inspección a los rodamientos de alta temperatura, si se encuentra en mal estado realizar cambio." u="1"/>
        <s v="Realizar inspección a los rodamientos de las guias, si se encuentra en mal estado realizar cambio" u="1"/>
        <s v="Aplique nueva grasa en rieles del mástil principal y minimástil." u="1"/>
        <s v="Realice lubricación general segun puntos del manual." u="1"/>
        <s v="Retire la grasa antigua." u="1"/>
        <s v="Ajuste el conjunto." u="1"/>
        <s v="Cambie aceite de la unidad de impulsión." u="1"/>
        <s v="Verifique el correcto funcionamiento de la unidad." u="1"/>
        <s v="Ajuste tornillería unidad de impulsión." u="1"/>
        <s v="Verifique estado y nivel de juego del eje impulsor." u="1"/>
        <s v="Realizar lubricación a las chumaceras del agitador" u="1"/>
        <s v="Verificar el estado y desgaste de ser necesario realizar cambio" u="1"/>
        <s v="Lubricar cadena con grafito" u="1"/>
        <s v="Revisar que no presente fugas la línea de gas, " u="1"/>
        <s v="Verificar Sensor UV, Que se encuentre funcional bloqueando el flujo de gas sino hay llama" u="1"/>
        <s v="Verificar la chispa de encendido (Bujia)" u="1"/>
        <s v="Verificar la mezcla para combustión Gas - Aire" u="1"/>
        <s v="Verificar termocuplas" u="1"/>
        <s v="Verificar la saturación del filtro del quemador, realizar limpieza con aire a baja presión" u="1"/>
        <s v="Garantizar el correcto funcionamiento" u="1"/>
        <s v="Verificar fugas y estado de empaquetadura, garantizar que deslice libremente" u="1"/>
        <s v="Lubricación" u="1"/>
        <s v="Verificación cuñas y cuñeros" u="1"/>
        <s v="Verificar visualmente el estado del cardan, que no presente fisuras o se encuentre flectado" u="1"/>
        <s v="Compruebe la corrosión" u="1"/>
        <s v="Revisar elementos para ver si hay contaminación." u="1"/>
        <s v="Medir corriente en resistencias y molde de extrusión" u="1"/>
        <s v="Realizar la inspección de la flauta de distribución, garantizar que se encuentre optimo para su función" u="1"/>
        <s v="Realizar limpieza al intercambiador de la cámara de enfriamiento, tarea realizada en conjunto con producción" u="1"/>
        <s v="Verificar correcto funcionamiento de las válvulas neumáticas del sistema neumático" u="1"/>
        <s v="Verificar que no existan fugas de material" u="1"/>
        <s v="" u="1"/>
        <s v="Cambiar las correas principales" u="1"/>
        <s v="Cambiar rodamientos de las ruedas de empuje" u="1"/>
        <s v="Cambiar rodamientos de poleas de la banda de alimentación" u="1"/>
        <s v="Lubricar conjunto de piñones del reductor del sistema de tira sobrante" u="1"/>
        <s v="Lubricar rodamientos lineales ejes guías de la barra de sellado y bujes de bronce eje de transferencia" u="1"/>
        <s v="Revisar estado de guías y bujes de la troqueladora" u="1"/>
        <s v="Realizar mantenimiento de válvulas y reguladores neumáticos de las ventosas." u="1"/>
        <s v="Verificar correcto estado y funcionamiento de sensores inductivos y encoder de posicionamiento del eje de movimiento de las ventosas" u="1"/>
        <s v="Verificar estado de correas y poleas del encoder, alinee, cambie si es necesario." u="1"/>
        <s v="Lubricar rodamientos lineales de desplazamiento del conjunto de las ventosas.  " u="1"/>
        <s v="Verificar correcto funcionamiento de cilindros, válvulas y vibradores neumáticos del sistema neumático general." u="1"/>
        <s v="Y del mecanimos de accionamiento de las uñas de descarga de producto." u="1"/>
        <s v="Verificar correcto funcionamiento de cilindros, válvulas, mangueras y acoples" u="1"/>
        <s v="Verificar estado de correas, poleas y paletas de alimentación del encarrador, retensione y alinee poleas" u="1"/>
        <s v="Verificar estado de correas, poleas y uñas metálicas del tambor del encarrador; retensiones y alinee poleas" u="1"/>
        <s v="Medir corriente de la resistencia del barril(R1) y del adaptador(R2) y registrar datos" u="1"/>
        <s v="Medir voltaje de la resistencia del barril(R1) y del adaptador(R2) y registrar datos" u="1"/>
        <s v="Medir aislamiento de la resistencia del barril (R1) y del adaptador (R2) Y registrar datos" u="1"/>
        <s v="REAPRIETE Ó CAMBIE TORNILLERIA QUE ASEGURA LA RESISTENCIA AL BARRIL" u="1"/>
        <s v="Verificar correcto funcionamiento de los paros de emergencia, microswitches guardas y seguridades del equipo." u="1"/>
        <s v="Realizar limpieza a los intercambiadores de calor" u="1"/>
        <s v="Verificar estado del haz de tubos" u="1"/>
        <s v="MIDA SU POTENCIA, MINIMO 2,5 LB/PIE." u="1"/>
        <s v="VERIFIQUE ESTADO DE IMANES" u="1"/>
        <s v="Ajustar racores" u="1"/>
        <s v="Verficar ausencia de fugas de agua" u="1"/>
        <s v="realice limpieza de filtros de malla." u="1"/>
        <s v="Lubricar los rodamientos del eje portacuchillas.  Verificar estado de los mismos" u="1"/>
        <s v="Verificar afilado y calibración cuchillas." u="1"/>
        <s v="Verificar estado y ajuste eje portacuchillas" u="1"/>
        <s v="Revisar estado y correcto funcionamiento de las válvulas neumáticas, sensores de nivel de las tolvas" u="1"/>
        <s v="Realice cambio de  el sensor de bajo nivel." u="1"/>
        <s v="Realice limpieza exterior." u="1"/>
        <s v="Revise estado de la tolva, sellos y cierres." u="1"/>
        <s v="Verifique estado de cableado." u="1"/>
        <s v="Revisar estado y correcto funcionamiento de cilindros neumáticos de las tolvas" u="1"/>
        <s v="Verificar que no existan fugas de aire" u="1"/>
        <s v="Verificar que no existen fugas de material en tolvas" u="1"/>
        <s v="VERIFICAR AJUSTE DE SOPORTES DE LA TUBERIA" u="1"/>
        <s v="VERIFICAR ESTADO UNIONES Y EMPAQUES, CAMBIAR POR ESTADO" u="1"/>
        <s v="Realice limpieza y lubricación de piñones y cremallera de desplazamiento" u="1"/>
        <s v="Verificar el estado de los cuñeros del eje" u="1"/>
        <s v="Verificar estado de las guias en bronce, realizar cambio si se requiere " u="1"/>
        <s v="Verificar fisuras en el volante de movimiento" u="1"/>
        <s v="Conecte el bloque seco  cerca a la zona a verificar." u="1"/>
        <s v="Diligencie el formato (xxxxx) Verificación controladores de temperatura y si el error esta por fuera de +/- 5°C, cambie el controlador de temperatura y repita los pasos del 7.2 al 7.4 de este procedimiento." u="1"/>
        <s v="Diligencie el formato (xxxxx) Verificación del lazo de control de temperatura zonas de las zonas 1,2 y 3, registrando en el las mediciones indicadas." u="1"/>
        <s v="ERROR MÁXIMO PERMISIBLE: ± 2°C; DIVISIÓN DE ESCALA: 1°C; PRECISIÓN DEL EQUIPO: 1°C; RANGO:215 -  223°C" u="1"/>
        <s v="Si el error esta por fuera del permitido según la tabla anterior, revisé las líneas de conexión desde la termocupla hasta el controlador de temperatura y repita los pasos anteriores." u="1"/>
        <s v="Si el error persiste cambie la termocupla y repita los pasos del 1 al 6 de este procedimiento." u="1"/>
        <s v="Si el error persiste verifique el controlador de temperatura de la siguiente forma: Desconecte la termocupla del controlador de temperatura, conecte el calibrador de procesos  Ref: FLUKE-725; Serie: 7385065 y simule la señal de la termocupla en los valores de milivoltios equivalentes 150°C, 200°C y 250°C." u="1"/>
        <s v="Una vez terminado el mantenimiento correspondiente, deje el equipo y el área donde se realiza el trabajo limpia  de trapos y libre de herramientas, piezas de recambio y partículas que afecten la seguridad del  equipo y del producto." u="1"/>
        <s v="Alinear conjunto motor-bomba" u="1"/>
        <s v="Cambiar sello mecánico o prensaestopa" u="1"/>
        <s v="Verificar desgaste del impeller y carcaza,  cambiar si es necesario" u="1"/>
        <s v="Cambiar elemento del prefiltro, posfiltro y filtro de aire piloto." u="1"/>
        <s v="Verificar estado del disecante a través de la caja del puerto de llenado.  Reemplazar si el disecante esta quebrado." u="1"/>
        <s v="Reemplazar el disecante" u="1"/>
        <s v="Limpiar visor de nivel" u="1"/>
        <s v="CAMBIE EL ACEITE HIDRÁULICO" u="1"/>
        <s v="CAMBIE LOS SILENCIADORES DE LAS VÁLVULAS NEUMATICAS" u="1"/>
        <s v="LIMPIE EL SEPARADOR MAGNETICO DEL TANQUE DE ACEITE" u="1"/>
        <s v="Realizar cambio de grasa OKS4220 del tornillo. Aplique 500 Gr" u="1"/>
        <m u="1"/>
        <s v="Grasa, Todos los motores (si es necesario)" u="1"/>
        <s v="Proceda a desarmar el sistema de control de flujo másico." u="1"/>
        <s v="Tomar medida de consumo de corriente. (Se compara contra valor máximo)" u="1"/>
        <s v="Suelte con la llave 5/8”, el tubo que sale de la válvula reguladora de flujo   de gas butano." u="1"/>
        <s v="Limpieza y verificacion de conexiones y estado del acople del freno del motor" u="1"/>
        <s v="REVISAR CLAVIJA" u="1"/>
        <s v="Haga entrega del horno al supervisor de área, técnico de" u="1"/>
        <s v="Verificar estado de las rótulas y brazos tensores de la cadena." u="1"/>
        <s v="Verificar estado y correcto funcionamiento de termocuplas, transducores, sensores de proximidad y válvulas solenoides." u="1"/>
        <s v="Lubricar guia lineal de rodillos de desplazamiento lateral brazos" u="1"/>
        <s v="Realizar inspección verificando ausencia de fugas por retenedores, tapones y otros." u="1"/>
        <s v="Revisar estado de la banda - retensionar" u="1"/>
        <s v="Verificar que no existen fugas de material" u="1"/>
        <s v="Alineare piñones" u="1"/>
        <s v="REALIZAR LAS ACTIVADADES DE LOS MANTENIMIENTOS DE LAS 2000 HORAS Y 4000 HORAS" u="1"/>
        <s v="1.Fije el juego de platinas a cero y cierre las puertas usando las llaves." u="1"/>
        <s v="Verificar correcto funcionamiento válvulas neumáticas" u="1"/>
        <s v="2.Asegúrese que la platina inferior esté limpia y libre de suciedad donde usted está tomando sus medidas. Para esto se recordable una marca en las cuatro esquinas de la platina de la referencia. Probablemente los ajustes tendrán que hacerse en varias oportunidades." u="1"/>
        <s v="Verificar estado de las mangueras de auga" u="1"/>
        <s v="Realizar lubricacion chumaceras o rodamientos" u="1"/>
        <s v="Cambiar filtro del refrigerante (consultar procedimiento en manual de servicio)" u="1"/>
        <s v="Sustitución de tuberías deterioradas" u="1"/>
        <s v="Lubricar válvulas neumáticas con vaselina" u="1"/>
        <s v="Revisión y limpieza de válvulas flotador" u="1"/>
        <s v="Cambiar rejillas laterales averiadas" u="1"/>
        <s v="Verificar que no exista paso de aceite (limpiar linea de barrido)" u="1"/>
        <s v="Cambio de rodamientos ventilador del variador de velocidad" u="1"/>
        <s v="Realizar prueba de aceite de acuerdo a test KIT SSR Ultra coolant" u="1"/>
        <s v="4.Aprete todos los casquillos de las platina y asegure que las medidas no han cambiado" u="1"/>
        <s v="Una vez terminado el trabajo correspondiente al equipo, deje la maquina y el área donde se realiza el trabajo limpia de trapos, herramientas y piezas de recambio como: tornillos empaques, destornilladores y otros  que afecten la seguridad del equipo." u="1"/>
        <s v="Limpiar filtros de aire" u="1"/>
        <s v="Inspeccione, Pantalla de purga para bloqueo" u="1"/>
        <s v="SI EL ELEMENTO PRESENTA DAÑO CAMBIE." u="1"/>
        <s v="Revisar estado de cadenas y piñones" u="1"/>
        <s v="Verificar Módulo Electronikon (prueba por display)" u="1"/>
        <s v="Revisar estado y correcto funcionamiento del NDC" u="1"/>
        <s v="Lubricar husillo roscado para el desplazamiento lateral de los brazos de desembobinador" u="1"/>
        <s v="Verificar esatdo de mangueras, tuberías, ajustar racores." u="1"/>
        <s v="Realizar prueba de aceite de acuerdo al test Kit SSR Ultracoolant" u="1"/>
        <s v="Verificar el funcionamiento de la trampa de condensado" u="1"/>
        <s v="LUBRICAR MECANISMO DE LA CADENA" u="1"/>
        <s v="CON EL BLOQUE SECO SUMINISTRE LA TEMPERATURA AL BULBO PARA LOGRAR APERTURA DEL CONTACTO SECO DEL THERMOSTATO" u="1"/>
        <s v="Las herramientas especiales requeridas son:: Dos Borde recto de 6&quot;, micrómetro, Llave Allen 3/8”, Llave del Fin Abierto 1-1/8." u="1"/>
        <s v="Una vez revisados los eliminadores de estática repita nuevamente la medición y confirme que el valor emitido es igual o inferior a 5 kv" u="1"/>
        <s v="inspección empaques y retenedores que no esten en mal estado y no presenten fugas" u="1"/>
        <s v="Revisar vulcanizado de los rodillos y limpieza de los componetes que tengan contacto con la lamina" u="1"/>
        <s v="Verifique que no queden fugas de gas butano en la tubería." u="1"/>
        <s v="Realizar limpieza general al equipo" u="1"/>
        <s v="Verificar estado y correcto funcionamieno del cilindro neumático, verificar ausencia de fugas." u="1"/>
        <s v="Verificar estado y correcto funcionamiento de las válvulas neumáticas, sensores de nivel, válvula de vaciado de la bandeja de pesaje." u="1"/>
        <s v="Conecte la coraza al sensor de flujo másico." u="1"/>
        <s v="RETIRAR THERMOSTATO PARA BANCO DE PRUEBAS" u="1"/>
        <s v="Drene el gas butano de la tubería atraves de la válvula de purga, ubicada en el tablero de las bombas LEWA" u="1"/>
        <s v="Realizar calibración al instrumento" u="1"/>
        <s v="Repita el punto 16 hasta que haya presión en el orificio de salida del sensor de flujo másico." u="1"/>
        <s v="ENGRASAR LAS CONEXIONES EN LAS CAJAS DE COJINETES Y EN CONEXIONES" u="1"/>
        <s v="Cambiar elemento separador" u="1"/>
        <s v="Servicio, Kit de servicio de válvula de admisión" u="1"/>
        <s v="Limpiar y lubricar cadena" u="1"/>
        <s v="VERIFICAR ESTADO DE LAS BANDAS" u="1"/>
        <s v="Lubricar rodamientos del molde superior e inferior, brazos, stripper, y puntos de engrase del equipo." u="1"/>
        <s v="Verificar estado de empaques, cambie si es necesario" u="1"/>
        <s v="Cambiar aceite del compresor" u="1"/>
        <s v="TEMPERATURA DE DISPARO 160°C" u="1"/>
        <s v="REALICE CAMBIO DE CORREA MOTRIZ" u="1"/>
        <s v="Verificar estado de poleas y correas. Retensionar y alinear." u="1"/>
        <s v="Verificar estado del colector" u="1"/>
        <s v="Conecte los cables del sensor de flujo másico." u="1"/>
        <s v="3.Usando una llave de 1-1/8”, ajuste la vara (F814) hasta que encuentre la “mancha dulce”, donde los movimientos son más fáciles." u="1"/>
        <s v="Verificar estado de poleas y correas" u="1"/>
        <s v="Cambiar los filtros de aceite" u="1"/>
        <s v="Verificar internamente los contactores (principales, auxiliares y bobina)" u="1"/>
        <s v="Revisar y probar válvula de alivio según procedimiento descrito en el manual de servicio." u="1"/>
        <s v="Lubricar guia lineal rodillos para la oscilación de la cabeza de exploración" u="1"/>
        <s v="Verificar que la presión de los cilindros tensores de la cadena esté por debajo de 30 PSI, corregir fugas." u="1"/>
        <s v="Verificar ausencia de fugas, en válvulas, manguera y racores" u="1"/>
        <s v="Limpiar equipo" u="1"/>
        <s v="Realizar reglaje de correas" u="1"/>
        <s v="Tomar lectura del amperaje de resistencias, registrar datos." u="1"/>
        <s v="Revisar estado de correa de transmisión de rodillos ó finales del conveyor. (si cuenta con este sistema)" u="1"/>
        <s v="Cambiar las mangueras que se encuentren deterioradas" u="1"/>
        <s v="Desconecte la termocupla del controlador de temperatura, conecte el calibrador de procesos  Ref: FLUKE-725; Serie: 7385065 y simule la señal de la termocupla en los valores de milivoltios equivalentes 150°C, 200°C y 250°C." u="1"/>
        <s v="Verificar el nivel de aceite" u="1"/>
        <s v=".-Inspeccion visual y reajuste de bornes electrodos" u="1"/>
        <s v="REGISTRE DATOS EN FORMATO FISICO" u="1"/>
        <s v="Retirar excesos de lubricante" u="1"/>
        <s v="Servicio, Kit de servicio de la válvula de control de presión mínima (MPCV)" u="1"/>
        <s v="Suelte con la llave 5/8”, el tubo que entra en el sensor de flujo másico." u="1"/>
        <s v="6.Una vez cuadrado, torque las barras a 270 ft/lbs no con mas de 0.005” de desviación frontal y trasera entre la barra y la capa de la barra." u="1"/>
        <s v="Tomar medida de aislamiento. (Se compara contra valor mínimo)" u="1"/>
        <s v="Lubrique cadena." u="1"/>
        <s v="Cambiar sello mécanico o prensaestopas" u="1"/>
        <s v="EN CASO DE NO TENER EL DOCUMENTO ANEXO UTILICE EL MANUAL DE LA MAQUINA." u="1"/>
        <s v="VERIFIQUE LONGITUD ESCOBILLAS Y CAMBIE SI ESTA POR DEBAJO DE 3mm" u="1"/>
        <s v="Confirme que el medidor de carga electroestática este encendido, acérquelo a una distancia de una pulgada al punto a verificar y  Mida la carga electroestática en kv." u="1"/>
        <s v="Tomar medida de corriente de armadura" u="1"/>
        <s v="INSPECCION TERMOCUPLA" u="1"/>
        <s v="Verificar correcto funcionamiento de válvulas neumáticas, ajustar conexiones" u="1"/>
        <s v="Torquear tornillería" u="1"/>
        <s v="Verificar estado y correcto funcionamiento de la bomba" u="1"/>
        <s v="Sustituir, Mangueras de caucho" u="1"/>
        <s v="Entregue nuevamente el Medidor de carga electroestática al departamento de mantenimiento" u="1"/>
        <s v="REGISTRELAS MEDICIONES EN FORMATO FISICO" u="1"/>
        <s v="Limpiar y lubricar cadena." u="1"/>
        <s v="realizar limpieza del tubo de refrigeración." u="1"/>
        <s v="6.Retire la seguridad de las puertas y corra la platina superior e inferior aunque a mano asegure que no ningún hecho ligado.." u="1"/>
        <s v="Diligencie los datos solicitados y valores emitidos en el formato FAJIM02M09-1  inspección de carga electroestática área de extrusión espuma." u="1"/>
        <s v="Verificar estado de mangueras, cilindros y válvuas neumáticas. Ajustar racores." u="1"/>
        <s v="Ajustar las conexiones" u="1"/>
        <s v="VERIFIQUE QUE AL RESETEAR EL THERMOSTATO CIERRE EL CONTACTO NUEVAMENTE." u="1"/>
        <s v="Verificar estado de visores de flujo" u="1"/>
        <s v="Verificar ajuste de alojamientos" u="1"/>
        <s v="Revisar y limpiar separador de húmedad" u="1"/>
        <s v="Lubricar guias chumaceras" u="1"/>
        <s v="Verificar estado de mangueras o tubería y racores" u="1"/>
        <s v="Inspeccione, Elemento de filtro del módulo de conducción de la caja de arranque (PDM)" u="1"/>
        <s v="SOLICITE EL FORMATO ANEXO AL PROCEDIMIENTO PARA EL DIAGNOSTICO Y CALIBRACION DE VOLTAJES DE SALIDA EN MAQUINAS IRWIN 28" u="1"/>
        <s v="Corregir fugas de vacío y de agua" u="1"/>
        <s v="Asegúrese de tener el plano  eléctrico con el fin de  ubicar la Termocupla   y el controlador o indicador de temperatura de la zona a verificar." u="1"/>
        <s v="Verificar que no existan fugas de polímero" u="1"/>
        <s v="Revisar el estado del filtro de aceite y de combustible" u="1"/>
        <s v="Limpieza y reajuste de bornes gabinete de control Generador Corona" u="1"/>
        <s v="INSPECCIONE Y AJUSTE TORNILLERIA" u="1"/>
        <s v="Cambiar el kit de filtros" u="1"/>
        <s v="Medir voltaje y amperaje de las resistencias de calentamiento de la placa." u="1"/>
        <s v="Inpseccion de aisladores" u="1"/>
        <s v="Verificar estado y correcto funcionamiento de fotoceldas y sensores inductivos (posición cuchilla)" u="1"/>
        <s v="Inspeccion , limpieza blower salida de ozono" u="1"/>
        <s v="Cambiar aceite lubricante" u="1"/>
        <s v="Torquear tornillos y tuercas de fijación" u="1"/>
        <s v="Lubricar rodamentos del molino" u="1"/>
        <s v="Si el error esta por fuera del permitido según la tabla anterior, revisé las líneas de conexión desde la termocupla hasta el controlador de temperatura y repita los pasos del 7.2 al 7.4 de este procedimiento." u="1"/>
        <s v="Verificar elongación de la cadena" u="1"/>
        <s v="Revisar estado y correcto funcionamiento de las válvulas neumáticas, termocuplas y termostatos de protección de la placa." u="1"/>
        <s v="Mantenimiento general de la válvula cheque" u="1"/>
        <s v="Revisar estado y correcto funcionamiento de los micros y guayas de seguridad " u="1"/>
        <s v="Lubricar rodamientos lineales" u="1"/>
        <s v="Abra las llaves de entrada de gas butano." u="1"/>
        <s v="Tomar medida temperatura" u="1"/>
        <s v="Lubricar puntos de apoyo del rodillo de estirado " u="1"/>
        <s v="INFORME AL SUPERVISOR DE LA ACTIVIDAD A REALIZAR PARA SU RESPECTIVO SEGUIMIENTO Y CONTROL." u="1"/>
        <s v="Revisar estado y correcto funcionamiento de las termocuplas" u="1"/>
        <s v="Medir la elongación de la cadena." u="1"/>
        <s v="Verificar ausencia de fugas en juntas rotativas" u="1"/>
        <s v="Lubricar cadenas y piñones" u="1"/>
        <s v="Inspeccione, Elemento de filtro del refrigerante" u="1"/>
        <s v="Verificar que la temperatura se encuentre en 375 a 400ºF" u="1"/>
        <s v="Realizar limpieza al tanque" u="1"/>
        <s v="LUBRICAR DISCOS DE LEVA, APLIQUE CON PINCEL SOBRE LA SUPERFICIE DE RODADURA" u="1"/>
        <s v="Inspeccion visual  aislamiento y meggeo cable de alta tensión del electrodo" u="1"/>
        <s v="Verificar estado de los rodillos de caucho" u="1"/>
        <s v="5.Si el final de la vara no esta alineado, entonces en necesaria la vara que atraviesa el eje. Suelte los cuatro casquillos del cerrojo en la barra y muévala." u="1"/>
        <s v="VERIFIQUE NIVEL DE ACEITE DE LA CAJA DE ENGRANAJES DE LEVAS Y LOS RIELES DE LA CADENA" u="1"/>
        <s v="Haga pasar atraves de los orificios del sensor, aire a presión, hasta verificar que el sensor quede seco." u="1"/>
        <s v="Verificar correcto funcionamiento de los cilindros neumáticos" u="1"/>
        <s v="Coordine con su jefe inmediato la parada de máquina para realizar la respectiva revisión de los eliminadores de estática asociados al punto de medición que presenta el valor anormal" u="1"/>
        <s v="Verificar estado y correcto funcionamiento de las válvulas solenoides, de alivio, switches de presión e higrómetro." u="1"/>
        <s v="Realizar rutina de manteniimento trimestral a las válvulas de cierre de la red contraincendio según fomato." u="1"/>
        <s v="Verificar estado de los manometros" u="1"/>
        <s v="REALIZAR LUBRICACION A LAS CHUMACERAS DEL EJE  DE TRANSMICION" u="1"/>
        <s v="Sustituir, Refrigerante superior de vida prolongada (ULTRA EL) [cada 16 000 horas o cada _x0018_ años" u="1"/>
        <s v="UTILIZANDO UN COMPARADOR DE CARATULA Y BASE MAGNETICA PROCEDA TOMAR LA MEDID DE LOS 4 VERTICES DE LA PLACA, SI ES SUPERIOR A 0,08mm PROCEDA A DAR EL AJUSTE MOVIENDO LOS BUJES DE BRONCE QUE SE ENCUENTRAN UBICADOS EN EL VERTICE  SUPERIOR DE LA PLACA." u="1"/>
        <s v="Verificar desgaste del impeller y carcaza, cambiar si es necesario" u="1"/>
        <s v="Sustituir, Refrigerante superior (ULTRA) / Lubricante de grado de alimentos (ULTRA FG) [cada 8 000 horas o cada 2 años]" u="1"/>
        <s v="Revisar correcto funcionamiento de la unidad de mantenimiento" u="1"/>
        <s v="Verificar correcto funcionamiento, ajustar conexiones" u="1"/>
        <s v="Realizar inspeccion termografica rapida a la bomba Si hay algun elemento por encima de 60°C o con una temperatura significativamente mayor que la de sus elementos adyacentes, proceder a inspeccionar el motor Corregir si es posible o reportar condición (L" u="1"/>
        <s v="Mantenimiento genral de la válvula de mínima presión" u="1"/>
        <s v="Cambio de relleno en torre de enfriamiento" u="1"/>
        <s v="Haga entrega formal de la maquina al supervisor de área o en su defecto al operario líder de producción" u="1"/>
        <s v="Revisar estado de las guayas y terminales del mecanismo de apertura/cierre" u="1"/>
        <s v="Una vez la platina inferior ha sido debidamente alineada, proceda a la platina superior. Haciendo esto, desatienda el uso del nivel y use la superficie de la platina inferior para tomar las medidas._x000d__x000a_1.Suelte todos los casquillos en el lado de la platina donde la vara lateral acaba y ajuste cuando este cerca a la altura cerrada deseada. Nota: Cuando los casquillos son re-apretados, a menudo la altura cambia. Se recomienda acomodar los casquillos si exige girar las trampas, mientras se hacen los ajustes. Haciendo esto, la desviación en la altura es mínima." u="1"/>
        <s v="RETIRE LAS GUARDAS Y VERIFIQUE QUE LOS PUNTOS DE ENGRACE ESTEN COMPLETOS Y EN FUNCIONAMIENTO" u="1"/>
        <s v="Retensionar transmisión" u="1"/>
        <s v="Revisar estado y correcto funcionamiento del interruptor del pedal" u="1"/>
        <s v="1.Ponga las platinas en  Cero mecánico, Ver Figura 3. Siempre use las placas cerradas cuando trabaje en las Platinas." u="1"/>
        <s v="Revisar estructura de soporte del motor y su malla" u="1"/>
        <s v="Verificar estado de los filtros ubicados en la parte superior del silo." u="1"/>
        <s v="Corregir fugas y ajustar racores" u="1"/>
        <s v="Alinear piñones, retensionar transmisión" u="1"/>
        <s v="Retirar excesos de lubricarnte" u="1"/>
        <s v="REALIZAR LAS ACTIVIDADES DE LOS MANTENIMIENTOS DE 2000 Y 4000 HORAS" u="1"/>
        <s v="Revisar estado del filtro" u="1"/>
        <s v="Suelte con la llave 5/8”, el tubo que sale del sensor de flujo másico." u="1"/>
        <s v="Verifique que no halla presión en el sistema de tubería del gas butano" u="1"/>
        <s v="Realizar alineación de la transmisión" u="1"/>
        <s v="Comprobación sujeción del motor" u="1"/>
        <s v="Verificar si se accionan las protecciones eléctricas" u="1"/>
        <s v="6.Aprete todos los casquillos de las platina y asegure que las medidas no han cambiado." u="1"/>
        <s v="Retirar exceso de lubricante" u="1"/>
        <s v="INSPECCION DE CONECTOR Y CABLE" u="1"/>
        <s v="Verificar estado de los manómetros" u="1"/>
        <s v="Verificar presión del separador de aceite" u="1"/>
        <s v="Completar nivel de unidad de mantenimiento" u="1"/>
        <s v="Suelte los adaptadores de entrada y salida del gas del sensor de flujo másico utilizando la llave 3/4”." u="1"/>
        <s v="Retensionar y alinear piñones" u="1"/>
        <s v="Calibrar lazo de flujo a los dosificadore de pigmento y sistema de alimentación en general" u="1"/>
        <s v="Limpiar con aire seco el arrancador del compresor" u="1"/>
        <s v="Verificar correcto funcionamiento de la válvula de drenaje automático del prefiltro. Aliviar presión y remover fluidos." u="1"/>
        <s v="Verificar presión de salida del blower y verificar contra curva de especificaciones." u="1"/>
        <s v="Verificar estado y correcto funcionamiento de la válvula de flujo del blower. Ajustar de acuerdo al manual del fabricante." u="1"/>
        <s v="Si presenta fugas de emisiones tome una muestra con un algodon envuelto en un palillo de madera para ser enviado a INGEOMINAS" u="1"/>
        <s v="Solicite al departamento de mantenimiento el formato FAJIM02M09-1  Inspección de carga electroestática área de extrusión espuma" u="1"/>
        <s v="CAMBIE TRONILLERIA DE LOS BRAZOS" u="1"/>
        <s v="Revisar estado y tensión de la banda. Retensionar y alinear si es necesario." u="1"/>
        <s v="Realice el montaje del sensor nuevamente." u="1"/>
        <s v="3.Suelte todos los casquillos o bielas  en el lado de la platina donde trabajara mida y ajuste la platina a dónde estará cerca a la altura cerrada deseada. Nota: Cuando los casquillos son re-apretados, a menudo la altura cambia. Se recomienda acomodar los casquillos si exige girar las trampas, mientras se hacen los ajustes. Haciendo esto, la desviación en la altura es mínima" u="1"/>
        <s v="REALIZAR LUBRICACION AL SISTEMA DE GUIAS PORTA HERRAMIENTA" u="1"/>
        <s v="Sustituir, Puntas de contacto" u="1"/>
        <s v="Limpieza de la torre" u="1"/>
        <s v="Revisar estado y correcto funcionamiento del switch de alta temperatura." u="1"/>
        <s v="LOS BUJES PRESENTAN CON UN SISTEMA DE CALIBRACION QUE ESTA CONFORMADO POR UNAS PERFORACIONES DEBIDAMENTE CALIBRADAS CUYA FUNCION ES DAR UN DESPLAZAMIENTO FIJO DE +/-0.1mm DEPENDIENDO EL SENTIDO DE GIRO QUE SE DE, LA COMBINACIÓN DEL MOVIMIENTO ENTRE LOS 4 PUNTOS ES LO QUE PERMITE POSICIONAR DE FORMA PARALELA LA PLACA DE MONTAJE DE LAS CUCHILLAS  DEL TROQUEL VS LA PLACA SUFRIDERA" u="1"/>
        <s v="Revisar estado y limpiar filtros del sistema de ventilación" u="1"/>
        <s v="Revisar y limpiar radiador de refrigeración (coller core)" u="1"/>
        <s v="Revisar estado y correcto funcionamiento del presóstato" u="1"/>
        <s v="Verificar correcto funcionamiento del sistema de lubricación" u="1"/>
        <s v="Verificar la usencia de fugas de emisiones en la parte posterior y lateral del contenedor del sensor." u="1"/>
        <s v="Limpieza de las tuberías" u="1"/>
        <s v="Verificar estado de cuñeras y cuñas" u="1"/>
        <s v="Verificar que no exIstan fugas en el sistema de exhosto, inspeccionar y apretar tornillos y tuercas del manifold" u="1"/>
        <s v="Retire los residuos plásticos de los soportes de los rodillos." u="1"/>
        <s v="Verificar estado de cadena y piñones" u="1"/>
        <s v="Repita con frecuencia el paso anterior, hasta comprobar que no queden residuos de líquido desincrustante dentro del sensor de flujo másico." u="1"/>
        <s v="Lubricar guías y correderas de la guillotina" u="1"/>
        <s v="Limpiar el filtro de aire" u="1"/>
        <s v="Verificar correcto funcionamiento de la resistencia, ajustar teminales y fijación" u="1"/>
        <s v="Verificar estado, desgaste de guías antifricción, ajustar." u="1"/>
        <s v="INSPECCIONE ESTADO DE EJES Y RODAMIENTOS" u="1"/>
        <s v="5.Repita el proceso de medición si es necesario." u="1"/>
        <s v="Revisar estado de mangueras. Ajustar racores" u="1"/>
        <s v="Mantenimiento general de la válvula de admisión" u="1"/>
        <s v="INSPECCIONE ESTADO DEL ACOPLE, MANZANAS Y ELASTOMERO." u="1"/>
        <s v="Tomar medida de la longitud de las escobillas" u="1"/>
        <s v="Análisis, Cojinete de pulso de choque" u="1"/>
        <s v="Por favor note: La referencia para la alineación de la barra traviesa sólo como se ve en la figura 5. Los tamaños de los casquillos nos son válidos para tamaños grandes." u="1"/>
        <s v="Des energice el equipo y cierre las válvulas de entrada de gas butano a las bombas LEWA" u="1"/>
        <s v="Coloque los adaptadores al sensor de flujo másico, asegurando el ajuste con la llave 3/4” y 11/16”." u="1"/>
        <s v="Retensionar transmisión, alinear piñones" u="1"/>
        <s v="Verificar estado de las correas del reductor de la banda de descarga, del mecanismo de movimiento de las cuchillas" u="1"/>
        <s v="7.Repita el proceso de medición si es necesario." u="1"/>
        <s v="Limpiar mangueras, ajustar racores, correjir fugas del sistema de lubricación" u="1"/>
        <s v="Verificar y revisar el sistema de regulación" u="1"/>
        <s v="Verificar que el nivel de aceite en el tanque lubricador esté por encima de 1/4&quot; de altura" u="1"/>
        <s v="Realizar limpieza del enfriador de aceite y del radiador" u="1"/>
        <s v="REPETIR LAS ACTIVIDADES DEL MANTENIMIENTO DE LAS 2000 HORAS." u="1"/>
        <s v="CIERRE LAS PLACAS HASTA HECER CONTACTO CON EL DISPOSITIVO." u="1"/>
        <s v="Sustituir,  Elemento de filtro del refrigerante" u="1"/>
        <s v="3.Usando el micrómetro, tome las medidas dentro del nivel y la marca de referencia en la parte inferior de la platina. Repita este proceso para las cuatro esquinas hasta que las lecturas sean 0.002” o menos con la referencia a cada esquina. Ver figura 4." u="1"/>
        <s v="Verifique estado del cableado" u="1"/>
        <s v="Realizar limpieza con un paño suave retirando la totalidad de producto acumalado." u="1"/>
        <s v="Cambiar filtros" u="1"/>
        <s v="Mantenimiento general de la válvula termostática" u="1"/>
        <s v="DESMONTAR Y LIMPIAR EL FILTRO DE AIRE DE SOPLADO EL CARTUCHO DE ADENTRO HACIA AFUERA ( VER IT 148)" u="1"/>
        <s v="Cambiar baterias" u="1"/>
        <s v="INSPECCIONE ESTADO DE RODAMIENTOS DE LOS BRAZOS" u="1"/>
        <s v="realizar limpieza interna y externa del hornocon hielo seco" u="1"/>
        <s v="Verificar presión de descarga, vibración y ruido" u="1"/>
        <s v="Remueva la termocupla de la zona y colóquela en el alojamiento del bloque seco." u="1"/>
        <s v="Inspeccionar / Limpia, Sistema de refrigeración de aire" u="1"/>
        <s v="Verificar cantidad inhibidores, adicionar si es necesario" u="1"/>
        <s v="Realizar verificación al instrumento" u="1"/>
        <s v="5.Usando el micrómetro, tome las medidas dentro del nivel y la marca de referencia en la parte inferior de la platina. Repita este proceso para las cuatro esquinas hasta que las lecturas sean 0.002” o menos con la referencia a cada esquina. Ver figura 2." u="1"/>
        <s v="VACIAR,EL CARTER DE ACEITE Y LIMPIAR EL FILTRO DE ACEITE" u="1"/>
        <s v="LIMPIE LA SUPERFICIE E INSTALE EL DISPOSITIVO PARA BLOQUEAR LAS PLACAS." u="1"/>
        <s v="Verificar alineación motor, acople y reductor." u="1"/>
        <s v="Registrar las medidas de voltaje y corriente respectivas" u="1"/>
        <s v="Desmontar el variador de velocidad para la limpieza de los componentes y las tarjetas" u="1"/>
        <s v="Lubricar puntos de engrase" u="1"/>
        <s v="Verificar correcto funcionamiento de todos los instrumentos del panel de control" u="1"/>
        <s v="Verificar funcionamiento válvulas de eyección" u="1"/>
        <s v="Cambiar el separador de aceite" u="1"/>
        <s v="Verificar estado de correas y poleas. Retensionar y alinear" u="1"/>
        <s v="INSPECCION DE SENSORES" u="1"/>
        <s v="Cambiar filtro del módulo del drive de alimentación" u="1"/>
        <s v="Verificar estado de mangueras y racores, actuadores neumáticos" u="1"/>
        <s v="Verificar las conexiones eléctricas" u="1"/>
        <s v="VERIFICAR FUNCIONAMIENTO DE LAS VÁLVULAS DE SEGURIDAD" u="1"/>
        <s v="Realizar inspección cuña y cuñero dej eje transmisión reductor, si presenta desgaste informar al supervisor de mtto para programar el cambio." u="1"/>
        <s v="Revisar estado de bandas, cordones y poleas" u="1"/>
        <s v="Con un destornillador, afloje la tapa posterior de las conexiones eléctricas." u="1"/>
        <s v="Revisar estado del acople falk, ajustar tornillos" u="1"/>
        <s v="Sustituir, Prefiltros de entrada de aire y paquete para bloqueo" u="1"/>
        <s v="Limpieza del separador de gotas" u="1"/>
        <s v="Lubricar rodamientos de los rodillos. Verificar estado del rodamiento. Cambiar si es necesario." u="1"/>
        <s v="Revisar estado de cadenas y piñones. Retensionar y alinear" u="1"/>
        <s v="Limpieza de tubo distribuidor" u="1"/>
        <s v="VERIFICAR LIMPIEZA DE LAS VÁLVULAS" u="1"/>
        <s v="Mantenimiento general de la válvula de paro de aceite" u="1"/>
        <s v="REALICE LAS ACTIVIDADES DEL MANTENIMIENTO DE LAS 2000 HORAS" u="1"/>
        <s v="Inspección estética de la torre" u="1"/>
        <s v="Revisión de sistema de marcacion" u="1"/>
        <s v="Alineación de las bandas" u="1"/>
        <s v="VERIFIQUE EN LA PARTE INFERIOR DE LA PLACA EL CONJUNTO ARANDELAS Y TUERCAS DE FIJACIÓN QUE TIENEN COMO FUNCIÓN HACER EL AJUSTE DE PARA LELISMO ENTRE LA  PLACA BASE Y LA PLACA DE MONTAJE DE LAS CUCHILLAS, LA TOLERANCIA ACEPTABLE ES DE 0,2mm" u="1"/>
        <s v="Verificar estado y correcto funcionamiento de los eliminadores de estática" u="1"/>
        <s v="Revisar estado rotulas, guias y varillaje del servopick y canopy. Ajustar o cambiar si es necesario." u="1"/>
        <s v="Verificar los recubrimientos térmicos y las espumas de isonorización" u="1"/>
        <s v="Verificar funcionamiento válvulas de vacío" u="1"/>
        <s v="Medir presión de descarga  y registrar datos" u="1"/>
        <s v="Revisar estado y correcto funcionamiento del cilindro y válvulas neumáticas." u="1"/>
        <s v="Lubricar rodamientos de la bomba" u="1"/>
        <s v="Informe al supervisor de área o al técnico de producción o en su defecto al operario líder el trabajo a realizar" u="1"/>
        <s v="MIDA OHMIAJE DE LAS RESISTENCIAS" u="1"/>
        <s v="Si el error persiste cambie la termocupla y repita los pasos del 7.2 al 7.4 de este procedimiento." u="1"/>
        <s v="Alinear nuevamente las poleas &amp; y rectificar la tensión de la correa." u="1"/>
        <s v="Garantizar que no existan fugas en el motor, realizar cambio de kit de reparación si se requiere" u="1"/>
        <s v="Verificar correcta operación del calentador" u="1"/>
        <s v="DESMONTAR Y REVISAR TODAS LAS VÁLVULAS (INSTALAR NUEVAS JUNTAS) Y REEMPLAZAR POR VÁLVULAS NUEVAS O REPARADAS" u="1"/>
        <s v="Realizar inspeccion termografica rapida al motor Si hay algun elemento por encima de 60°C o con una temperatura significativamente mayor que la de sus elementos adyacentes, proceder a inspeccionar el motor Corregir si es posible o reportar condición (Local)" u="1"/>
        <s v="Sustituir, Elemento de filtro de aire" u="1"/>
        <s v="Revisar rodamientos rodillos tensores" u="1"/>
        <s v="Verificar correcto funcionamiento y ausencia de fugas en cilindros hidráulicos" u="1"/>
        <s v="Revisar y limpiar linea de barrido (scavenge screen).  Manual del compresor" u="1"/>
        <s v="Revisar y ajustar acople" u="1"/>
        <s v="Verificar el estado de las resistencias y termocupla en la placa del molde, según formato Realizar cambio si se requiere" u="1"/>
        <s v="Tomar lectura de voltaje y amperaje de las resistencias de secado" u="1"/>
        <s v="Verificaar estado de la banda de arrastre" u="1"/>
        <s v="Verificar que el diferencial de presión de los filtros este por debajo de 8 PSI" u="1"/>
        <s v="Verificar estado y funcionamiento de los microswitches, guardas y seguridades de la selladora" u="1"/>
        <s v="Ajustar fijación y realizar limpieza" u="1"/>
        <s v="Ajuste fijación" u="1"/>
        <s v="Limpieza del relleno" u="1"/>
        <s v="REPASO DE PUNTOS DE SOLDADURA" u="1"/>
        <s v="Conecte la tubería de entrada y salida del sensor de flujo másico." u="1"/>
        <s v="Llene la jeringa con líquido desincrustante e inyéctelo por el orificio de salida del sensor de flujo másico y déjelo reposar 20 minutos." u="1"/>
        <s v="Verificar correcto funcionamiento de los eliminadores de estática" u="1"/>
        <s v="Lubricar guia lineal de rodillos de desplazamiento lateral" u="1"/>
        <s v="Limpiar intercambiador de refrigeración del aceite" u="1"/>
        <s v="Ajustra conexiones" u="1"/>
        <s v="Lavar internamente el aftercooler" u="1"/>
        <s v="Verificar estado de las mangueras hidráulicas, ajustar racores." u="1"/>
        <s v="Inspeccione, Elemento de filtro de aire" u="1"/>
        <s v="Revisar columnas y tuercas de anclaje, si presenta fisuras informar al jefe de área para realizar cambio." u="1"/>
        <s v="REALIZAR LAS ACTIVIDADES DEL MANTENIMIENTO DE 2000 HORAS" u="1"/>
        <s v="Revisar estado y funcionamiento de los cilindros y actuadores hidráulicos" u="1"/>
        <s v="REAJUSTE DE BORNES" u="1"/>
        <s v="NORMALICE EL SISTEMA" u="1"/>
        <s v="Sustituir, Elemento de filtro del módulo de conducción de la caja de arranque (PDM)" u="1"/>
        <s v="Verificar correcto estado y funcionamiento del sensor de detección de lámina" u="1"/>
        <s v="REALIZAR LIMPIEZA A LOS FILTROS" u="1"/>
        <s v="INSPECCION Y/O CAMBIO DE CABLES RIBBON" u="1"/>
        <s v="Verificar correcto funcionamiento de los pulsadores, ajustar conexiones" u="1"/>
        <s v="Luego, traslade nuevamente el sensor de flujo másico al cuarto de las bombas lewa." u="1"/>
        <s v="Verificar estado de las correas de empuje" u="1"/>
        <s v="Adicionar si es necesario" u="1"/>
        <s v="Realice limpieza de la cadena" u="1"/>
        <s v="Revisar el estado del aislamiento del sistema exhosto." u="1"/>
        <s v="Verificar estado de bujes y columnas. Revisar retenedores" u="1"/>
        <s v="Suelte la coraza de conexiones con una llave para tubo # 8." u="1"/>
        <s v="Revisar estado de la guaya de ajuste de las ruedas de alimentación" u="1"/>
        <s v="REALIZAR LIMPIEZA DEL SENSOR  CON UN PAÑO SUAVE PARA EVITAR ACUMULACION DE PRODUCTO" u="1"/>
        <s v="Revisar estado de pintura Infirmar si se encuentra en mal estado para corregir" u="1"/>
        <s v="Verificar correcto estado y funcionamiento de la bomba melt" u="1"/>
        <s v="CONTROLAR LOS TAPONES DE DESEMPAÑADO" u="1"/>
        <s v="Prenda las bombas LEWA." u="1"/>
        <s v="Verificar estado de piñones" u="1"/>
        <s v="Revisar y ajustar ángulo de ataque de las aspas del ventilador" u="1"/>
        <s v="Realizar rutina de mantenimiento semestral a los riser de la red contra incendio, según formato." u="1"/>
        <s v="Verificar visualmente el sistema de transmisión de potencia (Acople, Correas, Directo)" u="1"/>
        <s v="Revisar y limpiar linea de barrrido (scavenge screen)" u="1"/>
        <s v="Limpiar, Drenajes con todos sus componentes (SOLO DRENAJES PROGRAMADOS)" u="1"/>
        <s v="Cambiar el kit de intercambiadore" u="1"/>
        <s v="7.Instale las herramientas." u="1"/>
        <s v="Lubricar acople" u="1"/>
        <s v="Verificar funcionamiento del sistema neumático" u="1"/>
        <s v="RETIRE EL TROQUEL DE LAS PLACAS" u="1"/>
        <s v="LIMPIAR EL CIRCUITO DE AGUA (INSTALR JUNTAS NUEVAS)" u="1"/>
        <s v="VERIFICAR FUNCIONAMIENTO DEL SENSOR DE NIVEL" u="1"/>
        <s v="Verificar elongación y estado de la cadena" u="1"/>
        <s v="Verificar estado y elongación de la cadena" u="1"/>
        <s v="Verificar nivel de aceite y completar de ser necesario" u="1"/>
        <s v="Verificar correcto estado y funcionamiento de elementos de proteccion por sobrecorriente (disyuntores, breakers, fusibles, etc) Activar y desactivar el interruptor varias veces para asegurarse de que el mecanismo este libre Cuando aplique, realizar prueb" u="1"/>
        <s v="Limpiar la trampa de condensados" u="1"/>
        <s v="Análisis, Refrigerante superior (ULTRA/ULTRA EL)" u="1"/>
        <s v="Suelte del tablero, el sensor de flujo másico con la copa 7/16”" u="1"/>
        <s v="Confirme que el valor emitido sea igual o inferior a 5 kv. Si el valor emitido esta por encima de 5 kv, notifique inmediatamente la anomalía al supervisor de área o en su defecto al operario líder de producción" u="1"/>
        <s v="Limpiar manchas de grasa que existan en la estructura" u="1"/>
        <s v="Revisar y ajustar fijación de los cilindros y actuadores" u="1"/>
        <s v="Al ingresar al cuarto de las bombas LEWA, asegúrese de no llevar celulares o equipos que puedan producir algún tipo de chispa eléctrica." u="1"/>
        <s v="Realice limpieza de filtros de malla" u="1"/>
        <s v="Realizar limpieza de tanque" u="1"/>
        <s v="Cuadrando las barras traviesas anteriores._x000d__x000a_Las herramientas requeridas son: Llave Allen 3/8”, Llave del fin abierto 1-1/8”, cuadrado." u="1"/>
        <s v="Desconecte el sensor de flujo másico." u="1"/>
        <s v="Revisar estado y correcto funcionmiento de las válvulas de carga y descarga." u="1"/>
        <s v="REEMPLAZAR LAS MEMBRANAS DE VACIADO" u="1"/>
        <s v="Inspeccion visual y reajuste de conexiones cable a tierra generador corona." u="1"/>
        <s v="2.Suelte el final de los casquillos usando una llave Allen de 3/8”." u="1"/>
        <s v="Aislé las puntas de los cables con cinta." u="1"/>
        <s v="Inspeccione,Sistema de refrigeración con aire para bloqueo" u="1"/>
        <s v="RETIRE ELEMENTOS AJENOS AL PROCESO." u="1"/>
        <s v="4.Si alineó correctamente, usted debe poder mover el lado final de la platina lateralmente y en una cantidad igual. Use un cuadrado para verificar que el final de vara está alineado. Ver figura 5." u="1"/>
        <s v="VERIFICAR ESTADO DE LAS GUIAS DE LA GUAYA," u="1"/>
        <s v="Coloque y asegure la tapa de conexiones del sensor de flujo másico." u="1"/>
        <s v="Revisar estado y correcto funcionamiento de los sensores de nivel." u="1"/>
        <s v="Ubique la extrusora y puntos a medir según formato." u="1"/>
        <s v="Realizar inspección verificando ausencia de fugas por retenedores" u="1"/>
        <s v="Revisar estado de los silenciadore.  Limpiar o reemplazar de ser necesario." u="1"/>
        <s v="Haga entrega del formato al ingeniero Jefe de mantenimiento eléctrico para que revise cada uno de los valores reportados y de si aprobación de acuerdo a su criterio y quien posteriormente solicita la aprobación del ingeniero Jefe de mantenimiento para que el documento sea almacenado" u="1"/>
        <s v="Mantenimiento general de la válvula de la trampa de condensados" u="1"/>
        <s v="Lubricar rodamientos de los rodillos superior, medio e inferior" u="1"/>
        <s v="Revisar estado de manguras, ajuste racores" u="1"/>
        <s v="Verificar y detectar fugas en los circuitos de aire, agua y aceite" u="1"/>
        <s v="Verificar estado y correcto funcionamiento de paros de emergencia, microswitches guardas y seguridades del equipo." u="1"/>
        <s v="Verificar estado y correcto funcionamiento de las electroválvulas neumáticas , fotoceldas y sensores de flujo." u="1"/>
        <s v="Verificar afilado de las cuchillas. Ajustra gap." u="1"/>
        <s v="Revise el estado y elongación de la cadena." u="1"/>
        <s v="Revisar estado del tapón de alivio de presión del circuito refrigerante" u="1"/>
        <s v="Traslade el sensor de flujo másico al taller de mantenimiento" u="1"/>
        <s v="Cambiar el filtro de aceite" u="1"/>
        <s v="Revisar correcto funcionamiento de las electroválvulas neumáticas." u="1"/>
        <s v="Ajustar bornes" u="1"/>
        <s v="Limpiar la malla del strainer, de la bomba de combustible." u="1"/>
        <s v="Revisar estado de rodillos de caucho y rodillos en alimentadores" u="1"/>
        <s v="Diligencie el formato (xxxxx) Verificación del lazo de control de temperatura zonas de extrusión, registrando en el las mediciones indicadas." u="1"/>
        <s v="Cambiar el refrigerante" u="1"/>
        <s v="Solicite al departamento de mantenimiento el Medidor de carga electroestática;  marca SIMCO; modelo FMX - 003;  serie RX06955, encienda el equipo y verifique si la carga de la batería es suficiente o adecuada para realizar las mediciones establecidas según formato. En caso contrario coloque a cargar la batería del equipo." u="1"/>
        <s v="REALIZAR LIBRICACION AL SISTEMA DE  BIELAS LADO IZQUIERDO Y DERECHO" u="1"/>
        <s v="4.Asegúrese que la platina inferior esté limpia y libre de mugre y oxido donde usted está tomando sus medidas. Para esto se recordable una marca en las cuatro esquinas de la platina de la referencia. Probablemente los ajustes tendrán que hacerse en varias oportunidades" u="1"/>
        <s v="Revisar estado de los manómetros" u="1"/>
        <s v="Control de voltaje e intensidad del motor." u="1"/>
        <s v="Revisar estado de mangueras de agua y vacío de conexión de la máquina al molde." u="1"/>
        <s v="Verificar ausencia de alamase en el ciclo de trabajo y verficar condiciones de operación: velociad de purga, presión de línea y flujo de entrada." u="1"/>
        <s v="Cambiar las mangueras de refrigeración" u="1"/>
        <s v="Limpiar internamente el módulo ELEKTRONIKON (si es necesario debido a la contaminación)" u="1"/>
        <s v="Fije el sensor de flujo másico a su respectivo  tablero con los tornillos de 1/4” y copa de 7/16”." u="1"/>
        <s v="Verificar estado y correcto funcionamiento de termocuplas y transductores de presión" u="1"/>
        <s v="Inspeccionar / Limpia,  Sistema de refrigeración por agua" u="1"/>
        <s v="Inspeccione Filtros del sistema de refrigeración por agua" u="1"/>
        <s v="VERIFICAR HOLGURA ENTRE LOS PISTONES  Y CILINDROS 2DO. Y 3ER. NIVEL" u="1"/>
        <s v="Revisar estado y correcto funcionamiento de los micros, de las guardas de seguridad y protecciones del equipo" u="1"/>
        <s v="limpieza persiana papel" u="1"/>
        <s v="Sustituir, Módulo de servicio de drenaje de condensado sin pérdida" u="1"/>
        <s v="LUBRIQUE GUIAS Y RODAMIENTO LINEAL DE SELLADO" u="1"/>
        <s v="Verificar el sentido de flujo de Aire Frio y Aire caliente en el equipo" u="1"/>
        <s v="Verificar el estado de las aspas y el sentido de giro del ventilador principal" u="1"/>
        <s v="Mtto tablero eléctrico" u="1"/>
        <s v="VERIFICAR TENSION DE CORREAS" u="1"/>
        <s v="Cambiar rodamientos del eje central" u="1"/>
        <s v="Realizar test de prueba según manual de operación pág.17" u="1"/>
        <s v="UNA VEZ REALIZADO EL PROCEDIMIENTO INFORME AL SUPERVISOR PARA VERIFICAR LA FINALIZACION DE  LA ACTIVIDAD" u="1"/>
        <s v="Verificar funcionamiento de las válvulas del sistema  auto limpiado" u="1"/>
        <s v="VERIFIQUE QUE DURANTE EL PROCEDIMIENTO NO SE ACTIVE NINGUN EQUIPO DE RIESGO MECANICO." u="1"/>
        <s v="Verificar correcto funcionamiento de la válvula de alivio" u="1"/>
        <s v="Verificar correcto funcionamiento del control de velocidad" u="1"/>
        <s v="REALICE LIMPIEZA AL CUERPO DE LA BOMBA" u="1"/>
        <s v="Inspeccione,Elemento de filtro del módulo de conducción de la caja de arranque(PDM)" u="1"/>
        <s v="Cambiar filtro de aire" u="1"/>
        <s v="VERIFICAR LA HOLGURA ENTRE LOS SEGMENTOS DE SUSTENTO Y CILINDROS 1ERO., 2DO. Y 3ER NIVEL, EN CASO DE DESGASTE EXCESIVO REEMPLAZAR LOS SEGMENTOS DESGASTADOS." u="1"/>
        <s v="Conecte el tubo a la salida de la válvula reguladora de flujo de gas butano." u="1"/>
        <s v="Cambio de rodamientos motor ventilador" u="1"/>
        <s v="Verificar estado de las cuchillas, guias y pisadores" u="1"/>
        <s v="Verificar estado de las poleas" u="1"/>
        <s v="VERIFICAR LAS EMPAQUETADURAS DE LOS RASCADORES DE ACEITE Y ESTANQUEIDAD DEL LADO DE AIRE. REEMPLAZAR SI ES NECESARIO." u="1"/>
        <s v="Verificar estado de los electrodos.  Limpielos con un cepillo suave." u="1"/>
        <s v="Verificación de harness y sensores de protección" u="1"/>
        <s v="Revisar estado del filtro del módulo de alimentación." u="1"/>
        <s v="Revisar estado de manómetros" u="1"/>
        <s v="Verificar correcto funcionamiento del sistema de lubricación automático." u="1"/>
        <s v="Desarmar, limpiar e inspeccionar el switch de entrada, exhosto de purga y presión" u="1"/>
        <s v="Alinear transmisión" u="1"/>
        <s v="Cambiar el aceite HD RotoXtend ( Aplica para equipos Nuevos a las 4000 Hr)" u="1"/>
        <s v="Cierre la válvula de drenaje de gas butano." u="1"/>
        <s v="Verificar las funciones secuenciales del Electronikon" u="1"/>
        <s v="Verificar estado y funcionamiento de sensor de presión bomba  Jockey" u="1"/>
        <s v="Utilizando el agua caliente con la jeringa, enjuague el sensor de flujo másico." u="1"/>
        <s v="EN CASO DE SOSPECHA DE FUGA DE MATERIAL POR EL AUMENTO DE LAS EMISIONES PROCEDA A TOMAR UNA MUESTRA  CON UN ALGODON ENVUELTO EN UN PALILLO DE MADERA Y ENVIAR A INGEOMINAS" u="1"/>
        <s v="Engrase de cojinetes de motor principal" u="1"/>
        <s v="Revisar y limpiar mangueras" u="1"/>
        <s v="Revisar estado tornillo blender" u="1"/>
        <s v="REPETIR LAS ACTIVIDADES DE LOS MANTENIMIENTOS DE LAS 2000 Y 4000 HORAS" u="1"/>
        <s v="INSPECCION Y MEDICION DE RESISTENCIA" u="1"/>
        <s v="Verificar estado de mangueras neumáticas y racores" u="1"/>
        <s v="Verificar que las bielas no presenten desajuste en el cuadrante, ni daño en la rosca." u="1"/>
        <s v="Verificar el funcionamiento de la válvula solenoide" u="1"/>
        <s v="Verificar estado del caucho de los rodillos" u="1"/>
        <s v="Verificar estado y desgaste de los rodillos" u="1"/>
        <s v="Verificar estdo piñónes" u="1"/>
        <s v="Realizar limpieza interna general al tablero Organizar todo el cableado que este por fuera de las canaletas o guias" u="1"/>
        <s v="2.Instale la regla calibrada en los niveles de precisión y que descanse en los pines de la clavija localizados a la entrada y salida en ambos lados del marco anterior." u="1"/>
        <s v="Servicio, Lubricar los cilindros de la válvula de entrada (únicamente en paquetes de modulación)" u="1"/>
        <s v="Limpiar la carcasa del filtro de aire" u="1"/>
        <s v="Verificar correcto funcionamiento de las válvulas hidráulicas y presóstatos" u="1"/>
        <s v="Lubricar rodamientos de apoyo de los rodillos" u="1"/>
        <s v="VERIFICAR EL FUNCIONAMIENTO DE LAS PURGAS" u="1"/>
        <s v="Análisis,Agua del sistema de refrigeración por agua" u="1"/>
        <s v="Realizar rutina de mantenimiento mensual a los riser de la red contra incendio, según formato." u="1"/>
        <s v="LUBRICAR CADENAS DE RUEDA DENTADA" u="1"/>
      </sharedItems>
    </cacheField>
    <cacheField name="ID Activo" numFmtId="49">
      <sharedItems/>
    </cacheField>
    <cacheField name="Equipo" numFmtId="49">
      <sharedItems containsBlank="1" count="1520">
        <s v="MOTOR HERRAMIENTAS PLACA INF F"/>
        <s v="MOTOR PLUG PLACA SUP FORMADO"/>
        <s v="SERVOMOTOR ARRASTRE DE LÁMINA"/>
        <s v="MOTOR LEVANTAMIENTO SIST APILA"/>
        <s v="MOTOREDUCTOR DESEMBOBINADOR"/>
        <s v="MOTOREDUCTOR ROD PRECALENTADOR"/>
        <s v="CAJA DE PASO APILADOR SISTEMA"/>
        <s v="CAJA DE CONEX PLACA INF FORM"/>
        <s v="CAJA PASO AUX PLACA INF FORMAD"/>
        <s v="TABLERO ELECTRICO PRECALENTA"/>
        <s v="BORNEA CONEX TAB AUX PRECALENT"/>
        <s v="TABLERO ELECTRICO HORNO"/>
        <s v="TABLERO DE CONTROL PRINCIPAL"/>
        <s v="REFRIGERACION"/>
        <s v="TRANSFORMADOR"/>
        <s v="TABLET"/>
        <s v="AIRE ACONDICIONADO TABLERO E"/>
        <s v="AIRE ACOND  TABLER0 PRINCIPAL"/>
        <s v="HORNO"/>
        <s v="SELLADORA PEDAL MECÁNICA"/>
        <s v="DESEMBOBINADOR"/>
        <s v="PRECALENTADOR LAMINA"/>
        <s v="ESTACION DE FORMADO"/>
        <s v="SISTEMA DE APILADO"/>
        <s v="REDUCTOR APILADOR SISTEMA"/>
        <s v="REDUCTOR EMBOBINADOR DE SCRAP"/>
        <s v="REDUCTOR PLACA INF FORMADO"/>
        <s v="REDUC TAB AUX PRECALENTADOR"/>
        <s v="EMBOBINADOR SCRAP"/>
        <s v="MOTOR NEUMATICO EMB SCRAP"/>
        <s v="SISTEMA NEUMATICO"/>
        <s v="MOTOR DESEMBOBINADOR" u="1"/>
        <s v="REDUCTOR DESEMBOBINADOR" u="1"/>
        <s v="FORMADORA" u="1"/>
        <s v="BOMBA DE VACIO  FORMADORA" u="1"/>
        <s v="MOTOR B. VACIO FORMADORA" u="1"/>
        <s v="MOTOR 1 PLACA SUP E INF FORMAD" u="1"/>
        <s v="MOTOR 2 PLACA SUP E INF FORMAD" u="1"/>
        <s v="MOTOR DE LA CADENA TRANS LAMIN" u="1"/>
        <s v="REDUCTOR 1 PLACA SUP E INF FOR" u="1"/>
        <s v="REDUCTOR 2 PLACA SUP E INF FOR" u="1"/>
        <s v="CIRCUITO DE AGUA MOKON" u="1"/>
        <s v="BOMBA 1 MOKON FORMADORA" u="1"/>
        <s v="BOMBA 2 MOKON FORMADORA" u="1"/>
        <s v="MOTOR 1 MOKON FORMADORA" u="1"/>
        <s v="MOTOR 2 MOKON FORMADORA" u="1"/>
        <s v="CAJA DE CONEXIONES MOKON FORMA" u="1"/>
        <s v="CAJA DE PASO ARRANQUE Y PARADA" u="1"/>
        <s v="CAJA DE CONEXIONES IZQ TRANS L" u="1"/>
        <s v="CAJA DE CONEXIONES DER TRANS L" u="1"/>
        <s v="HORNO ELECTRICO HORNO" u="1"/>
        <s v="MOLINO" u="1"/>
        <s v="MOTOR DEL MOLINO" u="1"/>
        <s v="REDUCTOR DEL MOLINO" u="1"/>
        <s v="TABLERO FUERZA" u="1"/>
        <s v="AIRE ACONDICIONADO  TAB FUER" u="1"/>
        <s v="MICROPHASER" u="1"/>
        <s v="AIRE ACONDICIONADO MICROPHASER" u="1"/>
        <s v="TROQUELADORA" u="1"/>
        <s v="MOTOR CANOPY TROQUELADORA" u="1"/>
        <s v="MOTOR TROQUEL TROQUELADORA" u="1"/>
        <s v="MOTOR SERVOPICK TROQUELADORA" u="1"/>
        <s v="REDUCTOR CANOPY TROQUELADORA" u="1"/>
        <s v="REDUCTOR TROQUEL TROQUELADORA" u="1"/>
        <s v="TABLERO DE FUERZA Ç  TROQUELAD" u="1"/>
        <s v="PANEL DE PULSADORES  TROQUELAD" u="1"/>
        <s v="CAMBIAMALLAS" u="1"/>
        <s v="BOMBA HIDRA CAMBIA MALLAS EXT" u="1"/>
        <s v="MOTOR B. HIDRA CAMBIA MALLAS E" u="1"/>
        <s v="CAJA CONEXIONES BOMBA CAMBIA M" u="1"/>
        <s v="CAJA CONEXIONES CAMBIA MALLAS" u="1"/>
        <s v="BARRIL EXTRUSION EXT 4,5" u="1"/>
        <s v="MOTOR TRANSMISION EXT 4,5" u="1"/>
        <s v="BOMBA REFRIGERACIÓN CAJA EXT" u="1"/>
        <s v="MOTOR REFRIGERACIÓN CAJA EXT 4" u="1"/>
        <s v="REFRIGERACION BARRIL REFRIGERA" u="1"/>
        <s v="BOMBA REFRIGERACION BARRIL EXT" u="1"/>
        <s v="MOTOR REFRIGERACIÓN BARRIL EXT" u="1"/>
        <s v="TABLET PANEL CTRL EXT 4.5" u="1"/>
        <s v="TABLERO DRIVE PANEL CTRL EXT 4" u="1"/>
        <s v="TABLERO PRINCIPAL PANEL CTRL E" u="1"/>
        <s v="CAJA PASO PANEL CTRL EXT 4,5" u="1"/>
        <s v="TRANFORMADOR POTENCIA EXT 4.5" u="1"/>
        <s v="BARRIL EXTRUSIÓN  EXT 6" u="1"/>
        <s v="MOTOR TRANSMISIÓN  EXT 6" u="1"/>
        <s v="BOMBA REFRIGERACIÓN CAJA  EXT" u="1"/>
        <s v="MOTOR REFRIGERACIÓN CAJA  EX" u="1"/>
        <s v="BOMBA 1 REFRIGERACIÓN BARRIL" u="1"/>
        <s v="BOMBA 2 REFRIGERACIÓN BARRIL" u="1"/>
        <s v="MOTOR REFRIGERACIÓN BARRIL" u="1"/>
        <s v="MOTOR REFRIGERACIÓN BARRIL  EX" u="1"/>
        <s v="CAJA CONEXIONES 6 REFRIGERACIÓ" u="1"/>
        <s v="TABLERO DRIVE SECUNDARIO PANEL" u="1"/>
        <s v="TRANFORMADOR POTENCIA  EXT 6" u="1"/>
        <s v="CUERPO MOLDE MOLDE SIS  MOLD" u="1"/>
        <s v="RODILLO A Y B RODILLOS SIS  EM" u="1"/>
        <s v="MOTOR A RODILLOS SIS  EMBO" u="1"/>
        <s v="MOTOR B RODILLOS SIS  EMBO" u="1"/>
        <s v="REDUCTORES B RODILLOS SIS  E" u="1"/>
        <s v="CAJA PULSADORES RODILLOS SIS" u="1"/>
        <s v="TABLERO CTRL A Y B RODILLOS" u="1"/>
        <s v="RODILLO C Y D RODILLOS SIS  EM" u="1"/>
        <s v="MOTOR C RODILLOS SIS  EMBO" u="1"/>
        <s v="MOTOR D RODILLOS SIS  EMBO" u="1"/>
        <s v="REDUCTORES C RODILLOS SIS  EMB" u="1"/>
        <s v="REDUCTORES D RODILLOS SIS  EMB" u="1"/>
        <s v="TABLERO CTRL C Y D RODILLOS SI" u="1"/>
        <s v="RODILLOS CAUCHO RODILLOS SIS" u="1"/>
        <s v="MOTOR RODILLOS  SIS  HALA" u="1"/>
        <s v="REDUCTOR RODILLOS SIS  HALA" u="1"/>
        <s v="PANEL CONTROL RODILLOS SIS  HA" u="1"/>
        <s v="SISTEMA ALIMENTACIÓN SIS  DO" u="1"/>
        <s v="BLENDER BLENDER SIS  DOSI" u="1"/>
        <s v="MOTOR 1 BLENDER SIS  DOSI" u="1"/>
        <s v="CAJA REDUCTORA BLENDER SIS  DO" u="1"/>
        <s v="TABLERO BLENDER SIS  DOSI" u="1"/>
        <s v="CTRL CANTIDAD MATERIAL TABLERO" u="1"/>
        <s v="TOLVA 1 VIRGEN SIS  DOSI" u="1"/>
        <s v="MOTOR VIRGEN SIS  DOSI" u="1"/>
        <s v="REDUCTOR VIRGEN SIS  DOSI" u="1"/>
        <s v="TOLVA 2 MOLIDO SIS  DOSI" u="1"/>
        <s v="MOTOR MOLIDO SIS  DOSI" u="1"/>
        <s v="CAJA REDUCTORA MOLIDO SIS  DOS" u="1"/>
        <s v="REDUCTOR MOLIDO SIS  DOSI" u="1"/>
        <s v="TOLVA 3 MOLIDO PELET SIS  DOSI" u="1"/>
        <s v="MOTOR MOLIDO PELET SIS  DOSI" u="1"/>
        <s v="CAJA REDUCTORA MOLIDO PELET SI" u="1"/>
        <s v="REDUCTOR MOLIDO PELET SIS  DOS" u="1"/>
        <s v="CAJA CONEXIONES MOLIDO PELET S" u="1"/>
        <s v="TOLVA 4 NUCLEANTE  SIS  DOSI" u="1"/>
        <s v="MOTOR NUCLEANTE  SIS  DOSI" u="1"/>
        <s v="CAJA REDUCTORA NUCLEANTE  SI" u="1"/>
        <s v="REDUCTOR NUCLEANTE  SIS  DOS" u="1"/>
        <s v="TOLVA 5 PIGMENTO SIS  DOSI" u="1"/>
        <s v="MOTOR PIGMENTO SIS  DOSI" u="1"/>
        <s v="REDUCTOR PIGMENTO SIS  DOSI" u="1"/>
        <s v="CAJA CONEXIONES PIGMENTO SIS" u="1"/>
        <s v="SISTEMA INYECCION SIS INY  BUT" u="1"/>
        <s v="B. LEWA 1 PRESION GAS SIS INY" u="1"/>
        <s v="REDUCTOR BL PRESION GAS SIS IN" u="1"/>
        <s v="B. LEWA 2 PRESION GAS SIS INY" u="1"/>
        <s v="MOTOR B. LEWA PRESION GAS SIS" u="1"/>
        <s v="CAJA CONEXIONES INYECCION BUTA" u="1"/>
        <s v="SISTEMA SIS  TRAN  MAT" u="1"/>
        <s v="CUERPO BLOWER SIS  TRAN  MAT" u="1"/>
        <s v="MOTOR BLOWER SIS  TRAN  MAT" u="1"/>
        <s v="RECEIVER VIRGEN SIS  TRAN  MAT" u="1"/>
        <s v="CAJA CONEXIONES 1 VIRGEN SIS" u="1"/>
        <s v="CAJA CONEXIONES 2 VIRGEN SIS" u="1"/>
        <s v="RECEIVER MOLIDO SIS  TRAN  MAT" u="1"/>
        <s v="CAJA CONEXIONES 3 MOLIDO SIS" u="1"/>
        <s v="CAJA CONEXIONES 4 MOLIDO SIS" u="1"/>
        <s v="RECEIVER MOLIDO PELET SIS  TRA" u="1"/>
        <s v="CAJA CONEXIONES 5 MOLIDO PELET" u="1"/>
        <s v="CONTROL TABLERO SIS  TRAN  MAT" u="1"/>
        <s v="TERMOFORMADORA LYLE" u="1"/>
        <s v="BOMBA DE VACIO" u="1"/>
        <s v="MOTOR BOMBA DE VACIO" u="1"/>
        <s v="MOTOR MOLDE" u="1"/>
        <s v="MOTOR PLUGS" u="1"/>
        <s v="REDUCTOR MOLDE" u="1"/>
        <s v="HORNO ELECTRICO" u="1"/>
        <s v="MOTOR DE LA CADENA" u="1"/>
        <s v="REDUCTOR DE LA CADENA" u="1"/>
        <s v="MOTOR IZQUIERDO" u="1"/>
        <s v="MOTOR DERECHO" u="1"/>
        <s v="MOTOR DEL BLOWER" u="1"/>
        <s v="PANEL DE CONTROL" u="1"/>
        <s v="REBORDEADORA DE VASOS" u="1"/>
        <s v="EMPACADORA" u="1"/>
        <s v="MOTOR EMBOBINADOR DE TIRA" u="1"/>
        <s v="TABLERO ELECTRICO" u="1"/>
        <s v="REFRIGERADOR DE AGUA" u="1"/>
        <s v="BOMBA CENTRIFUGA" u="1"/>
        <s v="MOTOR ELECTROBOMBA" u="1"/>
        <s v="MOTOR VENTILADOR" u="1"/>
        <s v="AIRE ACONDICIONADO" u="1"/>
        <s v="TABLERO COMPUTADOR" u="1"/>
        <s v="MOTOR DEL CANOPY" u="1"/>
        <s v="MOTOR DEL TROQUEL" u="1"/>
        <s v="MOTOR ALIMENTADOR" u="1"/>
        <s v="MOTOR AUXILIAR" u="1"/>
        <s v="MOTOR DEL EXPULSOR" u="1"/>
        <s v="REDUCTOR DEL CANOPY" u="1"/>
        <s v="REDUCTOR DEL TROQUEL" u="1"/>
        <s v="REDUCTOR ALIMENTADOR" u="1"/>
        <s v="REDUCTOR DEL EXPULSOR" u="1"/>
        <s v="REDUCTOR APILADOR SISTEMA DE A" u="1"/>
        <s v="CAJA DE PASO APILADOR" u="1"/>
        <s v="MOTOR TABLERO AUXILIAR PRECALE" u="1"/>
        <s v="AIRE ACONDICIONADO TAB ELE" u="1"/>
        <s v="CUERPO CAMBIA MALLAS EXT 4,5" u="1"/>
        <s v="TAB CONTR CAMBIA MALLAS EXT 4," u="1"/>
        <s v="REDUCTOR TRANSMISION EXT 4,5" u="1"/>
        <s v="BOMBA REFRIGERACIÓN CAJA EXT 4" u="1"/>
        <s v="INTERCAMBIADOR REFRIGERACIÓN C" u="1"/>
        <s v="INTERCAMBIADOR 1 REFRIGERACIÓN" u="1"/>
        <s v="INTERCAMBIADOR 2 REFRIGERACIÓN" u="1"/>
        <s v="BLOWER TRANSMISIÓN  EXT 6" u="1"/>
        <s v="MOTOR BW TRANSMISIÓN  EXT 6" u="1"/>
        <s v="REDUCTOR TRANSMISIÓN  EXT 6" u="1"/>
        <s v="MOTOR REFRIGERACIÓN CAJA  EXT" u="1"/>
        <s v="INTERCAMBIADOR 3 REFRIGERACIÓN" u="1"/>
        <s v="INTERCAMBIADOR 4 REFRIGERACIÓN" u="1"/>
        <s v="CAJA CONEXIONES 2 REFRIGERACIÓ" u="1"/>
        <s v="REDUCTORES A RODILLOS SIS  EMB" u="1"/>
        <s v="REDUCTORES B RODILLOS SIS  EMB" u="1"/>
        <s v="TABLERO CTRL A Y B RODILLOS SI" u="1"/>
        <s v="RODILLOS EMBOBINADORES" u="1"/>
        <s v="MOTOR RODILLOS SIS  HALA" u="1"/>
        <s v="PANEL CONTROL RODILLOS SIS" u="1"/>
        <s v="SISTEMA ALIMENTACIÓN SIS  DOSI" u="1"/>
        <s v="MOTOR BL BLENDER SIS  DOSI" u="1"/>
        <s v="CAJA REDUCTORA 1 BLENDER SIS" u="1"/>
        <s v="REDUCTOR BLENDER SIS  DOSI" u="1"/>
        <s v="TABLERO BLENDER BLENDER SIS  D" u="1"/>
        <s v="CAJA REDUCTORA MOLIDO PELET" u="1"/>
        <s v="REDUCTOR NUCLEANTE  SIS  DOSI" u="1"/>
        <s v="TOLVA 5 KATRAN-PIGM SIS  DOSI" u="1"/>
        <s v="MOTOR K-TRON-PIGM SIS  DOSI" u="1"/>
        <s v="REDUCTOR KATRAN-PIGM SIS  DOSI" u="1"/>
        <s v="TOLVA 6 MEZCLA SIS  DOSI" u="1"/>
        <s v="MOTOR MZ MEZCLA SIS  DOSI" u="1"/>
        <s v="REDUCTOR 1 MEZCLA SIS  DOSI" u="1"/>
        <s v="REDUCTOR 2 MEZCLA SIS  DOSI" u="1"/>
        <s v="CAJA CONEXIONES 1 MEZCLA SIS" u="1"/>
        <s v="CAJA CONEXIONES PRESION GAS SI" u="1"/>
        <s v="RECEIVER 1 VIRGEN SIS  TRAN  M" u="1"/>
        <s v="CAJA CONEXIONES VIRGEN SIS  TR" u="1"/>
        <s v="RECEIVER 2 MOLIDO SIS  TRAN  M" u="1"/>
        <s v="CAJA CONEXIONES MOLIDO SIS  TR" u="1"/>
        <s v="REDUCTOR CADENA" u="1"/>
        <s v="MOTOR CADENA" u="1"/>
        <s v="TABLERO PARA EL COMPUTADOR" u="1"/>
        <s v="MOTOR EXPULSOR" u="1"/>
        <s v="REDUCTOR CANOPY" u="1"/>
        <s v="REDUCTOR DEL ALIMENTADOR" u="1"/>
        <s v="BANDEJA DE SALIDA" u="1"/>
        <s v="MOTOR ELECTRICO DESEMBOBINADOR" u="1"/>
        <s v="TABLERO DESEMBOBINADOR" u="1"/>
        <s v="ESTACION  FORMADO TERMOF GN" u="1"/>
        <s v="PLACA CALENT  TERMOFORM GN" u="1"/>
        <s v="RODILLO HALADOR ENTRADA LAMINA" u="1"/>
        <s v="PLACA PRECALENT ENTRADA LAM" u="1"/>
        <s v="MOTOR REDUCTOR ENTRADA LAMINA" u="1"/>
        <s v="SISTEMA HALADOR" u="1"/>
        <s v="MOTOR SISTEMA HALADOR" u="1"/>
        <s v="SISTEMA NEUMATIC TERMOFORM GN" u="1"/>
        <s v="LINEA DE REFRIGERACION" u="1"/>
        <s v="TABLERO DE FUERZA" u="1"/>
        <s v="TABLERO DE CONTROL-DISPLAY 2" u="1"/>
        <s v="REDUCTOR DEL DESEMBOBINADOR" u="1"/>
        <s v="GUILLOTINA" u="1"/>
        <s v="REDUCTOR DE  CADENA TRANS LAM" u="1"/>
        <s v="TABLERO TRANS LAMINA HORNO" u="1"/>
        <s v="CAJA DE CONEXIONES SELLADORA V" u="1"/>
        <s v="TABLERO PRINCIPAL" u="1"/>
        <s v="AIRE ACONDIC TABLERO PRINCIPAL" u="1"/>
        <s v="SISTEM HIDRA TROQUEL" u="1"/>
        <s v="SISTEM NEUM TROQUEL" u="1"/>
        <s v="ELECTRIC PALLET TRUCK  01" u="1"/>
        <s v="ELECTRIC PALLET TRUCK  02" u="1"/>
        <s v="ELECTRIC PALLET TRUCK  03" u="1"/>
        <s v="ELECTRIC PALLET TRUCK  04" u="1"/>
        <s v="ELECTRIC PALLET TRUCK  05" u="1"/>
        <s v="ELECTRIC PALLET TRUCK  06" u="1"/>
        <s v="ELECTRIC PALLET TRUCK  07" u="1"/>
        <s v="ELECTRIC PALLET TRUCK  08" u="1"/>
        <s v="ELECTRIC PALLET TRUCK  09" u="1"/>
        <s v="ELECTRIC PALLET TRUCK  079" u="1"/>
        <s v="MONTACARGA TRILATERAL 08" u="1"/>
        <s v="MONTACARGA TRILATERAL 09" u="1"/>
        <s v="MONTACARGA TRILATERAL 10" u="1"/>
        <s v="MONTACARGA TRILATERAL 12" u="1"/>
        <s v="MONTACARGA TRI-LATERAL  TRI-13" u="1"/>
        <s v="MONTACARGA TRI-LATERAL TRI-14" u="1"/>
        <s v="MONTACARGA TRILATERAL 01" u="1"/>
        <s v="MONTACARGA TRILATERAL 02" u="1"/>
        <s v="MONTACARGA TRILATERAL 03" u="1"/>
        <s v="MONTACARGA TRILATERAL 04" u="1"/>
        <s v="MONTACARGA TRILATERAL 05" u="1"/>
        <s v="MONTACARGA TRILATERAL 07" u="1"/>
        <s v="MONTACARGA TRILATERAL 11" u="1"/>
        <s v="ARRASTRE LAMINA" u="1"/>
        <s v="MOTOR REG RIELES LAMINA" u="1"/>
        <s v="MOTOR REG RIELES TRASERO LAMI." u="1"/>
        <s v="REDUCTOR REGULADOR LAMINA" u="1"/>
        <s v="REDUCTOR CADENA LAMINA" u="1"/>
        <s v="REDUCTOR REG  TRASERO LAMINA" u="1"/>
        <s v="APILADOR SUP + CORREA POLEA" u="1"/>
        <s v="BANDA SALIDA BANDA SALIDA" u="1"/>
        <s v="MOTOR BANDA SALIDA" u="1"/>
        <s v="REDUCTOR BANDA SALIDA" u="1"/>
        <s v="SERVOMOTOR APILADOR SUP" u="1"/>
        <s v="MOTOR SIN FIN APILADOR SUP" u="1"/>
        <s v="CAJA REDUCTORA APILADOR SUP" u="1"/>
        <s v="REDUCTOR SIN FIN APILADOR SUP" u="1"/>
        <s v="APILADOR INT" u="1"/>
        <s v="SERVOMOTOR APILADOR INT" u="1"/>
        <s v="REDUCTOR APILADOR INT" u="1"/>
        <s v="APILADOR INF" u="1"/>
        <s v="BANDA SALIDA INF" u="1"/>
        <s v="MOTOR BANDA SALIDA INF" u="1"/>
        <s v="REDUCTOR BANDA SALIDA INF" u="1"/>
        <s v="SERVOMOTOR APILADOR INF" u="1"/>
        <s v="REDUCTOR APILADOR INF" u="1"/>
        <s v="ELEVADOR DESMBOBINADOR" u="1"/>
        <s v="MOTOR ELEVADOR DESEMBOBINADOR" u="1"/>
        <s v="REDUCTOR ELEVADOR DESEMBOBINAD" u="1"/>
        <s v="CAJA BOTONERA DESEMBOBINADOR" u="1"/>
        <s v="MOTOR EMBOBINADOR" u="1"/>
        <s v="REDUCTOR EMBOBINADOR" u="1"/>
        <s v="MOTOR DE VACIO SIST VACIO" u="1"/>
        <s v="MOTOR MOLDE SUPERIOR" u="1"/>
        <s v="MOTOR MOLDE INFERIOR" u="1"/>
        <s v="MOTOR PLUG INF FORMADORA" u="1"/>
        <s v="MOTOR PLUG SUP FORMADORA" u="1"/>
        <s v="MOTOR REG PLACAS SUP FORMADORA" u="1"/>
        <s v="MOTOR REG PLACAS INF FORMADORA" u="1"/>
        <s v="REDUCTOR MOLDE SUPERIOR" u="1"/>
        <s v="REDUCTOR MOLDE INFERIOR" u="1"/>
        <s v="REDCTR REG PLACAS INF FORMAD." u="1"/>
        <s v="TABLERO DE CONTROL" u="1"/>
        <s v="AIRE ACONDICIONADO 01TABLERO" u="1"/>
        <s v="AIRE ACONDICIONADO 02 TABLERO" u="1"/>
        <s v="MOTOR DESPLAZAMIENTO HORNO" u="1"/>
        <s v="PRECALENTADOR" u="1"/>
        <s v="REDUCTOR DESPLAZAMIENTO HORNO" u="1"/>
        <s v="MOTOR ELECTRICO" u="1"/>
        <s v="MOTOR BLOWER" u="1"/>
        <s v="MOTOR ALIMENTADOR  MOLINO" u="1"/>
        <s v="REDUCTOR ALIMENTADOR  MOLINO" u="1"/>
        <s v="MOTOREDUCTOR" u="1"/>
        <s v="BOTONERA MOLINO" u="1"/>
        <s v="PERFORADOR OMF TF 42" u="1"/>
        <s v="MOTOR REGULADOR INF PERFORADOR" u="1"/>
        <s v="MOTOR DESPLAZAMIENT PERFORADOR" u="1"/>
        <s v="REDUCTOR REG INF PERFORADOR" u="1"/>
        <s v="REDCTR DESPLAZAMIEN PERFORADOR" u="1"/>
        <s v="PERFORADOR INF" u="1"/>
        <s v="MOTOR REGULADOR SUP PERFORADOR" u="1"/>
        <s v="REDUCTOR REG SUP PERFORADOR" u="1"/>
        <s v="ROBOT VENTOSAS" u="1"/>
        <s v="BANDA SALIDA ROBOT VENTOSAS" u="1"/>
        <s v="MOTOR SALIDA ROBOT VENTOSAS" u="1"/>
        <s v="REDUCTOR SALIDA ROBOT VENTOSAS" u="1"/>
        <s v="SERVOMOTOR ROBOT VENTOSAS" u="1"/>
        <s v="REDUCTOR BANDA SALIDA MOV" u="1"/>
        <s v="REDUCTOR ROBOT VENTOSAS" u="1"/>
        <s v="MOTOR BANDA SALIDA MOV" u="1"/>
        <s v="TABLERO COVEYOR ROBOT VENTOSAS" u="1"/>
        <s v="EMPACADORA  OMF TF 42" u="1"/>
        <s v="TRASLATOR" u="1"/>
        <s v="SERVOMOTOR  TRASLATOR" u="1"/>
        <s v="REDUCTOR  TRASLATOR" u="1"/>
        <s v="TABLERO ELECTRICO  TRASLATOR" u="1"/>
        <s v="TROQUEL" u="1"/>
        <s v="MOTOR REDUCTOR TROQUEL INFERIO" u="1"/>
        <s v="MOTOR REG DE CORTE TROQUEL" u="1"/>
        <s v="MOTOR DESPLAZAMIENTO TROQUEL" u="1"/>
        <s v="REDUCTOR TROQUEL" u="1"/>
        <s v="REDUCTOR TROQUEL INFERIOR" u="1"/>
        <s v="REDUCTOR REG DE CORTE TROQUEL" u="1"/>
        <s v="REDCTR  DESPLAZAMIENTO TROQUEL" u="1"/>
        <s v="MOTOR CONTADOR EMPAC RENNCO" u="1"/>
        <s v="SERVO BANDA CONT EMPAC RENNCO" u="1"/>
        <s v="MOTOR BAN  TRANSF EMPAC RENNCO" u="1"/>
        <s v="MOTOR BAN DESCARG EMPAC RENNCO" u="1"/>
        <s v="MOTOR EMBOBINADOR SCRAP EMPACA" u="1"/>
        <s v="REDUCTOR CONTADOR EMPAC RENNCO" u="1"/>
        <s v="REDUC BAND TRANSF EMPAC RENNCO" u="1"/>
        <s v="REDUC BAND DESC EMPAC RENNCO" u="1"/>
        <s v="REDUCTOR EMB SCRAP EMPAC RENNC" u="1"/>
        <s v="CUCHILLA SIS SELL EMPAC RENNCO" u="1"/>
        <s v="TABLERO ELECTRICO EMPACADORA R" u="1"/>
        <s v="EMPACADORA RENNCO" u="1"/>
        <s v="MOTOR EMBOBINADOR DE  SCRAP EM" u="1"/>
        <s v="EMPACADORA NAS" u="1"/>
        <s v="MOTOR BAN PLASTCURVA NAS" u="1"/>
        <s v="MOTOR BANDA ALIMENTACIÓN NAS" u="1"/>
        <s v="SERVO CONTADOR EMPACADORA NAS" u="1"/>
        <s v="REDU BANDA PLASTICA CURVA NAS" u="1"/>
        <s v="REDUC BANDA ALIMENTACIÓN NAS" u="1"/>
        <s v="BOMBA DE VACIO FORMADORA" u="1"/>
        <s v="MOTOR MOLDE PLACA SUP E INF FO" u="1"/>
        <s v="PLACA SUP E INF FORMADORA" u="1"/>
        <s v="CAJA  ARRANQUE TRANS LAM FORM" u="1"/>
        <s v="CAJA CONEX IZQ TRANS LAM FORM" u="1"/>
        <s v="CAJA CONEX DER TRANS LAM FORM" u="1"/>
        <s v="MOTOR CADENA TRANS LAMINA FORM" u="1"/>
        <s v="MOLINO PRINCIPAL" u="1"/>
        <s v="MOTOR MOLINO" u="1"/>
        <s v="BLOWER MOLINO" u="1"/>
        <s v="BOMBA REBORDEADORA" u="1"/>
        <s v="MOTOR PRINCIPAL REBORDEADORA" u="1"/>
        <s v="TABLERO ELE REBORDEADORA" u="1"/>
        <s v="TABLERO FUERZA ELECTRICO" u="1"/>
        <s v="AIRE ACONDIC TAB ELECTRIC" u="1"/>
        <s v="AIRE ACONDICIONADO TBLERO PODE" u="1"/>
        <s v="TABLERO DE FUERZA TABLERO TROQ" u="1"/>
        <s v="AIRE ACONDIC TABLERO TROQ" u="1"/>
        <s v="PANEL DE PULSADORES TABLERO TR" u="1"/>
        <s v="SISTEM HIDRA CAMBIA MALLAS EXT" u="1"/>
        <s v="REFRIGERACION BARRIL 1 REFRIGE" u="1"/>
        <s v="BOMBA REFRIGERACIÓN BARRIL EXT" u="1"/>
        <s v="INTERCAMBIADOR REFRIGERACIÓN B" u="1"/>
        <s v="TABLERO SSR PANEL CTRL EXT 4.5" u="1"/>
        <s v="TRANSFORMADOR POTENCIA EXT 4.5" u="1"/>
        <s v="REFRIGERACION BARRIL 2 SISTEMA" u="1"/>
        <s v="CAJA PASO REFRIGERACIÓN BARRIL" u="1"/>
        <s v="TRANSFORMADOR POTENCIA  EXT 6" u="1"/>
        <s v="RODILLO C Y D RODILLOS SIS" u="1"/>
        <s v="REDUCTORES D RODILLOS SIS  E" u="1"/>
        <s v="REDUCTOR SUMITOMO RODILLOS S" u="1"/>
        <s v="SISTEMA ALIMENTACIÓN" u="1"/>
        <s v="MOTOR BLENDER SIS  DOSI" u="1"/>
        <s v="CAJA REDUCTORA VIRGEN SIS  DOS" u="1"/>
        <s v="CAJA DE CONEXIONES  VIRGEN SIS" u="1"/>
        <s v="CAJA CONEXIONES MOLIDO SIS  DO" u="1"/>
        <s v="TOLVA 3 NUCLEANTE  SIS  DOSI" u="1"/>
        <s v="CAJA DE REDUCCION NUCLEANTE  S" u="1"/>
        <s v="CAJA CONEXIONES NUCLEANTE  SIS" u="1"/>
        <s v="TOLVA 4 PIGMENTO SIS  DOSI" u="1"/>
        <s v="SISTEMA INYECCION" u="1"/>
        <s v="B. LEWA 2 PRESION GAS SIS IN" u="1"/>
        <s v="MOTOR BOMBAS LEWA GAS SIS INY" u="1"/>
        <s v="CONTROLADOR INYECCION BUTANO S" u="1"/>
        <s v="MOTOR DEL BLOWER MOLINO" u="1"/>
        <s v="MOTOR BOMBA DE VACIO FORMADORA" u="1"/>
        <s v="MOTOR MOLDE SUPERIOR FORMADORA" u="1"/>
        <s v="MOTOR MOLDE INFERIOR FORMADORA" u="1"/>
        <s v="REDUCTOR MOLDE FORMADORA" u="1"/>
        <s v="CIRCUITO DE AGUA MOKON FORMA" u="1"/>
        <s v="BOMBA IZQUIERDA MOKON FORMADOR" u="1"/>
        <s v="BOMBA DERECHA MOKON FORMADORA" u="1"/>
        <s v="MOTOR MOKON FORMADORA" u="1"/>
        <s v="CAJA DE CONEXIONES MOKON FOR" u="1"/>
        <s v="CAJA PASO ARRAN Y PAR TRANS  L" u="1"/>
        <s v="AIRE ACONDICIONADO TABLERO ELE" u="1"/>
        <s v="AIRE ACOND MICROPHASER CTRL EL" u="1"/>
        <s v="TABLERO DE FUERZA TROQUELADO" u="1"/>
        <s v="PANEL DE PULSADORES TROQUELADO" u="1"/>
        <s v="MOLINO ROD LAMI" u="1"/>
        <s v="RODILLOS HALADORES EMBOBINADOR" u="1"/>
        <s v="REDUCTOR RODILLOS HALADORES RO" u="1"/>
        <s v="RODILLOS HALADORES ROD LAMI" u="1"/>
        <s v="REDUCTOR CADENA TRACCION ROD" u="1"/>
        <s v="MOTOR BOMBA REFRIGERACION ROD" u="1"/>
        <s v="CICLON AEROLOCK SIST. ALIM" u="1"/>
        <s v="CAMBIAMALLAS  EXT PRIN" u="1"/>
        <s v="SISTEMA HIDRAULICO CAMBIAMALLA" u="1"/>
        <s v="BOMBA SIS. HIDRAULICO CAMBIAMA" u="1"/>
        <s v="MOTOR SIS. HIDRAULICO CAMBIA" u="1"/>
        <s v="TABLERO SIS. HIDRAULICO CAMBIA" u="1"/>
        <s v="CAJA DE PASO CAMBIAMALLAS EXT" u="1"/>
        <s v="EXTRUSORA CENTRAL EXT PRIN" u="1"/>
        <s v="MELT PUMP EXT PRIN" u="1"/>
        <s v="MOTOR MELT PUMP EXT PRIN" u="1"/>
        <s v="REDUCTOR MELT PUMP EXT PRIN" u="1"/>
        <s v="CAJA DE PASO MELT PUMP EXT PRI" u="1"/>
        <s v="BLOWER EXT PRIN" u="1"/>
        <s v="BLOWER MOTOR EXT PRIN" u="1"/>
        <s v="MOTOR PRINCIPAL EXT PRIN" u="1"/>
        <s v="CAJA DE REDUCCION EXT PRIN" u="1"/>
        <s v="INTERCAMBIADOR CAJA DE REDUCCI" u="1"/>
        <s v="SIST. REFRIGERACION EXT PRIN" u="1"/>
        <s v="BOMBA REFRIGERACION EXT PRIN" u="1"/>
        <s v="INTERCAMBIADOR REFRIGERACION E" u="1"/>
        <s v="MOTOR BOMBA" u="1"/>
        <s v="TABLERO DRIVE EXT PRIN" u="1"/>
        <s v="AIRE ACONDICIONADO DRIVE EXT P" u="1"/>
        <s v="TABLERO PRINCIPAL EXT PRIN" u="1"/>
        <s v="AIRE ACONDICIONADO TAB PRIN EX" u="1"/>
        <s v="EXTRUSORA LATERAL EXT LATERAL" u="1"/>
        <s v="CAMBIAMALLAS EXT LATERAL" u="1"/>
        <s v="MOTOR PRINCIPAL EXT LATERAL" u="1"/>
        <s v="CAJA DE REDUCCION EXT LATERAL" u="1"/>
        <s v="SIST. REFRIGERACION EXT LATERA" u="1"/>
        <s v="BOMBA REFRIGERACION EXT LATERA" u="1"/>
        <s v="MOTOR BOMBA REFRIGERACION EXT" u="1"/>
        <s v="TABLERO EXT LATERAL" u="1"/>
        <s v="AIRE ACONDICIONADO B EXT LATER" u="1"/>
        <s v="BLOWER MOLINO DE REFILO ROD LA" u="1"/>
        <s v="MOTOR BW MOLINO DE REFILO ROD" u="1"/>
        <s v="MOTOR MOLINO ROD LAMI" u="1"/>
        <s v="TABLERO MOLINO DE REFILO ROD L" u="1"/>
        <s v="MOLDE" u="1"/>
        <s v="RODILLOS EMBOBINADOR A ROD EMB" u="1"/>
        <s v="MOTOR A EMBOBINADOR A ROD EMB" u="1"/>
        <s v="REDUCTO EMBOBINADOR A ROD EMB" u="1"/>
        <s v="MOTOR RODILLOS HALA ROD EMB" u="1"/>
        <s v="BLOWER SOPLADO RODILLOS HALADO" u="1"/>
        <s v="CAJA DE PASO RODILLOS HALADORE" u="1"/>
        <s v="TABLERO TENSION ROD EMB" u="1"/>
        <s v="RODILLOS EMBOBINADOR B ROD EMB" u="1"/>
        <s v="MOTOR B EMBOBINADOR B ROD EMB" u="1"/>
        <s v="REDUCTO EMBOBINADOR B ROD EMB" u="1"/>
        <s v="PANEL DE CONTROL ROD EMB" u="1"/>
        <s v="MOTOR RODILLOS HALADORES ROD L" u="1"/>
        <s v="REDUCTOR RODILLOS  HALADORES R" u="1"/>
        <s v="CAJA DE PASO Y PULSADORES RODI" u="1"/>
        <s v="RODILLOS LAMINADORES ROD LAMI" u="1"/>
        <s v="MOTOR RODILLO LAMIN SUPERIOR" u="1"/>
        <s v="MOTOR RODILLO LAMIN MEDIO" u="1"/>
        <s v="MOTOR RODILLO LAMIN INFERIOR" u="1"/>
        <s v="MOTOR CADENA TRACCION ROD LAMI" u="1"/>
        <s v="REDUCTOR RODILLO LAMIN SUPERIO" u="1"/>
        <s v="REDUCTOR RODILLO LAMIN MEDIO" u="1"/>
        <s v="REDUCTOR RODILLO LAMIN INFERIO" u="1"/>
        <s v="SISTEMA HIDRAULICO ROD LAMI" u="1"/>
        <s v="BOMBA SISTEMA HIDRAULICO  ROD" u="1"/>
        <s v="INTERCAMBIADOR SIST. HIDRAUL" u="1"/>
        <s v="MOTOR BOMBA SIST. HIDRAULICO R" u="1"/>
        <s v="CAJA DE PASO SIST. HIDRAULICO" u="1"/>
        <s v="SIST. REFRIG. RODILLOS" u="1"/>
        <s v="BOMBA REFRIGERACION ROD LAMI" u="1"/>
        <s v="INTERCAMBIADOR REFRIGERACION R" u="1"/>
        <s v="TABLERO REFRIGERACION ROD LAMI" u="1"/>
        <s v="PANEL DE CONTROL ROD LAMI" u="1"/>
        <s v="AIRE ACONDICIONADO ROD LAMI" u="1"/>
        <s v="MAGUIRE SIST. ALIM." u="1"/>
        <s v="TARJETA CONTROL TOLVA 1 EXT PR" u="1"/>
        <s v="TARJETA CONTROL TOLVA 3 EXT PR" u="1"/>
        <s v="TOLVA 1 EXT PRINCIPAL SIST. AL" u="1"/>
        <s v="TOLVA 3 EXT PRINCIPAL SIST. AL" u="1"/>
        <s v="MOTOR MAGUIRE SIST. ALIM." u="1"/>
        <s v="REDUCTOR MAGUIRE SIST. ALIM." u="1"/>
        <s v="PANEL DE CONTROL PREMIER SIST." u="1"/>
        <s v="PANEL DE CONTROL  MAGUIRE SIST" u="1"/>
        <s v="TRANSFORMADOR SIST. ALIM." u="1"/>
        <s v="MOTOR AEROLOCK SIST. ALIM." u="1"/>
        <s v="REDUCTOR AEROLOCK SIST. ALIM" u="1"/>
        <s v="TABLERO AEROLOCK SIST. ALIM." u="1"/>
        <s v="TOLVA AEROLOCK SIST. ALIM." u="1"/>
        <s v="SIST. ALIM. EXTRUDER LATERAL" u="1"/>
        <s v="SECADOR SIST. ALIM." u="1"/>
        <s v="BLOWER SECADOR TOLVA SIST. ALI" u="1"/>
        <s v="PANEL DE CONTROL SECADOR TOLVA" u="1"/>
        <s v="TOLVA B SECADOR TOLVA SIST. AL" u="1"/>
        <s v="TARJETA CONTROL TOLVA B EXT LA" u="1"/>
        <s v="COMPUTADOR PANEL DE CONTROL" u="1"/>
        <s v="AIRE ACONDICIONADO COMPUTADOR" u="1"/>
        <s v="TRANSFORMADOR PRINCIPAL" u="1"/>
        <s v="TABLERO ELECTRICO PRECALENTADO" u="1"/>
        <s v="AIRE ACONDIC TAB ELEC PRECALEN" u="1"/>
        <s v="IMPRESORA VAN DAM 560" u="1"/>
        <s v="MOTOR BATERIA 1" u="1"/>
        <s v="MOTOR BATERIA 2" u="1"/>
        <s v="MOTOR BATERIA 3" u="1"/>
        <s v="MOTOR BATERIA 4" u="1"/>
        <s v="MOTOR BATERIA 5" u="1"/>
        <s v="MOTOR PRINCIPAL" u="1"/>
        <s v="PANEL DE CONTROL PRINCIPAL" u="1"/>
        <s v="REDUCTORES A RODILLOS SIS  E" u="1"/>
        <s v="MOTOR PRINCIPAL DESEMBOBINADOR" u="1"/>
        <s v="MOTOR NEUMAT DESEMBOBINADOR" u="1"/>
        <s v="REDUCTOR PRINCIPAL" u="1"/>
        <s v="REDUCTOR HALADOR" u="1"/>
        <s v="TERMOFORMADORA" u="1"/>
        <s v="BOMBA DE VACIO 1" u="1"/>
        <s v="BOMBA VACIO 2" u="1"/>
        <s v="MOTOR BOMBA VACIO 2" u="1"/>
        <s v="BOMBA MOKON 1" u="1"/>
        <s v="BOMBA MOKON 2" u="1"/>
        <s v="BOMBA REFRIGERACION RIELES" u="1"/>
        <s v="MOTOR BOMBA MOKON" u="1"/>
        <s v="MOTOR BOMBA REFRIGERACION" u="1"/>
        <s v="CAJA DE CONEXIONES MOKON FORM" u="1"/>
        <s v="ESTACION DE EMPAQUE" u="1"/>
        <s v="CONVEYOR BANDAS 2" u="1"/>
        <s v="MOTOR CURVA H. BECK" u="1"/>
        <s v="REDUCTOR CURVA H. BECK" u="1"/>
        <s v="CONVEYOR DE RODILLOS" u="1"/>
        <s v="SERVOMOTOR-CONVEYOR" u="1"/>
        <s v="REDUCTOR-CONVEYOR DESCARGA" u="1"/>
        <s v="CONVEYOR DE DESCARGA" u="1"/>
        <s v="MOTORREDUCTOR" u="1"/>
        <s v="REDUCTOR ALIMENTACION H. BECK" u="1"/>
        <s v="MOTORREDUCTOR-CONVEYOR" u="1"/>
        <s v="REDUCTOR-CONVEYOR RODILLOS" u="1"/>
        <s v="SERVOMOTOR CADENA" u="1"/>
        <s v="REDUCTOR BANDAS-MESA METALICA" u="1"/>
        <s v="REDUCTOR SELLADORA H. BECK" u="1"/>
        <s v="MOTOR SISTEMA DE VACIO H. BECK" u="1"/>
        <s v="MOTOR-REDUCTOR BANDAS" u="1"/>
        <s v="CONVEYOR BANDAS" u="1"/>
        <s v="REDUCTOR BANDA D SALIDA H.BECK" u="1"/>
        <s v="MOTOR DESEMBOBINADOR DE BOLSA" u="1"/>
        <s v="REDUCTOR DESEMBOBINADOR BOLSA" u="1"/>
        <s v="MOTOR BANDA DESC. D.C. STKM" u="1"/>
        <s v="SERVOMOTOR MOVIMIENT CUCHILLAS" u="1"/>
        <s v="MOTOR-REDUCTOR TIRA SOBRANTE" u="1"/>
        <s v="MOTOR SELLADO LATERAL H. BECK" u="1"/>
        <s v="REDUCTOR BANDA DE DESCARGA" u="1"/>
        <s v="REDUCTOR TIRA DE SOBRANTE" u="1"/>
        <s v="FRIGEL" u="1"/>
        <s v="COMPUTADOR" u="1"/>
        <s v="CONVEYOR-TROQUELADORA" u="1"/>
        <s v="MOTOR 1 CONVEYOR" u="1"/>
        <s v="MOTOR 2 CONVEYOR" u="1"/>
        <s v="MOTOR DEL SERVOPICK" u="1"/>
        <s v="MOTOR DEL EYECTOR" u="1"/>
        <s v="REDUCTOR A TROQUEL TROQ" u="1"/>
        <s v="REDUCTOR DEL TRQQUEL" u="1"/>
        <s v="TABLERO CONTROL TROQUEL  TROQ" u="1"/>
        <s v="PANEL DE PULSADORES" u="1"/>
        <s v="MOTOR DEL CANOPY  TROQ  BROWN" u="1"/>
        <s v="MOTOR DEL SERVOPICK TROQ BROWN" u="1"/>
        <s v="MOTOR DEL TROQUEL  TROQ  BROWN" u="1"/>
        <s v="REDUCTOR DEL CANOPY TROQ BROWN" u="1"/>
        <s v="REDUCTOR  TROQ  BROWN" u="1"/>
        <s v="TABLERO DE FUERZA TQ BROWN" u="1"/>
        <s v="PANEL DE PULSADORES TROQ BROWN" u="1"/>
        <s v="KREYENBORG" u="1"/>
        <s v="FILTRO CAMARA FILTRADO" u="1"/>
        <s v="BLOWER ESCAPE FILTRADO" u="1"/>
        <s v="MOTOR BLOWER FILTRADO" u="1"/>
        <s v="SISTEMA GAVIMETRICO" u="1"/>
        <s v="MOTOREDUCTOR GAVIMETRICO" u="1"/>
        <s v="MOTOR UNID DOSIF LOOP" u="1"/>
        <s v="REDUCTOR UNID DOSIF LOOP" u="1"/>
        <s v="TABLERO CTRL GAVIMETRICO" u="1"/>
        <s v="TOLVA LOOP" u="1"/>
        <s v="TOLVA SISTEMA GAVIMETRICO" u="1"/>
        <s v="TOLVA ALIMENTACIÓN SECADOR" u="1"/>
        <s v="BLOWER ENFRI MOD1" u="1"/>
        <s v="BLOWER ENFRI MOD2" u="1"/>
        <s v="MOTOR BLOWER ENFRI MOD1" u="1"/>
        <s v="MOTOR BLOWER ENFRI MOD 2" u="1"/>
        <s v="SIST NEUMÁTICO TRANSPORTE" u="1"/>
        <s v="BOMBA DE VACIO IZQ" u="1"/>
        <s v="BLOWER SISTEMA NEUMÁTICO" u="1"/>
        <s v="MOTOR BLOWER SIST NEUMA" u="1"/>
        <s v="MOTOR B. VACIO IZQ" u="1"/>
        <s v="TABLERO UNIDAD K-TRON" u="1"/>
        <s v="TABLERO HMI" u="1"/>
        <s v="AIRE ACONDICIONADO TAB" u="1"/>
        <s v="PANEL DE OPERACIÓN" u="1"/>
        <s v="TAMBOR ROTATORIO SISTEMA DE SE" u="1"/>
        <s v="MOTOR TAMBOR ROTATORIO IZQ" u="1"/>
        <s v="MOTOR TAMBOR ROTATORIO DER" u="1"/>
        <s v="REDUC TAMBOR ROTATORIO DER" u="1"/>
        <s v="REDUC TAMBOR ROTATORIO IZQ" u="1"/>
        <s v="TOLVA DESCARGA PRODUCTO SECADO" u="1"/>
        <s v="BOMBA SISTEMA REF REBORDEADORA" u="1"/>
        <s v="MOTOR BOMBA SISTEMA REF REBORD" u="1"/>
        <s v="HORNO REBORDEADORA" u="1"/>
        <s v="CAJA DE CONEXIONES TABLERO ELE" u="1"/>
        <s v="MOTOR DEL DESEMBOBINADOR" u="1"/>
        <s v="REDUCTOR DE LA CADENA TRANS LA" u="1"/>
        <s v="BOMBA HIDRA SISTEM HIDRA" u="1"/>
        <s v="BLOWER SISTEM HIDRA" u="1"/>
        <s v="INTERCAMBIADOR SISTEM HIDRA" u="1"/>
        <s v="ELEVADOR DESEMBOBINADOR" u="1"/>
        <s v="MOTOR ELEVADOR" u="1"/>
        <s v="REDUCTOR ELEVADOR" u="1"/>
        <s v="EMBOBINADOR DE TIRA" u="1"/>
        <s v="MOTOR EMBOBINADOR TIRA" u="1"/>
        <s v="REDUCTOR EMBOBINADOR DE TIRA" u="1"/>
        <s v="TABLERO DE CONTROL PLC" u="1"/>
        <s v="AIRE ACONDICIONADO TABLERO" u="1"/>
        <s v="AIRE ACOND TABLERO FUERZA" u="1"/>
        <s v="PERFORADOR" u="1"/>
        <s v="MOTOR REDUCTOR INFERIOR" u="1"/>
        <s v="REDCTR DESPLAZAMIENTO TROQUEL" u="1"/>
        <s v="CUERPO DESEMBOBINADOR DESBOBIN" u="1"/>
        <s v="BOMBA DE VACIO FORMADORA FORM" u="1"/>
        <s v="MOTOR BOMBA DE VACIO FORM" u="1"/>
        <s v="MOTOR 1 PLACA SUPERIOR E INFER" u="1"/>
        <s v="MOTOR 2 PLACA SUPERIOR E INFER" u="1"/>
        <s v="REDUCTOR SUP PLACA SUPERIOR E" u="1"/>
        <s v="REDUCTOR INF PLACA SUPERIOR E" u="1"/>
        <s v="CIRCUITO DE AUGA MOKON REF MOK" u="1"/>
        <s v="BOMBA MOKON REF MOKON FORM" u="1"/>
        <s v="MOTOR REF MOKON FORM" u="1"/>
        <s v="CAJA DE CONEXIONES REF MOKON F" u="1"/>
        <s v="ESTRUCTURA HORNO HORN" u="1"/>
        <s v="MOTOR CADENA HALADORES HORN" u="1"/>
        <s v="CUERPO MOLINO MOLI" u="1"/>
        <s v="MOTOR MOLINO MOLI" u="1"/>
        <s v="MOTOR DEL BLOWER MOLINO MOLI" u="1"/>
        <s v="REDUCTOR MOLINO MOLI" u="1"/>
        <s v="CUERPO MAC DUE SELL PRE" u="1"/>
        <s v="MOTOR BRAZO EMPUJADOR MAC DUE" u="1"/>
        <s v="MOTOR BANDA DESCARGUE MAC DUE" u="1"/>
        <s v="MOTOR DESEMBOBINADOR MAC DUE S" u="1"/>
        <s v="REDUCTOR BANDA TRANSP. SALIDA" u="1"/>
        <s v="REDUCTOR B. DESCAGUE MAC DUE S" u="1"/>
        <s v="TABLERO PRINCIPAL MAC DUE SE" u="1"/>
        <s v="TABLERO DRIVE TABLERO PRINCIPA" u="1"/>
        <s v="AIRE ACONDICIONADO TABLERO P" u="1"/>
        <s v="DISPLAY MICROPHASER  CTRL ELE" u="1"/>
        <s v="CUERPO TROQUELADORA TROQ" u="1"/>
        <s v="MOTOR CANOPY TROQ" u="1"/>
        <s v="SERVOMOTOR TROQUEL TROQ" u="1"/>
        <s v="MOTOR  SERVOPICK TROQ" u="1"/>
        <s v="CAJA DE PULSADORES TROQUEL TRO" u="1"/>
        <s v="TABLERO DE FUERZA TABLERO DE F" u="1"/>
        <s v="PANEL DE PULSADORES TABLERO DE" u="1"/>
        <s v="MOTOR BANDA TRASP PLASTICA EMP" u="1"/>
        <s v="MOTOR CONTADOR EMPACADORA RENN" u="1"/>
        <s v="SERVOM BANDA CONT EMPAC RENNCO" u="1"/>
        <s v="MOTOR BANDA DE TRANSFERENCIA E" u="1"/>
        <s v="MOTOR BANDA DESCARGUE EMPACADO" u="1"/>
        <s v="MOTOR EMBOBINADOR DE SCRAP EMP" u="1"/>
        <s v="REDUCTOR BANDA TRASP PLASTICA" u="1"/>
        <s v="REDUCTOR CONTADOR EMPACADORA R" u="1"/>
        <s v="REDUCTOR BANDA DE TRANSFERENCI" u="1"/>
        <s v="REDUCTOR BANDA DESCARGUE EMPAC" u="1"/>
        <s v="CUCHILLA EMPACADORA EMPACADORA" u="1"/>
        <s v="EMPACADORA NAS1" u="1"/>
        <s v="MOTOR BAND PLASTICA CURVA NAS1" u="1"/>
        <s v="MOTOR BANDA ALIMENTACIÓN NAS1" u="1"/>
        <s v="SERVO CONTADOR EMPACADORA NAS1" u="1"/>
        <s v="REDUC BANDA PLASTI CURVA NAS1" u="1"/>
        <s v="REDUCTOR BANDA ALIMENTAC NAS1" u="1"/>
        <s v="EMPACADORA NAS2" u="1"/>
        <s v="MOTOR BAN PLASTCURVA NAS2" u="1"/>
        <s v="MOTOR BANDA ALIMENTACIÓN NAS2" u="1"/>
        <s v="SERVO CONTADOR EMPACADORA NAS2" u="1"/>
        <s v="REDU BANDA PLASTICA CURVA NAS2" u="1"/>
        <s v="REDUCTOR BANDA ALIMENTACIÓN NA" u="1"/>
        <s v="MOTOR BOMBA VACIO FORMADORA" u="1"/>
        <s v="REDUCTOR MOLDE PLACA SUP E INF" u="1"/>
        <s v="MICRO FRIGEL RCD170 L/24 SP" u="1"/>
        <s v="REDUCTOR MOLINO" u="1"/>
        <s v="REBORDEADORA LR-2000-3" u="1"/>
        <s v="HORNO REBORDEADORA LR-2000-3" u="1"/>
        <s v="MOTOR BANDA CURVA REBORDEADORA" u="1"/>
        <s v="MOTOR PRINCIPAL REBORDEADORA L" u="1"/>
        <s v="REDUCTOR BANDA CURVA REBORDEAD" u="1"/>
        <s v="TABLERO ELECTRICO REBORDEADORA" u="1"/>
        <s v="MICROPHASER MICROPHASER  CTRL" u="1"/>
        <s v="TABLERO DE FUERZA TROQUELADORA" u="1"/>
        <s v="APILADOR" u="1"/>
        <s v="CHILLER FRIGEL" u="1"/>
        <s v="EMBOBINADOR DE SCRAP" u="1"/>
        <s v="CAJA DE CONEXIONES PLACA INF F" u="1"/>
        <s v="BORNEA DE CONEXIONES TABLERO" u="1"/>
        <s v="SELLADORA PEDAL" u="1"/>
        <s v="TRANSFORMADO" u="1"/>
        <s v="MOTOR DESBOBINADOR" u="1"/>
        <s v="REDUCTOR DESBOBINADOR" u="1"/>
        <s v="MOTOR BANDA ALIMENTADORA EMPAC" u="1"/>
        <s v="REDUCTOR BANDA ALIMENTADORA EM" u="1"/>
        <s v="MICROPHASER  CTRL ELE FOR" u="1"/>
        <s v="TABLERO CONTROL CAMBIA MALLAS" u="1"/>
        <s v="BOMBA REFRIGERACION BARRIL" u="1"/>
        <s v="TABLERO DRIVE PANEL CTRL EXT" u="1"/>
        <s v="AIRE ACONDICIONADO PANEL CTRL" u="1"/>
        <s v="MOTOR REFRI CAJA  EXT" u="1"/>
        <s v="BOMBA 1 REFRI BARRIL" u="1"/>
        <s v="BOMBA 2 REFRI BARRIL" u="1"/>
        <s v="TAB DRIVE SECUN PANEL CTRL  EX" u="1"/>
        <s v="CUERPO MOLDE SIS  MOLD" u="1"/>
        <s v="INTERCAMBIADOR MOLDE SIS  MOLD" u="1"/>
        <s v="RODILLO 1 Y 2 RODILLOS SIS  EM" u="1"/>
        <s v="REDUCTORES 1 RODILLOS SIS  EMB" u="1"/>
        <s v="REDUCTORES 2 RODILLOS SIS  EMB" u="1"/>
        <s v="RODILLO 3 Y 4 RODILLOS SIS  EM" u="1"/>
        <s v="REDUCTORES 3 RODILLOS SIS  EMB" u="1"/>
        <s v="REDUCTORES 4 RODILLOS SIS  EMB" u="1"/>
        <s v="REDUCTOR SUMITOMO RODILLOS SIS" u="1"/>
        <s v="TOLVA 4 MEZCLA SIS  DOSI" u="1"/>
        <s v="MOTOR MEZCLA SIS  DOSI" u="1"/>
        <s v="CAJA REDUCTORA MEZCLA SIS  D" u="1"/>
        <s v="REDUCTOR MEZCLA SIS  DOSI" u="1"/>
        <s v="SISTEMA INYECCION SIS INY  B" u="1"/>
        <s v="MOTOR B. LEWA PRESION GAS SI" u="1"/>
        <s v="INYECTORA FORMADORA AOKI" u="1"/>
        <s v="CHILLER FRIGEL RCP 130 HF" u="1"/>
        <s v="BOMBA CHILLER FRIGEL" u="1"/>
        <s v="MOTOR ELECTRICO CHILLER FRIGEL" u="1"/>
        <s v="TABLERO ELECTRICO CHILLER FRIG" u="1"/>
        <s v="DESHUMIFICADOR CABINA FORMADO" u="1"/>
        <s v="MOTOR ELECTRICO INYECTORA SOPL" u="1"/>
        <s v="SISTM. HIDRAUL. INYEC. SOPLADO" u="1"/>
        <s v="BOMBA HIDRAULICA INYECT. SOPLA" u="1"/>
        <s v="SISTM. NEUMATIC. INYEC. SOPLAD" u="1"/>
        <s v="SECADOR MATERIAL MATSUI" u="1"/>
        <s v="BLOWER REGENERACION SECADOR RE" u="1"/>
        <s v="MOTOR ELECTRICO SECADOR RESINA" u="1"/>
        <s v="TABLERO ELECTRICO SECADOR MATS" u="1"/>
        <s v="TABLERO ELECTRIC INYEC. SOPLAD" u="1"/>
        <s v="UNIDAD INYECCION AOKY" u="1"/>
        <s v="UNIDAD MOLDE SUPERIOR AOKY" u="1"/>
        <s v="UNIDAD MOLDE INFERIOR AOKY" u="1"/>
        <s v="MOTOR BOMBA DE VACIO FORMADO" u="1"/>
        <s v="MOTOR MOLDE SUP FORMADORA" u="1"/>
        <s v="MOTOR MOLDE INF FORMADORA" u="1"/>
        <s v="REDUCTOR MOLDE SUP FORMADORA" u="1"/>
        <s v="REDUCTOR MOLDE INF FORMADORA" u="1"/>
        <s v="CIRCUITO DE AGUA MOKON MOKON" u="1"/>
        <s v="BOMBA MOKON FORMADORA" u="1"/>
        <s v="MOTOR BOMBA MOKON FORMADORA" u="1"/>
        <s v="CAJA CONEX MOKON FORMADORA" u="1"/>
        <s v="MOTOR TROQUEL" u="1"/>
        <s v="TABLERO DE FUERZA TABLERO TR" u="1"/>
        <s v="CUERPO CAMBIA MALLAS EXT PRIM" u="1"/>
        <s v="CAJA DE CONEX 2 CAMBIA MALLAS" u="1"/>
        <s v="BARRIL  EXTRUSION EXT PRIM" u="1"/>
        <s v="CAJA REDUCTORA TRANSMISION EXT" u="1"/>
        <s v="BOMBA  REFRIGERACION CAJA  EXT" u="1"/>
        <s v="INTERCAMBIADOR REFRIGERACION C" u="1"/>
        <s v="SISTEMA REFRIGERACION BARRIL E" u="1"/>
        <s v="MOTOR REFRIGERACION BARRIL EXT" u="1"/>
        <s v="AIRE ACONDICIONADO  PANEL CTRL" u="1"/>
        <s v="TABLERO DRIVE EXTRU. PRIMARIO" u="1"/>
        <s v="AIRE ACONDICION PANEL CTRL EXT" u="1"/>
        <s v="BARRIL  EXTRUSION EXT SEC" u="1"/>
        <s v="MOTOR TRANSMISION EXT SEC" u="1"/>
        <s v="SISTEMA REFRIGERACION EXT SEC" u="1"/>
        <s v="BOMBA REFIG. 1 EXTR SECUNDARIO" u="1"/>
        <s v="BOMBA REFRIGERACION EXT SEC" u="1"/>
        <s v="INTERCAMBIADOR 1 REFRIGERACION" u="1"/>
        <s v="INTERCAMBIADOR 2 REFRIGERACION" u="1"/>
        <s v="INTERCAMBIADOR 3 REFRIGERACION" u="1"/>
        <s v="INTERCAMBIADOR 4 REFRIGERACION" u="1"/>
        <s v="MOTOR REFRIGERACION EXT SEC" u="1"/>
        <s v="CAJA DE CONEX 3 REFRIGERACION" u="1"/>
        <s v="AIRE ACOND. PANEL CTRL EXT SEC" u="1"/>
        <s v="BLOWER BOTELLA SIS  MOLD" u="1"/>
        <s v="MOTOR BOTELLA SIS  MOLD" u="1"/>
        <s v="CAJA REDUCTORA MOLDE SIS  MOLD" u="1"/>
        <s v="CAJA DE CTRL BOTELLA SIS  MOLD" u="1"/>
        <s v="CAJA DE CONEX 4 BOTELLA SIS  M" u="1"/>
        <s v="EMBOBINADOR A Y B RODILLOS" u="1"/>
        <s v="MOTOR 1 RODILLOS SIST  EMBO" u="1"/>
        <s v="MOTOR 2 RODILLOS SIST  EMBO" u="1"/>
        <s v="REDUCTOR 1 RODILLOS SIST  EMBO" u="1"/>
        <s v="REDUCTOR 2 RODILLOS SIST  EMBO" u="1"/>
        <s v="TABLERO CTRL DE TENSIÓN A Y B" u="1"/>
        <s v="AIRE ACONDICIONADO RODILLOS SI" u="1"/>
        <s v="CAJA DE PULSADORES A Y B RODIL" u="1"/>
        <s v="RODILLOS EMBOBINADOR C Y D" u="1"/>
        <s v="MOTOR 3 RODILLOS SIST  EMBO" u="1"/>
        <s v="MOTOR 4 RODILLOS SIST  EMBO" u="1"/>
        <s v="REDUCTOR 3 RODILLOS SIST  EMBO" u="1"/>
        <s v="REDUCTOR 4 RODILLOS SIST  EMBO" u="1"/>
        <s v="TABLERO CTRL DE TENSIÓN C Y D" u="1"/>
        <s v="CAJA DE PULSADORES C Y D RODIL" u="1"/>
        <s v="RODILLOS DE CAUCHO 1, 2, 3 Y 4" u="1"/>
        <s v="MOTOR  RODILLOS SIST  HALA" u="1"/>
        <s v="TABLERO VAR VEL ROS SIS HALA" u="1"/>
        <s v="CAJA DE PULSADORES RODILLOS SI" u="1"/>
        <s v="AIRE ACONDICIONADO ROD SIS HA" u="1"/>
        <s v="SISTEMA SIS  DOSI" u="1"/>
        <s v="CANT MATERIAL KTRON TABLERO CT" u="1"/>
        <s v="TOLVA VIRGEN SIS  DOSI" u="1"/>
        <s v="CAJA DE CTRL KCM VIRGEN SIS  D" u="1"/>
        <s v="TOLVA ADICIONAL VIRGEN SIS  DO" u="1"/>
        <s v="TOLVA PIGMENTO SIS  DOSI" u="1"/>
        <s v="CAJA DE CTRL KCM PIGMENTO SIS" u="1"/>
        <s v="TOLVA NUCLEANTE SIS  DOSI" u="1"/>
        <s v="MOTOR NUCLEANTE SIS  DOSI" u="1"/>
        <s v="CAJA DE CTRL KCM NUCLEANTE SIS" u="1"/>
        <s v="TOLVA MOLIDO SIS  DOSI" u="1"/>
        <s v="CAJA DE CTRL KCM MOLIDO SIS  D" u="1"/>
        <s v="TOLVA MOLIDO PELE SIS  DOSI" u="1"/>
        <s v="MOTOR MOLIDO PELE SIS  DOSI" u="1"/>
        <s v="REDUCTOR MOLIDO PELE SIS  DOSI" u="1"/>
        <s v="CAJA REDUCTORA MOLIDO PELE SIS" u="1"/>
        <s v="BOMBA LEWA 1 SIS INY  BUT" u="1"/>
        <s v="REDUCTOR SIS INY  BUT" u="1"/>
        <s v="BOMBA LEWA 2 SIS INY  BUT" u="1"/>
        <s v="MOTOR SIS INY  BUT" u="1"/>
        <s v="CAJA DE CONEX 1 SIS INY  BUT" u="1"/>
        <s v="SISTEMA TRASPORTE SIS  TRAN  M" u="1"/>
        <s v="BLOWER BLOWER VIRGEN  SIS  TRA" u="1"/>
        <s v="MOTOR BLOWER VIRGEN  SIS  TRAN" u="1"/>
        <s v="BLOWER BLOWER MOLIDO SIS  TRAN" u="1"/>
        <s v="MOTOR BLOWER MOLIDO SIS  TRAN" u="1"/>
        <s v="RECEIVER PIGMENTO SIS  TRAN  M" u="1"/>
        <s v="RECEIVER NUCLEANTE SIS  TRAN" u="1"/>
        <s v="SISTEMA DE CTRL TABLERO CTRL S" u="1"/>
        <s v="COMPUTADOR CENTRAL PANEL CTRL" u="1"/>
        <s v="UNIDAD TEMPERATURA BUDZAR" u="1"/>
        <s v="BOMBA 1 BUDZAR UNI  TEMP BUD" u="1"/>
        <s v="BOMBA 2 BUDZAR UNI  TEMP BUD" u="1"/>
        <s v="INTERCAMBIADOR BUDZAR UNI  TEM" u="1"/>
        <s v="MOTOR 1 BUDZAR UNI  TEMP BUD" u="1"/>
        <s v="MOTOR 2 BUDZAR UNI  TEMP BUD" u="1"/>
        <s v="CTRLADOR 1 BUDZAR UNI  TEMP BU" u="1"/>
        <s v="MOTOREDUCTOR EMBOBINADOR SCRAP" u="1"/>
        <s v="PLACA CALENTADORA  TERMOFORMAD" u="1"/>
        <s v="BOMBA MELT PUMP" u="1"/>
        <s v="MOTOR DE LA BOMBA MELT PUMP" u="1"/>
        <s v="REDUCTOR DE LA BOMBA MELT PUMP" u="1"/>
        <s v="CELDA DE FUERZA MELT PUMP" u="1"/>
        <s v="CAMBIA MALLAS KCH- 4,5" u="1"/>
        <s v="SISTEMA HIDRAULICO KCH 4.5" u="1"/>
        <s v="PANEL DE CONTROL KCH 4.5" u="1"/>
        <s v="TABLERO DE POTENCIA KCH 4.5" u="1"/>
        <s v="EXTRUDER 01" u="1"/>
        <s v="BOMBA DE REFRIGERACION" u="1"/>
        <s v="MOTOR BLOWER MOTOR PRINCIPAL" u="1"/>
        <s v="CAJA DE REDUCCION" u="1"/>
        <s v="BOMBA DE REFRIGERACION ACEITE" u="1"/>
        <s v="CELDA DE FUERZA" u="1"/>
        <s v="EXTRUDER 14" u="1"/>
        <s v="BOMBA PARA ACEITE" u="1"/>
        <s v="EXTRUDER 21" u="1"/>
        <s v="MOTOR PRINCIPAL EXT. 21" u="1"/>
        <s v="BOMBA RECIRCULACION ACEITE" u="1"/>
        <s v="MOTOR BOMBA DE RECIRCULACION" u="1"/>
        <s v="EXTRUDER 28" u="1"/>
        <s v="BLOWER DE REFRIGERACION" u="1"/>
        <s v="GUILLOTINA SPEEDEX" u="1"/>
        <s v="SERVO MOTOR  GUILLOTINA" u="1"/>
        <s v="MOLINO MPG" u="1"/>
        <s v="MOLINO TIRAS IZQUIERDO" u="1"/>
        <s v="MOTOR EMBOBINADOR  A" u="1"/>
        <s v="REDUCTOR EMBOBINADOR  A" u="1"/>
        <s v="MOTOR EMBOBINADOR   B" u="1"/>
        <s v="REDUCTOR EMBOBINADOR  B" u="1"/>
        <s v="RODILLOS HALADORES" u="1"/>
        <s v="MOTOR RODILLOS HALADORES" u="1"/>
        <s v="REDUCTOR 180 GRADOS" u="1"/>
        <s v="RODILLOS LAMINADORES" u="1"/>
        <s v="MOTOR RODILLOS LAMINADORES" u="1"/>
        <s v="REDUCTOR 90 GRADOS" u="1"/>
        <s v="SISTEMA HIDRAULICO" u="1"/>
        <s v="BOMBA SISTEMA HIDRAULICO" u="1"/>
        <s v="MOTOR BOMBA SISTEMA HIDRAULICO" u="1"/>
        <s v="SISTEMA DE REFRIGERACION" u="1"/>
        <s v="TERMOREGULADOR RBD450  A" u="1"/>
        <s v="TERMORREGULADOR RBD450  B" u="1"/>
        <s v="MOTOR DEL REDUCTOR DE PIGMENTO" u="1"/>
        <s v="SIST. ALIMENTACIÓN EXTRUDER 14" u="1"/>
        <s v="MOTOR DEL REDUCTOR MEZCLADOR" u="1"/>
        <s v="SIST. ALIMENTACION MAT. VIRGEN" u="1"/>
        <s v="MOTOR DEL REDUCTOR MAT. VIRGEN" u="1"/>
        <s v="SIST. ALIMENTACIÓN EXTRUDER 21" u="1"/>
        <s v="MOTOR DE REDUCTOR MAT. VIRGEN" u="1"/>
        <s v="SIST. ALIMENTACION MAT. MOLIDO" u="1"/>
        <s v="MOTOR DEL REDUCTOR MAT. MOLIDO" u="1"/>
        <s v="SIST. HIDRAULICO CAMBIAMALLAS" u="1"/>
        <s v="BOMBA HIDRAULICA CAMBIAMALLAS" u="1"/>
        <s v="MOTOR SISTEMA CAMBIAMALLAS" u="1"/>
        <s v="SECADOR CONAIR" u="1"/>
        <s v="MOTOR BLOWER PROCESO IZQ." u="1"/>
        <s v="MOTOR BLOWER REGENERACION DER." u="1"/>
        <s v="MOTOR BLOWER ENFRIAMIENTO" u="1"/>
        <s v="MOTOR DEL TAMBOR DE SILICA" u="1"/>
        <s v="ESTACION DE FORM TERMOFORMA GN" u="1"/>
        <s v="MOTOR DEL BLOWER - MOLINO" u="1"/>
        <s v="AIRE ACONDICIONADO TAB ELEC" u="1"/>
        <s v="AIRE ACONDICIONADO CTRL ELE FO" u="1"/>
        <s v="REDUCTOR TROQUEL TROQUELADOR" u="1"/>
        <s v="MOTOR LEVA" u="1"/>
        <s v="REDUCTOR LEVA" u="1"/>
        <s v="BOMBA DE VACIO B. VACIO FORM" u="1"/>
        <s v="MOTOR 1 PLACA SUP E INF FORM" u="1"/>
        <s v="MOTOR 2 PLACA SUP E INF FORM" u="1"/>
        <s v="REDUCTOR SUP PLACA SUP E INF F" u="1"/>
        <s v="REDUCTOR INF PLACA SUP E INF F" u="1"/>
        <s v="CIRCUITO DE AGUA MOKON REF MOK" u="1"/>
        <s v="MOTOR CADENA TRANS LAMINA HORN" u="1"/>
        <s v="CUERPO MOLINO" u="1"/>
        <s v="EMPACADORA MAC DUE MEDISA 5651" u="1"/>
        <s v="REDUCTOR B. EMPUJADOR MAC DUE" u="1"/>
        <s v="REDUCTOR DESBOBINADOR MAC DUE" u="1"/>
        <s v="TABLERO PRINCIPAL MAC DUE SELL" u="1"/>
        <s v="CAJA PULSADORES MAC DUE SELL P" u="1"/>
        <s v="TABLERO DRIVE TABLERO ELEC" u="1"/>
        <s v="AIRE ACON. MICROPHASER  CTRL E" u="1"/>
        <s v="CUERPO TROQUELADORA" u="1"/>
        <s v="REDUCTOR CANOPY TROQ" u="1"/>
        <s v="REDUCTOR TROQUEL TROQ" u="1"/>
        <s v="TABLERO DE TROQUEL" u="1"/>
        <s v="APILADOR SISTEMA DE APILADO" u="1"/>
        <s v="ESTACION DE FORMADO TROQUEL FO" u="1"/>
        <s v="CAJA DE CONEX PLACA INF F" u="1"/>
        <s v="MOTOREDUCTOR RODILL. PRECALENT" u="1"/>
        <s v="TABLERO ELECTRI PRECALENTADOR" u="1"/>
        <s v="HORNO FORMADORA" u="1"/>
        <s v="REFRIGERACION FORMADO" u="1"/>
        <s v="TRANSFORMADO TRANSFORMADO" u="1"/>
        <s v="BANDA TRANSPORTE" u="1"/>
        <s v="MOTOREDUCTOR BANDA" u="1"/>
        <s v="CLUTCH/ BRAKE" u="1"/>
        <s v="MOTOR CLUTCH" u="1"/>
        <s v="MOTOR REDUCTOR" u="1"/>
        <s v="REDUCTOR" u="1"/>
        <s v="TABLERO CONTROL PRINCIPAL" u="1"/>
        <s v="UNIDAD ULTRAVIOLETA 01" u="1"/>
        <s v="LAMPARA ULTRAVILETA 01" u="1"/>
        <s v="TABLERO ELECTRICO 01" u="1"/>
        <s v="UNIDAD ULTRAVIOLETA 02" u="1"/>
        <s v="LAMPARA ULTRAVIOLETA 02" u="1"/>
        <s v="UNIDAD ULTRAVIOLETA 03" u="1"/>
        <s v="LAMPARA ULTRAVIOLETA  03" u="1"/>
        <s v="TABLERO ELECTRICO  03" u="1"/>
        <s v="UNIDAD ULTRAVIOLETA  04" u="1"/>
        <s v="LAMPARA ULTRAVIOLETA 04" u="1"/>
        <s v="TABLERO ELECTRICO  04" u="1"/>
        <s v="UNIDAD ULTRAVIOLETA  05" u="1"/>
        <s v="LAMPARA ULTRAVIOLETA  05" u="1"/>
        <s v="TABLERO ELECTRICO  05" u="1"/>
        <s v="UNIDAD ULTRAVIOLETA  06" u="1"/>
        <s v="LAMPARA ULTRAVIOLETA  06" u="1"/>
        <s v="TABLERO ELECTRICO  06" u="1"/>
        <s v="MOTOREDUCTOR ESTACION DE FORMA" u="1"/>
        <s v="MOTOR CADENA ARRASTRE LAM" u="1"/>
        <s v="REDUCTOR ARRASTRE DE LAMINA" u="1"/>
        <s v="MOTOR HALADOR" u="1"/>
        <s v="MOTOR BOMBA MOKON 1" u="1"/>
        <s v="MOTOR BOMBA MOKON 2" u="1"/>
        <s v="MOTOR DEL MOLINO PRINCIPAL" u="1"/>
        <s v="ESTACION DE EMPAQUE HUGO BECK" u="1"/>
        <s v="CONVEYOR BANDAS 2 S/MESA METAL" u="1"/>
        <s v="CONVEYOR RODILLOS" u="1"/>
        <s v="SERVO-BANDAS 2 (MESA METALICA)" u="1"/>
        <s v="REDUCTOR - CONVEYOR DESCARGA" u="1"/>
        <s v="CONVERYOR DESC. TROQ ARROWHEAD" u="1"/>
        <s v="MOTOR REDUC.-CONVEYOR DESCARGA" u="1"/>
        <s v="MOTOR CONVEYOR RODILLOS" u="1"/>
        <s v="REDUCTOR - CONVEYOR RODILLOS" u="1"/>
        <s v="SERVO MOTOR CADENA DE ARRASTRE" u="1"/>
        <s v="REDUCTOR BANDAS 2 - MESA METAL" u="1"/>
        <s v="MOTOR - REDUCTOR BANDAS 2" u="1"/>
        <s v="C/VEYOR BANDAS 1.SIG. CONV.ROD" u="1"/>
        <s v="SERVO MOTOR-CONVEYOR BANDAS 1" u="1"/>
        <s v="DESEMBOBINADOR DE BOLSA" u="1"/>
        <s v="MOTOR BANDA DESCARGA D.C. STKM" u="1"/>
        <s v="SERVOMOTOR MOVIMIENTO CUCHILLA" u="1"/>
        <s v="MOTOR-RECOLECTOR TIRA SOBRANTE" u="1"/>
        <s v="CONVEYOR" u="1"/>
        <s v="MOTOR 1" u="1"/>
        <s v="MOTOR 2" u="1"/>
        <s v="CRISTALIZADOR" u="1"/>
        <s v="BLOWER PRI. PROCESO  CRIST" u="1"/>
        <s v="MOTOR BLOWER PRINCIPAL" u="1"/>
        <s v="MAGUIRE CRISTALIZADOR" u="1"/>
        <s v="MOTOR DAYTON" u="1"/>
        <s v="REDUCTOR DAYTON" u="1"/>
        <s v="CAJA DE PASO MAGUIRE CRIST" u="1"/>
        <s v="MOTOR PALETAS MEZCLADORAS" u="1"/>
        <s v="REDUCTOR A 90°" u="1"/>
        <s v="QUEMADOR" u="1"/>
        <s v="MOTOR BLOWER QUEMADOR" u="1"/>
        <s v="TABLERO DE QUEMADOR" u="1"/>
        <s v="SISTEMA ALIM. CRISTALIZADOR" u="1"/>
        <s v="MOTOR  TOLVA CRISTALIZADOR" u="1"/>
        <s v="MOTOR ALIMENTACION VALVULA-" u="1"/>
        <s v="RED. INF. TOLVA" u="1"/>
        <s v="VALVULA ESTRELLA" u="1"/>
        <s v="TABLERO PPAL  CRIST" u="1"/>
        <s v="TABLERO DE DESCARGA" u="1"/>
        <s v="EXTRUDER PRINCIPAL A" u="1"/>
        <s v="MOTOR BOMBA MELT" u="1"/>
        <s v="REDUCTOR BOMBA MELT" u="1"/>
        <s v="BLOWER 1  EXTRUDER A" u="1"/>
        <s v="BLOWER 2  EXTRUDER A" u="1"/>
        <s v="BLOWER 3  EXTRUDER A" u="1"/>
        <s v="BLOWER 4  EXTRUDER A" u="1"/>
        <s v="SISTEMA DE CAMBIAMALLAS" u="1"/>
        <s v="CAJA DE CONTROL" u="1"/>
        <s v="CAJA DE PASO  EXTRUDER A" u="1"/>
        <s v="CAMBIAMALLAS KCH8" u="1"/>
        <s v="SIS.HIDRAULICO KCH8" u="1"/>
        <s v="PANEL DE CONTROL KCH8" u="1"/>
        <s v="TABLERO DE POTENCIA KCH8" u="1"/>
        <s v="BLOWER 1" u="1"/>
        <s v="BLOWER 2" u="1"/>
        <s v="INTERCAMBIADOR RD  EXTRUDER A" u="1"/>
        <s v="SIST REFRIGERACIÓN  EXT A" u="1"/>
        <s v="BOMBA" u="1"/>
        <s v="INTERCAMBIADOR DE CALOR  EXT A" u="1"/>
        <s v="TABLERO CELDA DE FUERZA" u="1"/>
        <s v="TABLERO VARIADOR DE VELOCIDAD" u="1"/>
        <s v="AIRE ACONDI TABLERO VAR. EXT A" u="1"/>
        <s v="EXTRUDER SECUNDARIO B" u="1"/>
        <s v="MOTOR-BOMBA MELT PUMP" u="1"/>
        <s v="REDUCTOR A 90° BOMBA MELT PUMP" u="1"/>
        <s v="SISTEMA CAMBIAMALLAS" u="1"/>
        <s v="INTERCAMBIADOR DE CALOR  EXT B" u="1"/>
        <s v="AIRE ACONDICIONADO  EXT B" u="1"/>
        <s v="RODILLO EMBOBINADOR" u="1"/>
        <s v="MOTOR EMBOBINADOR  # 1" u="1"/>
        <s v="REDUCTOR EMBOBINADOR # 2" u="1"/>
        <s v="REDUCTOR  # 3  RODILLO EMB" u="1"/>
        <s v="MOTOR EMBOBINADOR # 3" u="1"/>
        <s v="TABLERO CONTROL  RODILLO EMB" u="1"/>
        <s v="RODILLO EMB HAL MEZZANINE" u="1"/>
        <s v="MOTOR-RODILLOS HALADORES 2" u="1"/>
        <s v="REDUCTOR-RODILLOS HALADORES 2" u="1"/>
        <s v="MOTOR-RODILLOS HALADORES 1" u="1"/>
        <s v="REDUCTOR 90°-RODILL HALAD 1" u="1"/>
        <s v="PANEL DE CONTROL DE PRESION" u="1"/>
        <s v="MOTOR REDUCTOR LAMIN 1" u="1"/>
        <s v="MOTOR REDUCTOR LAMIN 2" u="1"/>
        <s v="MOTOR REDUCTOR LAMIN 3" u="1"/>
        <s v="MOTOR CARRO DE DESPLAZAMIENTO" u="1"/>
        <s v="REDUCTOR 90° RODILLO" u="1"/>
        <s v="REDUCTOR RODILLO" u="1"/>
        <s v="REDUCTOR 90° SIST DESPLAZAM" u="1"/>
        <s v="BOMBA HIDRAULICA" u="1"/>
        <s v="MOTOR BOMBA HIDRAULICA" u="1"/>
        <s v="CAJA DE PASO SEÑALES CONTROL" u="1"/>
        <s v="CAJA DE PASO POTENCIA MOTERES" u="1"/>
        <s v="CAJA DE PASO ENCODER LINEAL 1" u="1"/>
        <s v="CAJA DE PASO ENCODER LINEAL 2" u="1"/>
        <s v="RODILLOS LAMINADORES AUXILIARE" u="1"/>
        <s v="MOTOR RODILLO SUPERIOR" u="1"/>
        <s v="REDUCTOR RODILLO SUPERIOR" u="1"/>
        <s v="SIST. REFRIGERACIÓN RODILLOS A" u="1"/>
        <s v="BOMBA REFRG. RODILLO SUPERIOR" u="1"/>
        <s v="BOMBA REFRGE. RODILLO INFERIOR" u="1"/>
        <s v="MOTOR BOMBA REFG. RODLL. SUPER" u="1"/>
        <s v="MOTOR BOMBA REFG. RODLL SUPERI" u="1"/>
        <s v="RODILLO APLICACION SILICONA" u="1"/>
        <s v="BOMBA DOSIFICADORA SILICONA" u="1"/>
        <s v="MOTOR RODILLO SILICONA" u="1"/>
        <s v="REDUCTOR SIST. SILICONA" u="1"/>
        <s v="TABLERO DE CONTROL RODILLOS" u="1"/>
        <s v="SECADOR EXTRUDER PRINCIPAL" u="1"/>
        <s v="MAGUIRE--SECADOR" u="1"/>
        <s v="MOTOR MAGUIRE" u="1"/>
        <s v="CAJA DE PASO" u="1"/>
        <s v="BLOWER VENTILACION FORZADA" u="1"/>
        <s v="TABLERO DEL QUEMADOR" u="1"/>
        <s v="QUEMADOR DE REGENERACION" u="1"/>
        <s v="MOTOR QUEMADOR REGENERACION" u="1"/>
        <s v="BLOWER QUEMADOR REGENERACION" u="1"/>
        <s v="SISTEMA DE ALIMENTACIÓN" u="1"/>
        <s v="MOTOR TOLVA PRINCIPAL" u="1"/>
        <s v="REDUCTOR INF TOLVA SECADOR" u="1"/>
        <s v="TABLERO SISTEMA A" u="1"/>
        <s v="TABLERO SEGREGATIVA VALVE CTRL" u="1"/>
        <s v="TABLERO PRINCIPAL SM A" u="1"/>
        <s v="SECADOR EXTRUDER B" u="1"/>
        <s v="MAGUIRE-SECADOR EXTRUDER B" u="1"/>
        <s v="REDUCTOR MAGUIRE" u="1"/>
        <s v="TABLERO CONTROL" u="1"/>
        <s v="BLOWER PRINCIPAL PROCESO SM B" u="1"/>
        <s v="TABL DEHUMIDIFYING HOPPER DRYE" u="1"/>
        <s v="SECADOR MTO-EXTRUDER PRINCIPAL" u="1"/>
        <s v="SISTEMA DE ALIMENTACION" u="1"/>
        <s v="TABLERO SISTEMA B" u="1"/>
        <s v="SECADOR MTO-EXTRUDER B" u="1"/>
        <s v="CONSOLA PRINCIPAL PC" u="1"/>
        <s v="MOLDE EXTRUSION" u="1"/>
        <s v="PANEL DE CONTROL A NUCON SIST." u="1"/>
        <s v="PANEL DE CONTROL MAGUI SIST. A" u="1"/>
        <s v="TRANSFORMADOR  SIST. ALIM." u="1"/>
        <s v="BOMBA SISTEMA HIDRAULICO CAMBI" u="1"/>
        <s v="MOTOR SISTEMA HIDRAULICO CAMBI" u="1"/>
        <s v="TABLERO SISTEMA HIDRAULICO CAM" u="1"/>
        <s v="MOTOR BLOWER EXT PRIN" u="1"/>
        <s v="BOMBA DE REFRIGERACION EXT PRI" u="1"/>
        <s v="MOTOR DE LA BOMBA REFRIGERACIO" u="1"/>
        <s v="AIRE ACONDICIONADO TABLERO PRI" u="1"/>
        <s v="EXTRUSORA LATERAL B EXT LATERA" u="1"/>
        <s v="CAMBIAMALLAS  EXT LATERAL" u="1"/>
        <s v="MOTOR PRINCIPAL B EXT LATERAL" u="1"/>
        <s v="CAJA DE REDUCCION  B CAJA DE R" u="1"/>
        <s v="TABLERO TABLERO EXT LATERAL" u="1"/>
        <s v="AIRE ACONDICIONADO B TABLERO E" u="1"/>
        <s v="EXTRUSORA LATERAL C EXT AUX C" u="1"/>
        <s v="MELT PUMP MELT PUMP EXT AUX C" u="1"/>
        <s v="MOTOR MELT PUMP MELT PUMP EXT" u="1"/>
        <s v="REDUCTOR MELT PUMP  EXT AUX C" u="1"/>
        <s v="CAMBIAMALLAS CAMBIAMALLAS EXT" u="1"/>
        <s v="MOTOR PRINCIPAL EXT AUX C" u="1"/>
        <s v="CAJA DE REDUCCION EXT AUX C" u="1"/>
        <s v="SIST. REFRIGERACION EXT AUX C" u="1"/>
        <s v="BOMBA DE REFRIGERACION EXT AUX" u="1"/>
        <s v="MOTOR BOMBA C REFRIGERACION" u="1"/>
        <s v="TABLERO EXT LATERAL TABLERO EX" u="1"/>
        <s v="AIRE ACONDICIONADO TABLERO EXT" u="1"/>
        <s v="EXTRUSORA LATERAL D EXT AUX" u="1"/>
        <s v="MELT PUMP" u="1"/>
        <s v="MOTOR MELT PUMP" u="1"/>
        <s v="REDUCTOR MELT PUMP" u="1"/>
        <s v="MOTOR PRINCIPAL D EXT AUX D" u="1"/>
        <s v="CAJA DE REDUCCION D CAJA DE RE" u="1"/>
        <s v="SIST. REFRIGERACION EXT AUX D" u="1"/>
        <s v="BOMBA D REFRIGERACION EXT AUX" u="1"/>
        <s v="AIRE ACONDICIONADO D TABLERO" u="1"/>
        <s v="AIRE ACONDICIONADO D TABLERO E" u="1"/>
        <s v="MOTOR RODILLOS  HALADORES ROD" u="1"/>
        <s v="MOTOR RODILLO ROD LAMI" u="1"/>
        <s v="REDUCTOR CUCHILLAS REFILO ROD" u="1"/>
        <s v="REDUCTOR RODILLO  ROD LAMI" u="1"/>
        <s v="REDUCTOR CADENA DE TRACCION" u="1"/>
        <s v="BOMBA SISTEMA HIDRAULICO ROD L" u="1"/>
        <s v="INTERCAMBIADOR SIST. HIDRAULIC" u="1"/>
        <s v="SIST. REFRIGERACION RODILLOS R" u="1"/>
        <s v="BOMBA RODILLO" u="1"/>
        <s v="BOMBA RODILLO SIST. REFRIGERAC" u="1"/>
        <s v="INTERCAMBIADOR SIST. REFRIGERA" u="1"/>
        <s v="MOTOR BOMBA SIST. REFRIGERACIO" u="1"/>
        <s v="TABLERO SIST. REFRIGERACION RO" u="1"/>
        <s v="MAGUIRE" u="1"/>
        <s v="TOLVA 4 EXT PRINCIPAL SIST. AL" u="1"/>
        <s v="REDUCTOR MAGUIRE  SIST. ALIM." u="1"/>
        <s v="AEROLOCK-CICLON SIST. ALIM." u="1"/>
        <s v="REDUCTOR AEROLOCK  SIST. ALIM." u="1"/>
        <s v="SIST. ALIM.-EXTRUDER LATERAL B" u="1"/>
        <s v="SECADOR TOLVA SIST. ALIM." u="1"/>
        <s v="SIST. ALIM.-EXTRUDER LATERAL C" u="1"/>
        <s v="MOTOR EXT AUX C SIST. ALIM." u="1"/>
        <s v="SIST. ALIM.-EXTRUDER LATERAL D" u="1"/>
        <s v="MOTOR TABL AUX PRECALENTADOR" u="1"/>
        <s v="TABLERO ELEC PRECALENTADOR" u="1"/>
        <s v="AIRE ACOND TAB CON PRINCIPAL" u="1"/>
        <s v="MOTOR MOLINO SCRAP" u="1"/>
        <s v="MOTOR RODILOS HALADORES RODILL" u="1"/>
        <s v="MOTOR  BOMBA REFRIGERACION EXT" u="1"/>
        <s v="MOTOR BOMBA SIST. HIDRAULICO" u="1"/>
        <s v="PANEL DE CONTROL NUCON B SIST." u="1"/>
        <s v="PANEL DE CONTROL MAGUIRE SIST." u="1"/>
        <s v="PANEL DE CONTROL  SECADOR TOLV" u="1"/>
        <s v="BOMBA HIDRAULICA SISTEMA HIDRA" u="1"/>
        <s v="RODILLOS HALADORES RODILLOS HA" u="1"/>
        <s v="EXTRUSORA LATERAL" u="1"/>
        <s v="SIST. REFRIGERACION ROD LAMI" u="1"/>
        <s v="MICRO FRIGEL RCD170 L/12 SP" u="1"/>
        <s v="CAMBIAMALLAS EXT PRIN" u="1"/>
        <s v="BOMBA DE REFRIGERACION REFRIGE" u="1"/>
        <s v="BOMBA SIST. HIDRAULICO ROD LAM" u="1"/>
        <s v="REDUCTOR RODILLOS HALADORES" u="1"/>
        <s v="REDUCTOR ROD LAMI" u="1"/>
        <s v="REDUCTOR AEROLOCK" u="1"/>
        <s v="EXT LATERAL B SIST. ALIM." u="1"/>
        <s v="IMPRESORA MULTICOLOR" u="1"/>
        <s v="DESENCARRADOR" u="1"/>
        <s v="MOTOR ACCIONAMIENTO" u="1"/>
        <s v="BLOWER DE SUCCION 2" u="1"/>
        <s v="REDUCTOR ACCIONAMIENTO" u="1"/>
        <s v="BOTONERA DESENCARRADOR" u="1"/>
        <s v="ENCARRADOR" u="1"/>
        <s v="MOTOR DE ACCIONAMIENTO" u="1"/>
        <s v="BLOWER INFERIOR" u="1"/>
        <s v="BLOWER SUPERIOR" u="1"/>
        <s v="REDUCTOR BATERIA" u="1"/>
        <s v="REDUCTOR DE ACCIONAMIENTO" u="1"/>
        <s v="BOTONERA MOVIL" u="1"/>
        <s v="MOTOREDUCTOR CADENA" u="1"/>
        <s v="CAJA DE PASO APILADOR SIS A" u="1"/>
        <s v="CHILLER FRIGEL REFRIGERACION" u="1"/>
        <s v="SERVOMOTOR ARRASTRE DE LÁMIN" u="1"/>
        <s v="PRECALENTADOR PRECALENTADOR" u="1"/>
        <s v="MOTOR TABLERO AUXILIAR PRECA" u="1"/>
        <s v="HORNO HORNO" u="1"/>
        <s v="TRANSFO TABLERO CTRL PRINCIPAL" u="1"/>
        <s v="MOTOREDUCTO DESEMBOBINADOR" u="1"/>
        <s v="SERVO PLUG PLACA SUP FORMADO" u="1"/>
        <s v="SISTEMA NEUMÁTICO" u="1"/>
        <s v="AIRE ACON TABLERO CONTOL PRIN" u="1"/>
        <s v="PELETIZADORA SJ-150" u="1"/>
        <s v="EXTRUDER" u="1"/>
        <s v="SISTEMA REFRIGERACION PELETIZA" u="1"/>
        <s v="REDUCTOR SJ150" u="1"/>
        <s v="MOTOR ELECTRICO REDUCTOR" u="1"/>
        <s v="GRANULADOR PELIZADORA" u="1"/>
        <s v="SISTEMA DE ALIMENTACION PELETI" u="1"/>
        <s v="ESTACION DE FORMADO TERMOFORMA" u="1"/>
        <s v="PLACA PRECALENTADORA" u="1"/>
        <s v="TABLERO FUERZA TABLERO ELECTRI" u="1"/>
        <s v="REDUCTOR DESEMBOBINADOR DESBOB" u="1"/>
        <s v="CAJA PULSADORES PORTA ROLLO DE" u="1"/>
        <s v="BREAKER PORTA ROLLO DESEMBOBIN" u="1"/>
        <s v="CAJA DE PASO DESEMBOBINADOR DE" u="1"/>
        <s v="CAJA DE CONEXIONES DESEMBOBINA" u="1"/>
        <s v="FORMADORA FORMADORA FORM" u="1"/>
        <s v="BOMBA MOKON MOLDE SUPERIOR" u="1"/>
        <s v="BOMBA MOKON MOLDE INFERIOR" u="1"/>
        <s v="BOMBA MOKON BOMBA MOKON FORM" u="1"/>
        <s v="MOTOR BOMBA MOKON MOLD SUPERIO" u="1"/>
        <s v="MOTOR BOMBA MOKON MOLDE INFERI" u="1"/>
        <s v="FRIGEL FRIGEL FORM" u="1"/>
        <s v="BOMBA 1 FRIGEL FORM" u="1"/>
        <s v="BOMBA 2 FRIGEL FORM" u="1"/>
        <s v="MOTOR 1 FRIGEL FORM" u="1"/>
        <s v="MOTOR 2 FRIGEL FORM" u="1"/>
        <s v="PANEL DE CONTROL FRIGEL FORM" u="1"/>
        <s v="SELLADORA VERTICAL SELLADORA V" u="1"/>
        <s v="TABLERO ELÉCTRICO SELLADORA VE" u="1"/>
        <s v="EMPACADORA MAC DUE N°4937" u="1"/>
        <s v="REDUCTOR B. DESCAGUE MAC DUE" u="1"/>
        <s v="REDUCTOR DESBOBINADOR MAC DU" u="1"/>
        <s v="PULSADORES MAC DUE SELL PRE" u="1"/>
        <s v="TABLERO DRIVE TABLERO DE CONTR" u="1"/>
        <s v="COMPUTADOR MICROPHASER  CTRL E" u="1"/>
        <s v="REDUCTOR LEFT TROQUEL TROQ" u="1"/>
        <s v="REDUCTOR RIGH TROQUEL TROQ" u="1"/>
        <s v="PANEL  PULSADORES TABLERO F TR" u="1"/>
        <s v="EXTRUCTURA DESBOBINADOR" u="1"/>
        <m u="1"/>
        <s v="MOTOR BOMBA SUMERGIBLE" u="1"/>
        <s v="TERMOFORMADORA 32" u="1"/>
        <s v="MOTOR DE ALIMENTACION" u="1"/>
        <s v="SILOS HPPS DE LINEA 22" u="1"/>
        <s v="AEROLOCK SISTEMA F" u="1"/>
        <s v="SILOS HPPS DE LINEA 23" u="1"/>
        <s v="SISTEMA D" u="1"/>
        <s v="MOTOR SOPLADOR PET" u="1"/>
        <s v="SECADOR DE AIRE" u="1"/>
        <s v="MOTOR BLOWER COMPRESOR R 90" u="1"/>
        <s v="MOTOREDUCTOR ROD. PRECALENTADO" u="1"/>
        <s v="MOTOR  BOMBA" u="1"/>
        <s v="UNIDAD DE TEMPERATURA" u="1"/>
        <s v="SISTEMA E" u="1"/>
        <s v="SOPLADOR SIST. MOLINO F" u="1"/>
        <s v="BLOWER MOTOR PRINCIPAL" u="1"/>
        <s v="DRIVE MOTOR" u="1"/>
        <s v="MOTOR SERVO PICK" u="1"/>
        <s v="SELLADORA VERTICAL" u="1"/>
        <s v="MOTOR CANOPY" u="1"/>
        <s v="CHILLER TRANE RTHD OPTIMUS" u="1"/>
        <s v="COMPRESOR R  90-160 IV" u="1"/>
        <s v="COMPUTADOR COMPUTADOR PANEL DE" u="1"/>
        <s v="MOTOR COMPRESOR ALTA PRESION" u="1"/>
        <s v="BOMBA CIRCULACION BUDZAR" u="1"/>
        <s v="EVAPORADORA" u="1"/>
        <s v="SISTEMA INYECCION BUTANO" u="1"/>
        <s v="TABLERO NOTIFIER" u="1"/>
        <s v="TROQUEL RODHE SM 420" u="1"/>
        <s v="RODILLO HALADOR" u="1"/>
        <s v="MOTOR SISTEMA" u="1"/>
        <s v="CELDA DE FUERZA DRIVE" u="1"/>
        <s v="BLOWER MOTOR" u="1"/>
        <s v="TABLERO DE POTENCIA" u="1"/>
        <s v="REDUCTOR CADENA TRACCION" u="1"/>
        <s v="EVAPORADOR CHILLER RTHD OPTIMU" u="1"/>
        <s v="REDUCTOR BANDA" u="1"/>
        <s v="SOPLADOR SILO INTERMEDIO" u="1"/>
        <s v="MOTOR CADENA TRACCION" u="1"/>
        <s v="SECADOR DE AIRE D6800 INA" u="1"/>
        <s v="BOMBA CIRCUITO" u="1"/>
        <s v="MOTOR SUCCIONADOR TANDEM" u="1"/>
        <s v="RED DE AIRE COMPRIMIDO" u="1"/>
        <s v="PRECALENTADOR DE LAMINA" u="1"/>
        <s v="MOTOR CADENA HORNO" u="1"/>
        <s v="SELLADORA 10 VERTICAL" u="1"/>
        <s v="SELLADORA 12 VERTICAL" u="1"/>
        <s v="SISTEMA   G   DE MOLIDO" u="1"/>
        <s v="TABLERO ELEC. PRECALENTADOR" u="1"/>
        <s v="EMPACADORA MAC DUE MEDISA 4937" u="1"/>
        <s v="REDUCTOR  SISTEMA DE APILADO" u="1"/>
        <s v="SOPLADOR COEXTRUSORA" u="1"/>
        <s v="MOTOR RODILLOS" u="1"/>
        <s v="MOTOR BLOWER SUCCION SIST. ALI" u="1"/>
        <s v="MOLINO AUXILIAR" u="1"/>
        <s v="PANEL CONTROL -" u="1"/>
        <s v="SELLADORA 1 VERTICAL" u="1"/>
        <s v="SELLADORA 2 VERTICAL" u="1"/>
        <s v="SELLADORA 4 VERTICAL" u="1"/>
        <s v="SELLADORA 6 VERTICAL" u="1"/>
        <s v="SELLADORA 9 VERTICAL" u="1"/>
        <s v="SECADOR" u="1"/>
        <s v="MOTOR BOMBAS LEWA" u="1"/>
        <s v="REDUCTOR DE LOS RODILLOS" u="1"/>
        <s v="BOMBA SUMINISTRO" u="1"/>
        <s v="TRASLADOR" u="1"/>
        <s v="TABELRO ELECTRICO" u="1"/>
        <s v="BOMBA LEWA 1" u="1"/>
        <s v="BOMBA MOKON" u="1"/>
        <s v="SIST. ALIM.-EXTRUDER LATERAL" u="1"/>
        <s v="MOTOR BOMBA LEWA" u="1"/>
        <s v="UND TRATAM CORONA-IMP VAN DAM" u="1"/>
        <s v="BASCULA FAIRBANK SCALE IND-HR2" u="1"/>
        <s v="BOMBA DE AGUA" u="1"/>
        <s v="MOTOR" u="1"/>
        <s v="CONDENSADOR CHILLER" u="1"/>
        <s v="CHILLER TRANE  RT HD" u="1"/>
        <s v="BLOWER SUCCION SIST. ALIMENTAC" u="1"/>
        <s v="PLACA CALENT  TERMOFOR GN" u="1"/>
        <s v="EXTRUSORA CENTRAL" u="1"/>
        <s v="SUCCIONADOR B RIGIDOS 2" u="1"/>
        <s v="CAJA REDUCCION TOLVA" u="1"/>
        <s v="CAJA CONEXIO PLACA INF FORMADO" u="1"/>
        <s v="COMPRESOR DE AIRE RS 185I" u="1"/>
        <s v="BLOWER" u="1"/>
        <s v="MOTOR REDUCTOR MOLDE INFERIOR" u="1"/>
        <s v="SOPLADOR MOLIDO" u="1"/>
        <s v="MOTOR TRANSMISION EXT PRIM" u="1"/>
        <s v="BOMBA REFRIGERACION ACEITE" u="1"/>
        <s v="BOMBA RECIRCULACION" u="1"/>
        <s v="BOMBA LEWA 2" u="1"/>
        <s v="MOTOREDUCTOR MOLDE SUPERIOR" u="1"/>
        <s v="COMPRESOR CHILLER 1" u="1"/>
        <s v="MONTACARGA ORDERPICKER" u="1"/>
        <s v="MOTOREDUCTOR MOLINO" u="1"/>
        <s v="AEROLOCK" u="1"/>
        <s v="SOPLADOR PET" u="1"/>
        <s v="SIST. ALIM. EXTRUDER PRINCIPAL" u="1"/>
        <s v="AIRE ACONDICI TABL MICROPHASER" u="1"/>
        <s v="COMPRESOR CHILLER 2" u="1"/>
        <s v="TABLERO ELECTRICO SELLADORA" u="1"/>
        <s v="TABLERO ELÉCTRICO SELLADORA" u="1"/>
        <s v="MOTOR SOPLADOR DE CARGA" u="1"/>
        <s v="PRECALENTADOR CUCHILLAS" u="1"/>
        <s v="COMPRESOR ATLAS  350 HP" u="1"/>
        <s v="MOTOR DADOS" u="1"/>
        <s v="PANEL CONTROL ALIMENTACIÓN" u="1"/>
        <s v="CONDENSADOR" u="1"/>
        <s v="COMPRESOR ALTA PRESION AF." u="1"/>
        <s v="BOMBA SUMERGIBLE DESCARGA" u="1"/>
        <s v="TABLERO ELEC. COMPRESOR ALTA P" u="1"/>
        <s v="MOTOR REDUCTOR DESEMBOBINADOR" u="1"/>
        <s v="RED DE AGUA CONTRA INCENDIOS" u="1"/>
        <s v="SOPLADOR SISTEMA DE SECADO A" u="1"/>
        <s v="MOTOR LEVANTAMIENTO APILADOR" u="1"/>
        <s v="MOTOR LEVANTAMIENTO DE PLACAS" u="1"/>
        <s v="TABLERO ELECTRICO DE FUERZA" u="1"/>
        <s v="MOTOR SOPLADOR" u="1"/>
        <s v="SOPLADOR SISTEMA DE SECADO B" u="1"/>
        <s v="SISTEMA NEUMATICO RODHE SM 420" u="1"/>
        <s v="MOTOR SOPLADOR SISTEMA A" u="1"/>
        <s v="CAMARA DE SECADO 03" u="1"/>
        <s v="MOTOR SOPLADOR DE SISTEMA B" u="1"/>
        <s v="SUCCIONADOR MOLIDO COEX" u="1"/>
        <s v="CAMARA DE SECADO SCREEN 01" u="1"/>
        <s v="FORMADORA TF 39  RODHE 420" u="1"/>
        <s v="CAMARA DE SECADO SCREEN 02" u="1"/>
        <s v="REDUCTOR BANDA TRANSPORTADORA" u="1"/>
        <s v="MOTOR AEROLOCK  SISTEMA  G" u="1"/>
        <s v="CAMARA DE SECADO 04" u="1"/>
        <s v="MOTOR CAMBIA MALLAS" u="1"/>
        <s v="MOTOR RODILOS HALADORES" u="1"/>
        <s v="COMPRESOR 1" u="1"/>
        <s v="SILO INTERMEDIO HPPS VIRGEN" u="1"/>
        <s v="COMPRESOR 2" u="1"/>
        <s v="MOTOR AEROLOCK SIST. MOLIDO F" u="1"/>
        <s v="COMPRESOR 3" u="1"/>
        <s v="COMPRESOR 4" u="1"/>
        <s v="SELLADORA BESELER SELLADO X 20" u="1"/>
        <s v="MOTOREDUCTOR MOLDE INFERIOR" u="1"/>
        <s v="MEDIDOR DE GAS TIPO DIAFRAGMA" u="1"/>
        <s v="MOTOR BOMBA VACIO" u="1"/>
        <s v="TABLERO PRECALENTADOR" u="1"/>
        <s v="TABLERO SELLADORA" u="1"/>
        <s v="MOTOR SOPLADOR SIS. MOLIDO F" u="1"/>
        <s v="MOTOR ELECTRICO MOLINO" u="1"/>
        <s v="SIST. REFRIGERACIÓN RODILLOS" u="1"/>
        <s v="MOTOR BLOWER COMPRESOR" u="1"/>
        <s v="TROQUEL BROWN T-350" u="1"/>
        <s v="TERMFORMADORA" u="1"/>
        <s v="MOTOR RODILLO HALADOR" u="1"/>
        <s v="SELLADORA 8 VERTICAL NAL" u="1"/>
        <s v="SISTEMA DE SELLADO Y CORTE" u="1"/>
        <s v="ESTACION DE CONTROL" u="1"/>
        <s v="TORRE DE ENFRIAMIENTO 1" u="1"/>
        <s v="SUCCIONADOR A RIGIDOS" u="1"/>
        <s v="SUCCIONADOR B" u="1"/>
        <s v="MOTOR SUCCIONADOR" u="1"/>
        <s v="AIRE ACONDICI COMPUTA" u="1"/>
        <s v="CHILLER RTHDLDF1" u="1"/>
        <s v="BOMBA REFRIGERACION" u="1"/>
        <s v="BOMBA DE AGUA INDUSTRIAL" u="1"/>
        <s v="TORRE DE ENFRIAMIENTO 2" u="1"/>
        <s v="SISTEMA HIDRAULICO RODILLOS" u="1"/>
        <s v="SUCCIONADOR  PET" u="1"/>
        <s v="CONDENSADOR CHILLER RTHD OPTIM" u="1"/>
        <s v="SUCCIONADOR TANDEM" u="1"/>
        <s v="COMPRESOR  1" u="1"/>
        <s v="MOTOR  VENTILADOR" u="1"/>
        <s v="CAJA DE CONEXIONES  SELLADORA" u="1"/>
        <s v="TANQUE AGUA TORRES" u="1"/>
        <s v="MOTOREDUCTOR AEROLOCK" u="1"/>
        <s v="MOTOR ALIMENTACION TOLVA" u="1"/>
        <s v="TORRE DE ENFRIAMIENTO" u="1"/>
        <s v="REDUCTOR TOLVA" u="1"/>
        <s v="BOMBA REFRIGERACIÓN" u="1"/>
        <s v="SISTEMA CHILLER" u="1"/>
        <s v="MOTOR REDUCTOR MOLDE SUPERIOR" u="1"/>
        <s v="REDUCTOR RODILLOS" u="1"/>
        <s v="TABLERO ELECTRICO FORMADORA" u="1"/>
        <s v="FORMADORA RODHE SM 420/36" u="1"/>
        <s v="SECADOR TOLVA" u="1"/>
        <s v="AEROLOCK  SISTEMA  G" u="1"/>
        <s v="MOTOR SUCCIONADOR B" u="1"/>
        <s v="MOTOR AEROLOCK" u="1"/>
        <s v="BOMBA VERTICAL" u="1"/>
        <s v="SECADOR DE AIRE HB" u="1"/>
        <s v="TANQUE PLASTICO" u="1"/>
        <s v="ESTACION FORMADO TERMOFORMA GN" u="1"/>
        <s v="CAJA DE CONEXIONES TOLVA" u="1"/>
        <s v="AEROLOCK-" u="1"/>
        <s v="MOTOR SUCCIONADOR  PET" u="1"/>
        <s v="PANEL CONTROL SISTEMA NUCOM" u="1"/>
        <s v="PANEL DE PULSADORAS" u="1"/>
        <s v="MOTOR BLOWER TRAT.CORONA" u="1"/>
        <s v="EVAPORADOR" u="1"/>
        <s v="SOPLADOR" u="1"/>
        <s v="REDUCTOR AEROLOCK SIST. F" u="1"/>
        <s v="SOPLADOR PRINCIPAL" u="1"/>
        <s v="BLOWER-SECADOR" u="1"/>
        <s v="MOREDUCTOR RODILLOS PRECALENTA" u="1"/>
        <s v="TERMOFORMADORA 31" u="1"/>
        <s v="CAJA DE CONEXIONES" u="1"/>
        <s v="UNIDAD DE TEMPERATURA BUDZAR" u="1"/>
        <s v="VENTILADOR TORRE" u="1"/>
        <s v="MOTOR BANDA" u="1"/>
        <s v="NDC-RODILLOS LAMINADORES" u="1"/>
        <s v="MOTOR BOMBA DE AGUA" u="1"/>
        <s v="SOPLADOR DE CARGA" u="1"/>
        <s v="SOPLADOR AIRE OXIGENADOR" u="1"/>
        <s v="SISTEMA A" u="1"/>
        <s v="TABLERO  SELLADORA" u="1"/>
        <s v="BOMBA VERTICAL IZQ" u="1"/>
        <s v="TABLERO ELECTRICO CHILLER RTHD" u="1"/>
        <s v="CAJA DE PASO APILADOR SISTEM" u="1"/>
        <s v="TABLERO CONTROL FORMADORA" u="1"/>
        <s v="MOLINO CUMBERLAND MODEL 1456" u="1"/>
        <s v="COMPRESOR" u="1"/>
        <s v="SISTEMA B" u="1"/>
        <s v="SIST. ALIM. EXTRUDER" u="1"/>
        <s v="PANEL CONTROL" u="1"/>
        <s v="ESTACION DE FORM TERMOFOR GN" u="1"/>
        <s v="MONTACARGA ORDERPICKER   02" u="1"/>
        <s v="PANEL CONTROL COMPRESOR R 90" u="1"/>
        <s v="IMPRESORA VAN DAM 520" u="1"/>
        <s v="MOTOR RODILLO" u="1"/>
        <s v="SISTEMA C" u="1"/>
        <s v="REDUCTOR BOMBA" u="1"/>
        <s v="REDUCTOR BANDA ALIMENTACION" u="1"/>
      </sharedItems>
    </cacheField>
    <cacheField name="Nodo" numFmtId="49">
      <sharedItems count="2858">
        <s v="PRETF45-EF01ME01"/>
        <s v="PRETF45-EF01ME02"/>
        <s v="PRETF45-EF01ME03"/>
        <s v="PRETF45-AP01ME01"/>
        <s v="PRETF45-DE01ME01"/>
        <s v="PRETF45-HE01ME01"/>
        <s v="PRETF45-AP01TE01"/>
        <s v="PRETF45-EF01TE01"/>
        <s v="PRETF45-EF01TE02"/>
        <s v="PRETF45-HE01TE01"/>
        <s v="PRETF45-HE01TE02"/>
        <s v="PRETF45-HE02TE01"/>
        <s v="PRETF45-TE01"/>
        <s v="PRETF45-SR01"/>
        <s v="PRETF45-TR01"/>
        <s v="PRETF45-TB01"/>
        <s v="PRETF45-HE01TE01AA01"/>
        <s v="PRETF45-TE01AA01"/>
        <s v="PRETF45-HE02"/>
        <s v="PRETF45-SP01"/>
        <s v="PRETF45-DE01"/>
        <s v="PRETF45-HE01"/>
        <s v="PRETF45-EF01"/>
        <s v="PRETF45-AP01"/>
        <s v="PRETF45-AP01RD01"/>
        <s v="PRETF45-EB01RD01"/>
        <s v="PRETF45-EF01RD01"/>
        <s v="PRETF45-HE01RD01"/>
        <s v="PRETF45-EB01"/>
        <s v="PRETF45-EB01MN01"/>
        <s v="PRETF45-SN01"/>
        <s v="ESPTF04-DE01" u="1"/>
        <s v="ESPTF04-DE01ME01" u="1"/>
        <s v="ESPTF04-DE01RD01" u="1"/>
        <s v="ESPTF04-FM01" u="1"/>
        <s v="ESPTF04-FM01BV01" u="1"/>
        <s v="ESPTF04-FM01BV01ME01" u="1"/>
        <s v="ESPTF04-FM01ME01" u="1"/>
        <s v="ESPTF04-FM01ME02" u="1"/>
        <s v="ESPTF04-FM01ME03" u="1"/>
        <s v="ESPTF04-FM01RD01" u="1"/>
        <s v="ESPTF04-FM01RD02" u="1"/>
        <s v="ESPTF04-FM01SR01" u="1"/>
        <s v="ESPTF04-FM01SR01BG01" u="1"/>
        <s v="ESPTF04-FM01SR01BG02" u="1"/>
        <s v="ESPTF04-FM01SR01ME01" u="1"/>
        <s v="ESPTF04-FM01SR01ME02" u="1"/>
        <s v="ESPTF04-FM01SR01TE01" u="1"/>
        <s v="ESPTF04-FM01SR01TE02" u="1"/>
        <s v="ESPTF04-FM01TE01" u="1"/>
        <s v="ESPTF04-FM01TE02" u="1"/>
        <s v="ESPTF04-FM01TE03" u="1"/>
        <s v="ESPTF04-HF01" u="1"/>
        <s v="ESPTF04-ML01" u="1"/>
        <s v="ESPTF04-ML01ME01" u="1"/>
        <s v="ESPTF04-ML01RD01" u="1"/>
        <s v="ESPTF04-TB01" u="1"/>
        <s v="ESPTF04-TE01" u="1"/>
        <s v="ESPTF04-TE01AA01" u="1"/>
        <s v="ESPTF04-TE02" u="1"/>
        <s v="ESPTF04-TE02AA01" u="1"/>
        <s v="ESPTF04-TQ01" u="1"/>
        <s v="ESPTF04-TQ01ME01" u="1"/>
        <s v="ESPTF04-TQ01ME02" u="1"/>
        <s v="ESPTF04-TQ01ME03" u="1"/>
        <s v="ESPTF04-TQ01RD01" u="1"/>
        <s v="ESPTF04-TQ01RD02" u="1"/>
        <s v="ESPTF04-TQ01TE01" u="1"/>
        <s v="ESPTF04-TQ01TP01" u="1"/>
        <s v="TANEE02-CB01" u="1"/>
        <s v="TANEE02-CB01SH01BP01" u="1"/>
        <s v="TANEE02-CB01SH01ME01" u="1"/>
        <s v="TANEE02-CB01SH01TE01" u="1"/>
        <s v="TANEE02-CB01TE01" u="1"/>
        <s v="TANEE02-EX01" u="1"/>
        <s v="TANEE02-EX01ME01" u="1"/>
        <s v="TANEE02-EX01RD01BP01" u="1"/>
        <s v="TANEE02-EX01RD01ME01" u="1"/>
        <s v="TANEE02-EX01SR01" u="1"/>
        <s v="TANEE02-EX01SR01BC01" u="1"/>
        <s v="TANEE02-EX01SR01ME01" u="1"/>
        <s v="TANEE02-EX01TB01" u="1"/>
        <s v="TANEE02-EX01TE01" u="1"/>
        <s v="TANEE02-EX01TE02" u="1"/>
        <s v="TANEE02-EX01TE03" u="1"/>
        <s v="TANEE02-EX01TR01" u="1"/>
        <s v="TANEE02-EX02" u="1"/>
        <s v="TANEE02-EX02ME01" u="1"/>
        <s v="TANEE02-EX02RD01BP01" u="1"/>
        <s v="TANEE02-EX02RD01ME01" u="1"/>
        <s v="TANEE02-EX02SR01" u="1"/>
        <s v="TANEE02-EX02SR01BC01" u="1"/>
        <s v="TANEE02-EX02SR01BC02" u="1"/>
        <s v="TANEE02-EX02SR01ME01" u="1"/>
        <s v="TANEE02-EX02SR01ME02" u="1"/>
        <s v="TANEE02-EX02SR01TE01" u="1"/>
        <s v="TANEE02-EX02TE01" u="1"/>
        <s v="TANEE02-EX02TR01" u="1"/>
        <s v="TANEE02-MX01" u="1"/>
        <s v="TANEE02-RE01" u="1"/>
        <s v="TANEE02-RE01ME01" u="1"/>
        <s v="TANEE02-RE01ME02" u="1"/>
        <s v="TANEE02-RE01RD02" u="1"/>
        <s v="TANEE02-RE01TE01" u="1"/>
        <s v="TANEE02-RE01TE02" u="1"/>
        <s v="TANEE02-RE02" u="1"/>
        <s v="TANEE02-RE02ME01" u="1"/>
        <s v="TANEE02-RE02ME02" u="1"/>
        <s v="TANEE02-RE02RD01" u="1"/>
        <s v="TANEE02-RE02RD02" u="1"/>
        <s v="TANEE02-RE02TE01" u="1"/>
        <s v="TANEE02-RE02TE02" u="1"/>
        <s v="TANEE02-RH01" u="1"/>
        <s v="TANEE02-RH01ME01" u="1"/>
        <s v="TANEE02-RH01RD01" u="1"/>
        <s v="TANEE02-RH01TE01" u="1"/>
        <s v="TANEE02-SA01" u="1"/>
        <s v="TANEE02-SA01BL01" u="1"/>
        <s v="TANEE02-SA01BL01ME01" u="1"/>
        <s v="TANEE02-SA01BL01RD01" u="1"/>
        <s v="TANEE02-SA01BL01TE01" u="1"/>
        <s v="TANEE02-SA01TE01" u="1"/>
        <s v="TANEE02-SA01TV01" u="1"/>
        <s v="TANEE02-SA01TV01ME01" u="1"/>
        <s v="TANEE02-SA01TV01RD01" u="1"/>
        <s v="TANEE02-SA01TV02" u="1"/>
        <s v="TANEE02-SA01TV02ME01" u="1"/>
        <s v="TANEE02-SA01TV02RD01" u="1"/>
        <s v="TANEE02-SA01TV02RD02" u="1"/>
        <s v="TANEE02-SA01TV03" u="1"/>
        <s v="TANEE02-SA01TV03ME01" u="1"/>
        <s v="TANEE02-SA01TV03RD01" u="1"/>
        <s v="TANEE02-SA01TV03RD02" u="1"/>
        <s v="TANEE02-SA01TV03TE01" u="1"/>
        <s v="TANEE02-SA01TV04" u="1"/>
        <s v="TANEE02-SA01TV04ME01" u="1"/>
        <s v="TANEE02-SA01TV04RD01" u="1"/>
        <s v="TANEE02-SA01TV04RD02" u="1"/>
        <s v="TANEE02-SA01TV05" u="1"/>
        <s v="TANEE02-SA01TV05ME01" u="1"/>
        <s v="TANEE02-SA01TV05RD01" u="1"/>
        <s v="TANEE02-SA01TV05TE01" u="1"/>
        <s v="TANEE02-SG01" u="1"/>
        <s v="TANEE02-SG01BP01" u="1"/>
        <s v="TANEE02-SG01BP01RD01" u="1"/>
        <s v="TANEE02-SG01BP02" u="1"/>
        <s v="TANEE02-SG01BP02RD01" u="1"/>
        <s v="TANEE02-SG01ME01" u="1"/>
        <s v="TANEE02-SG01TE01" u="1"/>
        <s v="TANEE02-ST01" u="1"/>
        <s v="TANEE02-ST01BW01" u="1"/>
        <s v="TANEE02-ST01BW01ME01" u="1"/>
        <s v="TANEE02-ST01RC01" u="1"/>
        <s v="TANEE02-ST01RC01TE01" u="1"/>
        <s v="TANEE02-ST01RC01TE02" u="1"/>
        <s v="TANEE02-ST01RC02" u="1"/>
        <s v="TANEE02-ST01RC02TE01" u="1"/>
        <s v="TANEE02-ST01RC02TE02" u="1"/>
        <s v="TANEE02-ST01RC03" u="1"/>
        <s v="TANEE02-ST01RC03TE01" u="1"/>
        <s v="TANEE02-ST01TE01" u="1"/>
        <s v="RIGTF23-DE01" u="1"/>
        <s v="RIGTF23-DE01ME01" u="1"/>
        <s v="RIGTF23-DE01RD01" u="1"/>
        <s v="RIGTF23-FM01" u="1"/>
        <s v="RIGTF23-FM01BV01" u="1"/>
        <s v="RIGTF23-FM01BV01ME01" u="1"/>
        <s v="RIGTF23-FM01BV02" u="1"/>
        <s v="RIGTF23-FM01BV02ME01" u="1"/>
        <s v="RIGTF23-FM01ME01" u="1"/>
        <s v="RIGTF23-FM01ME02" u="1"/>
        <s v="RIGTF23-FM01ME03" u="1"/>
        <s v="RIGTF23-FM01RD02" u="1"/>
        <s v="RIGTF23-FM01RD03" u="1"/>
        <s v="RIGTF23-FM01TE01" u="1"/>
        <s v="RIGTF23-HF01" u="1"/>
        <s v="RIGTF23-HF01ME01" u="1"/>
        <s v="RIGTF23-HF01RD01" u="1"/>
        <s v="RIGTF23-ML01" u="1"/>
        <s v="RIGTF23-ML01ME01" u="1"/>
        <s v="RIGTF23-ML01ME02" u="1"/>
        <s v="RIGTF23-ML01ME03" u="1"/>
        <s v="RIGTF23-ML01TP01" u="1"/>
        <s v="RIGTF23-RB01" u="1"/>
        <s v="RIGTF23-SP01" u="1"/>
        <s v="RIGTF23-SP01ME01" u="1"/>
        <s v="RIGTF23-SP01TE01" u="1"/>
        <s v="RIGTF23-SP02" u="1"/>
        <s v="RIGTF23-SP02ME01" u="1"/>
        <s v="RIGTF23-SP02TE01" u="1"/>
        <s v="RIGTF23-SP03" u="1"/>
        <s v="RIGTF23-SP03ME01" u="1"/>
        <s v="RIGTF23-SP03TE01" u="1"/>
        <s v="RIGTF23-SR01" u="1"/>
        <s v="RIGTF23-SR01BG01" u="1"/>
        <s v="RIGTF23-SR01BG01ME01" u="1"/>
        <s v="RIGTF23-SR01ME01" u="1"/>
        <s v="RIGTF23-TE01" u="1"/>
        <s v="RIGTF23-TE01AA01" u="1"/>
        <s v="RIGTF23-TP01" u="1"/>
        <s v="RIGTF23-TQ01" u="1"/>
        <s v="RIGTF23-TQ01ME01" u="1"/>
        <s v="RIGTF23-TQ01ME02" u="1"/>
        <s v="RIGTF23-TQ01ME03" u="1"/>
        <s v="RIGTF23-TQ01ME04" u="1"/>
        <s v="RIGTF23-TQ01ME05" u="1"/>
        <s v="RIGTF23-TQ01ME06" u="1"/>
        <s v="RIGTF23-TQ01RD01" u="1"/>
        <s v="RIGTF23-TQ01RD02" u="1"/>
        <s v="RIGTF23-TQ01RD03" u="1"/>
        <s v="RIGTF23-TQ01RD04" u="1"/>
        <s v="RIGTF23-TQ01RD05" u="1"/>
        <s v="RIGTF23-TQ01TP01" u="1"/>
        <s v="PRETF46-AP01" u="1"/>
        <s v="PRETF46-AP01ME01" u="1"/>
        <s v="PRETF46-AP01RD01" u="1"/>
        <s v="PRETF46-AP01TE01" u="1"/>
        <s v="PRETF46-DE01" u="1"/>
        <s v="PRETF46-DE01ME01" u="1"/>
        <s v="PRETF46-EB01" u="1"/>
        <s v="PRETF46-EB01MN01" u="1"/>
        <s v="PRETF46-EB01RD01" u="1"/>
        <s v="PRETF46-EF01" u="1"/>
        <s v="PRETF46-EF01ME01" u="1"/>
        <s v="PRETF46-EF01ME02" u="1"/>
        <s v="PRETF46-EF01ME03" u="1"/>
        <s v="PRETF46-EF01RD01" u="1"/>
        <s v="PRETF46-EF01TE01" u="1"/>
        <s v="PRETF46-EF01TE02" u="1"/>
        <s v="PRETF46-HE01" u="1"/>
        <s v="PRETF46-HE01ME01" u="1"/>
        <s v="PRETF46-HE01RD01" u="1"/>
        <s v="PRETF46-HE01TE01" u="1"/>
        <s v="PRETF46-HE01TE01AA01" u="1"/>
        <s v="PRETF46-HE01TE02" u="1"/>
        <s v="PRETF46-HE02" u="1"/>
        <s v="PRETF46-HE02TE01" u="1"/>
        <s v="PRETF46-SN01" u="1"/>
        <s v="PRETF46-SP01" u="1"/>
        <s v="PRETF46-TB01" u="1"/>
        <s v="PRETF46-TE01" u="1"/>
        <s v="PRETF46-TE01AA01" u="1"/>
        <s v="PRETF46-TR01" u="1"/>
        <s v="TANEE03-CB01" u="1"/>
        <s v="TANEE03-CB01TE01" u="1"/>
        <s v="TANEE03-EX01" u="1"/>
        <s v="TANEE03-EX01ME01" u="1"/>
        <s v="TANEE03-EX01RD01" u="1"/>
        <s v="TANEE03-EX01RD01BP01" u="1"/>
        <s v="TANEE03-EX01RD01IC01" u="1"/>
        <s v="TANEE03-EX01RD01ME01" u="1"/>
        <s v="TANEE03-EX01SR01" u="1"/>
        <s v="TANEE03-EX01SR01BC01" u="1"/>
        <s v="TANEE03-EX01SR01IC01" u="1"/>
        <s v="TANEE03-EX01SR01IC02" u="1"/>
        <s v="TANEE03-EX01SR01ME01" u="1"/>
        <s v="TANEE03-EX01TB01" u="1"/>
        <s v="TANEE03-EX01TE01" u="1"/>
        <s v="TANEE03-EX01TE02" u="1"/>
        <s v="TANEE03-EX01TE03" u="1"/>
        <s v="TANEE03-EX02" u="1"/>
        <s v="TANEE03-EX02BW01" u="1"/>
        <s v="TANEE03-EX02BW01ME01" u="1"/>
        <s v="TANEE03-EX02ME01" u="1"/>
        <s v="TANEE03-EX02RD01" u="1"/>
        <s v="TANEE03-EX02RD01BP01" u="1"/>
        <s v="TANEE03-EX02RD01IC01" u="1"/>
        <s v="TANEE03-EX02RD01ME01" u="1"/>
        <s v="TANEE03-EX02SR01" u="1"/>
        <s v="TANEE03-EX02SR01BC01" u="1"/>
        <s v="TANEE03-EX02SR01BC02" u="1"/>
        <s v="TANEE03-EX02SR01IC01" u="1"/>
        <s v="TANEE03-EX02SR01IC03" u="1"/>
        <s v="TANEE03-EX02SR01IC04" u="1"/>
        <s v="TANEE03-EX02SR01ME01" u="1"/>
        <s v="TANEE03-EX02SR01ME02" u="1"/>
        <s v="TANEE03-EX02SR01TE01" u="1"/>
        <s v="TANEE03-EX02TE01" u="1"/>
        <s v="TANEE03-MX01" u="1"/>
        <s v="TANEE03-RE01" u="1"/>
        <s v="TANEE03-RE01ME01" u="1"/>
        <s v="TANEE03-RE01ME02" u="1"/>
        <s v="TANEE03-RE01RD01" u="1"/>
        <s v="TANEE03-RE01RD02" u="1"/>
        <s v="TANEE03-RE01TE01" u="1"/>
        <s v="TANEE03-RE01TE02" u="1"/>
        <s v="TANEE03-RE02" u="1"/>
        <s v="TANEE03-RE02ME01" u="1"/>
        <s v="TANEE03-RE02ME02" u="1"/>
        <s v="TANEE03-RE02RD01" u="1"/>
        <s v="TANEE03-RE02RD02" u="1"/>
        <s v="TANEE03-RE02TE01" u="1"/>
        <s v="TANEE03-RE02TE02" u="1"/>
        <s v="TANEE03-RH01" u="1"/>
        <s v="TANEE03-RH01ME01" u="1"/>
        <s v="TANEE03-RH01RD01" u="1"/>
        <s v="TANEE03-RH01TE01" u="1"/>
        <s v="TANEE03-SA01" u="1"/>
        <s v="TANEE03-SA01BL01" u="1"/>
        <s v="TANEE03-SA01BL01ME01" u="1"/>
        <s v="TANEE03-SA01BL01RD01" u="1"/>
        <s v="TANEE03-SA01BL01RD02" u="1"/>
        <s v="TANEE03-SA01BL01TE01" u="1"/>
        <s v="TANEE03-SA01TE01" u="1"/>
        <s v="TANEE03-SA01TV01" u="1"/>
        <s v="TANEE03-SA01TV01ME01" u="1"/>
        <s v="TANEE03-SA01TV01RD01" u="1"/>
        <s v="TANEE03-SA01TV02" u="1"/>
        <s v="TANEE03-SA01TV02ME01" u="1"/>
        <s v="TANEE03-SA01TV02RD01" u="1"/>
        <s v="TANEE03-SA01TV02RD02" u="1"/>
        <s v="TANEE03-SA01TV03" u="1"/>
        <s v="TANEE03-SA01TV03ME01" u="1"/>
        <s v="TANEE03-SA01TV03RD01" u="1"/>
        <s v="TANEE03-SA01TV03RD02" u="1"/>
        <s v="TANEE03-SA01TV04" u="1"/>
        <s v="TANEE03-SA01TV04ME01" u="1"/>
        <s v="TANEE03-SA01TV04RD01" u="1"/>
        <s v="TANEE03-SA01TV05" u="1"/>
        <s v="TANEE03-SA01TV05ME01" u="1"/>
        <s v="TANEE03-SA01TV05RD01" u="1"/>
        <s v="TANEE03-SA01TV06" u="1"/>
        <s v="TANEE03-SA01TV06ME01" u="1"/>
        <s v="TANEE03-SA01TV06RD01" u="1"/>
        <s v="TANEE03-SA01TV06RD02" u="1"/>
        <s v="TANEE03-SA01TV06TE01" u="1"/>
        <s v="TANEE03-SG01" u="1"/>
        <s v="TANEE03-SG01BP01" u="1"/>
        <s v="TANEE03-SG01BP01RD01" u="1"/>
        <s v="TANEE03-SG01BP02" u="1"/>
        <s v="TANEE03-SG01BP02RD01" u="1"/>
        <s v="TANEE03-SG01ME01" u="1"/>
        <s v="TANEE03-SG01TE01" u="1"/>
        <s v="TANEE03-ST01" u="1"/>
        <s v="TANEE03-ST01BW01" u="1"/>
        <s v="TANEE03-ST01ME02" u="1"/>
        <s v="TANEE03-ST01RC01" u="1"/>
        <s v="TANEE03-ST01RC01TE01" u="1"/>
        <s v="TANEE03-ST01RC02" u="1"/>
        <s v="TANEE03-ST01RC02TE01" u="1"/>
        <s v="TANEE03-ST01TE01" u="1"/>
        <s v="RIGTF22-DE01" u="1"/>
        <s v="RIGTF22-DE01ME01" u="1"/>
        <s v="RIGTF22-DE01RD01" u="1"/>
        <s v="RIGTF22-FM01" u="1"/>
        <s v="RIGTF22-FM01BV01" u="1"/>
        <s v="RIGTF22-FM01BV01ME01" u="1"/>
        <s v="RIGTF22-FM01BV02" u="1"/>
        <s v="RIGTF22-FM01BV02ME01" u="1"/>
        <s v="RIGTF22-FM01ME01" u="1"/>
        <s v="RIGTF22-FM01ME02" u="1"/>
        <s v="RIGTF22-FM01RD01" u="1"/>
        <s v="RIGTF22-FM01RD02" u="1"/>
        <s v="RIGTF22-FM01RD03" u="1"/>
        <s v="RIGTF22-FM01TE01" u="1"/>
        <s v="RIGTF22-HF01" u="1"/>
        <s v="RIGTF22-HF01ME01" u="1"/>
        <s v="RIGTF22-ML01" u="1"/>
        <s v="RIGTF22-ML01ME01" u="1"/>
        <s v="RIGTF22-ML01ME02" u="1"/>
        <s v="RIGTF22-ML01ME03" u="1"/>
        <s v="RIGTF22-ML01TP01" u="1"/>
        <s v="RIGTF22-SR01" u="1"/>
        <s v="RIGTF22-SR01BG01" u="1"/>
        <s v="RIGTF22-SR01BG01ME01" u="1"/>
        <s v="RIGTF22-SR01ME01" u="1"/>
        <s v="RIGTF22-TE01" u="1"/>
        <s v="RIGTF22-TE01AA01" u="1"/>
        <s v="RIGTF22-TP01" u="1"/>
        <s v="RIGTF22-TQ01" u="1"/>
        <s v="RIGTF22-TQ01ME01" u="1"/>
        <s v="RIGTF22-TQ01ME02" u="1"/>
        <s v="RIGTF22-TQ01ME03" u="1"/>
        <s v="RIGTF22-TQ01ME04" u="1"/>
        <s v="RIGTF22-TQ01ME05" u="1"/>
        <s v="RIGTF22-TQ01ME06" u="1"/>
        <s v="RIGTF22-TQ01RD01" u="1"/>
        <s v="RIGTF22-TQ01RD02" u="1"/>
        <s v="RIGTF22-TQ01RD03" u="1"/>
        <s v="RIGTF22-TQ01RD04" u="1"/>
        <s v="RIGTF22-TQ01RD05" u="1"/>
        <s v="RIGTF22-TQ01TP01" u="1"/>
        <s v="PRETF34-BS01" u="1"/>
        <s v="PRETF34-DE01" u="1"/>
        <s v="PRETF34-DE01ME01" u="1"/>
        <s v="PRETF34-DE01RD01" u="1"/>
        <s v="PRETF34-DE01TE01" u="1"/>
        <s v="PRETF34-EB01" u="1"/>
        <s v="PRETF34-EF01" u="1"/>
        <s v="PRETF34-HF01" u="1"/>
        <s v="PRETF34-RH01" u="1"/>
        <s v="PRETF34-RH01HF01" u="1"/>
        <s v="PRETF34-RH01ME01" u="1"/>
        <s v="PRETF34-RH02" u="1"/>
        <s v="PRETF34-RH02ME01" u="1"/>
        <s v="PRETF34-SN01" u="1"/>
        <s v="PRETF34-SR01" u="1"/>
        <s v="PRETF34-TB01" u="1"/>
        <s v="PRETF34-TE01" u="1"/>
        <s v="PRETF34-TE02" u="1"/>
        <s v="ESPTF06-DE01" u="1"/>
        <s v="ESPTF06-DE01ME01" u="1"/>
        <s v="ESPTF06-DE01RD01" u="1"/>
        <s v="ESPTF06-GL01" u="1"/>
        <s v="ESPTF06-HF01" u="1"/>
        <s v="ESPTF06-HF01ME01" u="1"/>
        <s v="ESPTF06-HF01RD01" u="1"/>
        <s v="ESPTF06-HF01TE01" u="1"/>
        <s v="ESPTF06-HF01TE02" u="1"/>
        <s v="ESPTF06-SP01TE01" u="1"/>
        <s v="ESPTF06-TB01" u="1"/>
        <s v="ESPTF06-TE01" u="1"/>
        <s v="ESPTF06-TE01AA01" u="1"/>
        <s v="ESPTF06-TQ01" u="1"/>
        <s v="ESPTF06-TQ01SH01" u="1"/>
        <s v="ESPTF06-TQ01SN01" u="1"/>
        <s v="DESEA01-ES01" u="1"/>
        <s v="DESEA01-ES02" u="1"/>
        <s v="DESEA01-ES03" u="1"/>
        <s v="DESEA01-ES04" u="1"/>
        <s v="DESEA01-ES05" u="1"/>
        <s v="DESEA01-ES06" u="1"/>
        <s v="DESEA01-ES07" u="1"/>
        <s v="DESEA01-ES08" u="1"/>
        <s v="DESEA01-ES09" u="1"/>
        <s v="DESEA01-ES10" u="1"/>
        <s v="DESEA01-MG10" u="1"/>
        <s v="DESEA01-MG11" u="1"/>
        <s v="DESEA01-MG12" u="1"/>
        <s v="DESEA01-MG14" u="1"/>
        <s v="DESEA01-MG15" u="1"/>
        <s v="DESEA01-MG16" u="1"/>
        <s v="DESEA01-MG03" u="1"/>
        <s v="DESEA01-MG04" u="1"/>
        <s v="DESEA01-MG05" u="1"/>
        <s v="DESEA01-MG06" u="1"/>
        <s v="DESEA01-MG07" u="1"/>
        <s v="DESEA01-MG09" u="1"/>
        <s v="DESEA01-MG13" u="1"/>
        <s v="RIGTF42-AL01" u="1"/>
        <s v="RIGTF42-AL01ME01" u="1"/>
        <s v="RIGTF42-AL01ME02" u="1"/>
        <s v="RIGTF42-AL01ME03" u="1"/>
        <s v="RIGTF42-AL01RD01" u="1"/>
        <s v="RIGTF42-AL01RD02" u="1"/>
        <s v="RIGTF42-AL01RD03" u="1"/>
        <s v="RIGTF42-AP01" u="1"/>
        <s v="RIGTF42-AP01BS01" u="1"/>
        <s v="RIGTF42-AP01BS01ME01" u="1"/>
        <s v="RIGTF42-AP01BS01RD01" u="1"/>
        <s v="RIGTF42-AP01ME01" u="1"/>
        <s v="RIGTF42-AP01ME02" u="1"/>
        <s v="RIGTF42-AP01RD01" u="1"/>
        <s v="RIGTF42-AP01RD02" u="1"/>
        <s v="RIGTF42-AP02" u="1"/>
        <s v="RIGTF42-AP02ME01" u="1"/>
        <s v="RIGTF42-AP02RD01" u="1"/>
        <s v="RIGTF42-AP03" u="1"/>
        <s v="RIGTF42-AP03BS01" u="1"/>
        <s v="RIGTF42-AP03BS01ME01" u="1"/>
        <s v="RIGTF42-AP03BS01RD01" u="1"/>
        <s v="RIGTF42-AP03ME01" u="1"/>
        <s v="RIGTF42-AP03RD01" u="1"/>
        <s v="RIGTF42-DE01" u="1"/>
        <s v="RIGTF42-DE01EL01" u="1"/>
        <s v="RIGTF42-DE01EL01ME01" u="1"/>
        <s v="RIGTF42-DE01EL01RD01" u="1"/>
        <s v="RIGTF42-DE01ME01" u="1"/>
        <s v="RIGTF42-DE01TE01" u="1"/>
        <s v="RIGTF42-EB01" u="1"/>
        <s v="RIGTF42-EB01ME01" u="1"/>
        <s v="RIGTF42-EB01RD01" u="1"/>
        <s v="RIGTF42-FM01" u="1"/>
        <s v="RIGTF42-FM01BV01" u="1"/>
        <s v="RIGTF42-FM01BV01ME01" u="1"/>
        <s v="RIGTF42-FM01ME01" u="1"/>
        <s v="RIGTF42-FM01ME02" u="1"/>
        <s v="RIGTF42-FM01ME03" u="1"/>
        <s v="RIGTF42-FM01ME04" u="1"/>
        <s v="RIGTF42-FM01ME05" u="1"/>
        <s v="RIGTF42-FM01ME06" u="1"/>
        <s v="RIGTF42-FM01RD01" u="1"/>
        <s v="RIGTF42-FM01RD02" u="1"/>
        <s v="RIGTF42-FM01RD03" u="1"/>
        <s v="RIGTF42-FM01RD04" u="1"/>
        <s v="RIGTF42-FM01TE01" u="1"/>
        <s v="RIGTF42-FM01TE02" u="1"/>
        <s v="RIGTF42-FM01TE02AA01" u="1"/>
        <s v="RIGTF42-FM01TE02AA02" u="1"/>
        <s v="RIGTF42-HF01" u="1"/>
        <s v="RIGTF42-HF01ME01" u="1"/>
        <s v="RIGTF42-HF01PC01" u="1"/>
        <s v="RIGTF42-HF01RD01" u="1"/>
        <s v="RIGTF42-HF01TE01" u="1"/>
        <s v="RIGTF42-ML01" u="1"/>
        <s v="RIGTF42-ML01ME01" u="1"/>
        <s v="RIGTF42-ML01ME01BW01" u="1"/>
        <s v="RIGTF42-ML01ME02" u="1"/>
        <s v="RIGTF42-ML01RD01" u="1"/>
        <s v="RIGTF42-ML01TE01" u="1"/>
        <s v="RIGTF42-ML01TE02" u="1"/>
        <s v="RIGTF42-PF01" u="1"/>
        <s v="RIGTF42-PF01ME01" u="1"/>
        <s v="RIGTF42-PF01ME02" u="1"/>
        <s v="RIGTF42-PF01RD01" u="1"/>
        <s v="RIGTF42-PF01RD02" u="1"/>
        <s v="RIGTF42-PF02" u="1"/>
        <s v="RIGTF42-PF02ME01" u="1"/>
        <s v="RIGTF42-PF02RD01" u="1"/>
        <s v="RIGTF42-RA01" u="1"/>
        <s v="RIGTF42-RA01BS01" u="1"/>
        <s v="RIGTF42-RA01BS01ME01" u="1"/>
        <s v="RIGTF42-RA01BS01RD01" u="1"/>
        <s v="RIGTF42-RA01ME01" u="1"/>
        <s v="RIGTF42-RA01ME02" u="1"/>
        <s v="RIGTF42-RA01ME03" u="1"/>
        <s v="RIGTF42-RA01RD01" u="1"/>
        <s v="RIGTF42-RA01RD02" u="1"/>
        <s v="RIGTF42-RA01RD03" u="1"/>
        <s v="RIGTF42-RA01TE01" u="1"/>
        <s v="RIGTF42-SP01" u="1"/>
        <s v="RIGTF42-TB01" u="1"/>
        <s v="RIGTF42-TL01" u="1"/>
        <s v="RIGTF42-TL01ME01" u="1"/>
        <s v="RIGTF42-TL01RD01" u="1"/>
        <s v="RIGTF42-TL01TE01" u="1"/>
        <s v="RIGTF42-TQ01" u="1"/>
        <s v="RIGTF42-TQ01ME01" u="1"/>
        <s v="RIGTF42-TQ01ME02" u="1"/>
        <s v="RIGTF42-TQ01ME03" u="1"/>
        <s v="RIGTF42-TQ01ME04" u="1"/>
        <s v="RIGTF42-TQ01RD01" u="1"/>
        <s v="RIGTF42-TQ01RD02" u="1"/>
        <s v="RIGTF42-TQ01RD03" u="1"/>
        <s v="RIGTF42-TQ01RD04" u="1"/>
        <s v="RIGTF42-TQ01TP01" u="1"/>
        <s v="RIGTF01-EE01" u="1"/>
        <s v="RIGTF01-EE01ME01" u="1"/>
        <s v="RIGTF01-EE01ME02" u="1"/>
        <s v="RIGTF01-EE01ME03" u="1"/>
        <s v="RIGTF01-EE01ME04" u="1"/>
        <s v="RIGTF01-EE01ME05" u="1"/>
        <s v="RIGTF01-EE01RD01" u="1"/>
        <s v="RIGTF01-EE01RD02" u="1"/>
        <s v="RIGTF01-EE01RD03" u="1"/>
        <s v="RIGTF01-EE01RD04" u="1"/>
        <s v="RIGTF01-EE01SS01" u="1"/>
        <s v="RIGTF01-EE01TE01" u="1"/>
        <s v="RIGTF01-EE02" u="1"/>
        <s v="RIGTF01-EE02ME02" u="1"/>
        <s v="RIGTF01-EE02ME03" u="1"/>
        <s v="RIGTF01-EE02ME04" u="1"/>
        <s v="RIGTF01-EE02ME05" u="1"/>
        <s v="RIGTF01-EE02ME06" u="1"/>
        <s v="RIGTF01-EE02RD01" u="1"/>
        <s v="RIGTF01-EE02RD02" u="1"/>
        <s v="RIGTF01-EE02RD03" u="1"/>
        <s v="RIGTF01-EE02RD04" u="1"/>
        <s v="RIGTF01-EE02TE01" u="1"/>
        <s v="RIGTF01-EE03" u="1"/>
        <s v="RIGTF01-EE03ME01" u="1"/>
        <s v="RIGTF01-EE03ME02" u="1"/>
        <s v="RIGTF01-EE03ME03" u="1"/>
        <s v="RIGTF01-EE03RD01" u="1"/>
        <s v="RIGTF01-EE03RD02" u="1"/>
        <s v="RIGTF01-FM01" u="1"/>
        <s v="RIGTF01-FM01BV01" u="1"/>
        <s v="RIGTF01-FM01BV01ME01" u="1"/>
        <s v="RIGTF01-FM01ME01" u="1"/>
        <s v="RIGTF01-FM01ME02" u="1"/>
        <s v="RIGTF01-FM01RD01" u="1"/>
        <s v="RIGTF01-FM01RD02" u="1"/>
        <s v="RIGTF01-FM01TE01" u="1"/>
        <s v="RIGTF01-FM01TE02" u="1"/>
        <s v="RIGTF01-FM01TE03" u="1"/>
        <s v="RIGTF01-HF01" u="1"/>
        <s v="RIGTF01-HF01ME01" u="1"/>
        <s v="RIGTF01-ML01" u="1"/>
        <s v="RIGTF01-ML01ME01" u="1"/>
        <s v="RIGTF01-ML01ME02" u="1"/>
        <s v="RIGTF01-ML01RD01" u="1"/>
        <s v="RIGTF01-RB01" u="1"/>
        <s v="RIGTF01-RB01BG01" u="1"/>
        <s v="RIGTF01-RB01BG01ME01" u="1"/>
        <s v="RIGTF01-RB01ME01" u="1"/>
        <s v="RIGTF01-RB02TE01" u="1"/>
        <s v="RIGTF01-TB01" u="1"/>
        <s v="RIGTF01-TE01" u="1"/>
        <s v="RIGTF01-TE01AA01" u="1"/>
        <s v="RIGTF01-TE03" u="1"/>
        <s v="RIGTF01-TE03AA01" u="1"/>
        <s v="RIGTF01-TQ01" u="1"/>
        <s v="RIGTF01-TQ01ME01" u="1"/>
        <s v="RIGTF01-TQ01ME02" u="1"/>
        <s v="RIGTF01-TQ01ME03" u="1"/>
        <s v="RIGTF01-TQ01ME04" u="1"/>
        <s v="RIGTF01-TQ01RD01" u="1"/>
        <s v="RIGTF01-TQ01RD02" u="1"/>
        <s v="RIGTF01-TQ01RD03" u="1"/>
        <s v="RIGTF01-TQ01TE01" u="1"/>
        <s v="RIGTF01-TQ01TE01AA01" u="1"/>
        <s v="RIGTF01-TQ01TE02" u="1"/>
        <s v="TANEE01-CB01" u="1"/>
        <s v="TANEE01-CB01SH01" u="1"/>
        <s v="TANEE01-CB01SH01BP01" u="1"/>
        <s v="TANEE01-CB01SH01ME01" u="1"/>
        <s v="TANEE01-EX01" u="1"/>
        <s v="TANEE01-EX01ME01" u="1"/>
        <s v="TANEE01-EX01RD01" u="1"/>
        <s v="TANEE01-EX01RD01BP01" u="1"/>
        <s v="TANEE01-EX01RD01IC01" u="1"/>
        <s v="TANEE01-EX01RD01ME01" u="1"/>
        <s v="TANEE01-EX01SR01" u="1"/>
        <s v="TANEE01-EX01SR01BC01" u="1"/>
        <s v="TANEE01-EX01SR01IC01" u="1"/>
        <s v="TANEE01-EX01SR01ME01" u="1"/>
        <s v="TANEE01-EX01TB01" u="1"/>
        <s v="TANEE01-EX01TE01" u="1"/>
        <s v="TANEE01-EX01TE02" u="1"/>
        <s v="TANEE01-EX01TE03" u="1"/>
        <s v="TANEE01-EX01TE04" u="1"/>
        <s v="TANEE01-EX01TR01" u="1"/>
        <s v="TANEE01-EX02" u="1"/>
        <s v="TANEE01-EX02ME01" u="1"/>
        <s v="TANEE01-EX02RD01" u="1"/>
        <s v="TANEE01-EX02SR01" u="1"/>
        <s v="TANEE01-EX02SR01BC01" u="1"/>
        <s v="TANEE01-EX02SR01BC02" u="1"/>
        <s v="TANEE01-EX02SR01ME01" u="1"/>
        <s v="TANEE01-EX02SR01ME02" u="1"/>
        <s v="TANEE01-EX02SR01TE01" u="1"/>
        <s v="TANEE01-EX02TE01" u="1"/>
        <s v="TANEE01-EX02TR01" u="1"/>
        <s v="TANEE01-MX01" u="1"/>
        <s v="TANEE01-RE01" u="1"/>
        <s v="TANEE01-RE01ME01" u="1"/>
        <s v="TANEE01-RE01ME02" u="1"/>
        <s v="TANEE01-RE01RD01" u="1"/>
        <s v="TANEE01-RE01RD02" u="1"/>
        <s v="TANEE01-RE01TE01" u="1"/>
        <s v="TANEE01-RE01TE02" u="1"/>
        <s v="TANEE01-RE02" u="1"/>
        <s v="TANEE01-RE02ME01" u="1"/>
        <s v="TANEE01-RE02ME02" u="1"/>
        <s v="TANEE01-RE02RD01" u="1"/>
        <s v="TANEE01-RE02RD02" u="1"/>
        <s v="TANEE01-RE02TE01" u="1"/>
        <s v="TANEE01-RE02TE02" u="1"/>
        <s v="TANEE01-RH01" u="1"/>
        <s v="TANEE01-RH01ME01" u="1"/>
        <s v="TANEE01-RH01RD01" u="1"/>
        <s v="TANEE01-RH01TE01" u="1"/>
        <s v="TANEE01-SA01" u="1"/>
        <s v="TANEE01-SA01BL01" u="1"/>
        <s v="TANEE01-SA01BL01ME01" u="1"/>
        <s v="TANEE01-SA01BL01RD01" u="1"/>
        <s v="TANEE01-SA01BL01RD02" u="1"/>
        <s v="TANEE01-SA01BL01TE01" u="1"/>
        <s v="TANEE01-SA01TE01" u="1"/>
        <s v="TANEE01-SA01TV01" u="1"/>
        <s v="TANEE01-SA01TV01ME01" u="1"/>
        <s v="TANEE01-SA01TV01RD01" u="1"/>
        <s v="TANEE01-SA01TV01RD02" u="1"/>
        <s v="TANEE01-SA01TV01TE01" u="1"/>
        <s v="TANEE01-SA01TV02" u="1"/>
        <s v="TANEE01-SA01TV02ME01" u="1"/>
        <s v="TANEE01-SA01TV02RD01" u="1"/>
        <s v="TANEE01-SA01TV02RD02" u="1"/>
        <s v="TANEE01-SA01TV02TE01" u="1"/>
        <s v="TANEE01-SA01TV03" u="1"/>
        <s v="TANEE01-SA01TV03ME01" u="1"/>
        <s v="TANEE01-SA01TV03RD01" u="1"/>
        <s v="TANEE01-SA01TV03RD02" u="1"/>
        <s v="TANEE01-SA01TV03TE01" u="1"/>
        <s v="TANEE01-SA01TV04" u="1"/>
        <s v="TANEE01-SA01TV04ME01" u="1"/>
        <s v="TANEE01-SA01TV04RD01" u="1"/>
        <s v="TANEE01-SG01" u="1"/>
        <s v="TANEE01-SG01BP01" u="1"/>
        <s v="TANEE01-SG01BP01RD01" u="1"/>
        <s v="TANEE01-SG01BP02" u="1"/>
        <s v="TANEE01-SG01BP02RD01" u="1"/>
        <s v="TANEE01-SG01ME01" u="1"/>
        <s v="TANEE01-SG01TE01" u="1"/>
        <s v="TANEE01-SG01TE02" u="1"/>
        <s v="TANEE01-ST01" u="1"/>
        <s v="TANEE01-ST01BW01" u="1"/>
        <s v="TANEE01-ST01BW01ME01" u="1"/>
        <s v="TANEE01-ST01RC01" u="1"/>
        <s v="TANEE01-ST01RC01TE01" u="1"/>
        <s v="TANEE01-ST01RC02" u="1"/>
        <s v="TANEE01-ST01RC02TE01" u="1"/>
        <s v="TANEE01-ST01TE01" u="1"/>
        <s v="TANEE01-TB01" u="1"/>
        <s v="ESPTF05-ML01ME02" u="1"/>
        <s v="ESPTF05-DE01" u="1"/>
        <s v="ESPTF05-DE01ME01" u="1"/>
        <s v="ESPTF05-DE01RD01" u="1"/>
        <s v="ESPTF05-FM01" u="1"/>
        <s v="ESPTF05-FM01BV01" u="1"/>
        <s v="ESPTF05-FM01BV01ME01" u="1"/>
        <s v="ESPTF05-FM01ME01" u="1"/>
        <s v="ESPTF05-FM01ME02" u="1"/>
        <s v="ESPTF05-FM01ME03" u="1"/>
        <s v="ESPTF05-FM01RD01" u="1"/>
        <s v="ESPTF05-FM01RD02" u="1"/>
        <s v="ESPTF05-FM01SR01" u="1"/>
        <s v="ESPTF05-FM01SR01BG01" u="1"/>
        <s v="ESPTF05-FM01SR01BG02" u="1"/>
        <s v="ESPTF05-FM01SR01ME01" u="1"/>
        <s v="ESPTF05-FM01SR01ME02" u="1"/>
        <s v="ESPTF05-FM01SR01TE01" u="1"/>
        <s v="ESPTF05-FM01SR01TE02" u="1"/>
        <s v="ESPTF05-FM01TE01" u="1"/>
        <s v="ESPTF05-FM01TE02" u="1"/>
        <s v="ESPTF05-FM01TE03" u="1"/>
        <s v="ESPTF05-HF01" u="1"/>
        <s v="ESPTF05-ML01" u="1"/>
        <s v="ESPTF05-ML01ME01" u="1"/>
        <s v="ESPTF05-ML01RD01" u="1"/>
        <s v="ESPTF05-TB01" u="1"/>
        <s v="ESPTF05-TE01" u="1"/>
        <s v="ESPTF05-TE01AA01" u="1"/>
        <s v="ESPTF05-TE02" u="1"/>
        <s v="ESPTF05-TE02AA01" u="1"/>
        <s v="ESPTF05-TQ01" u="1"/>
        <s v="ESPTF05-TQ01ME01" u="1"/>
        <s v="ESPTF05-TQ01ME02" u="1"/>
        <s v="ESPTF05-TQ01ME03" u="1"/>
        <s v="ESPTF05-TQ01RD01" u="1"/>
        <s v="ESPTF05-TQ01RD03" u="1"/>
        <s v="ESPTF05-TQ01TE01" u="1"/>
        <s v="ESPTF05-TQ01TE02" u="1"/>
        <s v="RIGEX03-ML01" u="1"/>
        <s v="RIGEX03-RE01RH01" u="1"/>
        <s v="RIGEX03-RE01RH01RD01" u="1"/>
        <s v="RIGEX03-RH01" u="1"/>
        <s v="RIGEX03-RL01RD04" u="1"/>
        <s v="RIGEX03-RL01SR01ME03" u="1"/>
        <s v="RIGEX03-SA01VE01" u="1"/>
        <s v="RIGEX03-CB01" u="1"/>
        <s v="RIGEX03-CB01SH01" u="1"/>
        <s v="RIGEX03-CB01SH01BP01" u="1"/>
        <s v="RIGEX03-CB01SH01ME01" u="1"/>
        <s v="RIGEX03-CB01SH01TE01" u="1"/>
        <s v="RIGEX03-CB01TE01" u="1"/>
        <s v="RIGEX03-EX01" u="1"/>
        <s v="RIGEX03-EX01BP01" u="1"/>
        <s v="RIGEX03-EX01BP01ME01" u="1"/>
        <s v="RIGEX03-EX01BP01RD01" u="1"/>
        <s v="RIGEX03-EX01BP01TE01" u="1"/>
        <s v="RIGEX03-EX01BW01" u="1"/>
        <s v="RIGEX03-EX01BW01ME01" u="1"/>
        <s v="RIGEX03-EX01ME01" u="1"/>
        <s v="RIGEX03-EX01RD01" u="1"/>
        <s v="RIGEX03-EX01RD01IC01" u="1"/>
        <s v="RIGEX03-EX01SR01" u="1"/>
        <s v="RIGEX03-EX01SR01BC01" u="1"/>
        <s v="RIGEX03-EX01SR01IC01" u="1"/>
        <s v="RIGEX03-EX01SR01ME01" u="1"/>
        <s v="RIGEX03-EX01TE01" u="1"/>
        <s v="RIGEX03-EX01TE01AA01" u="1"/>
        <s v="RIGEX03-EX01TE02" u="1"/>
        <s v="RIGEX03-EX01TE02AA01" u="1"/>
        <s v="RIGEX03-EX01TE02AA02" u="1"/>
        <s v="RIGEX03-EX02" u="1"/>
        <s v="RIGEX03-EX02CB01" u="1"/>
        <s v="RIGEX03-EX02CB01TE01" u="1"/>
        <s v="RIGEX03-EX02ME01" u="1"/>
        <s v="RIGEX03-EX02RD01" u="1"/>
        <s v="RIGEX03-EX02RD01IC01" u="1"/>
        <s v="RIGEX03-EX02SR01" u="1"/>
        <s v="RIGEX03-EX02SR01BC01" u="1"/>
        <s v="RIGEX03-EX02SR01IC01" u="1"/>
        <s v="RIGEX03-EX02SR01ME01" u="1"/>
        <s v="RIGEX03-EX02TE01" u="1"/>
        <s v="RIGEX03-EX02TE01AA01" u="1"/>
        <s v="RIGEX03-ML01BW01" u="1"/>
        <s v="RIGEX03-ML01BW01ME01" u="1"/>
        <s v="RIGEX03-ML01ME01" u="1"/>
        <s v="RIGEX03-ML01TE01" u="1"/>
        <s v="RIGEX03-MX01" u="1"/>
        <s v="RIGEX03-RE01" u="1"/>
        <s v="RIGEX03-RE01ME01" u="1"/>
        <s v="RIGEX03-RE01RD01" u="1"/>
        <s v="RIGEX03-RE01RH01ME01" u="1"/>
        <s v="RIGEX03-RE01RH01ME02" u="1"/>
        <s v="RIGEX03-RE01RH01TE01" u="1"/>
        <s v="RIGEX03-RE01TE01" u="1"/>
        <s v="RIGEX03-RE02" u="1"/>
        <s v="RIGEX03-RE02ME01" u="1"/>
        <s v="RIGEX03-RE02RD01" u="1"/>
        <s v="RIGEX03-RE02TE02" u="1"/>
        <s v="RIGEX03-RH01ME01" u="1"/>
        <s v="RIGEX03-RH01RD01" u="1"/>
        <s v="RIGEX03-RH01TE01" u="1"/>
        <s v="RIGEX03-RH01TE02" u="1"/>
        <s v="RIGEX03-RL01" u="1"/>
        <s v="RIGEX03-RL01ME01" u="1"/>
        <s v="RIGEX03-RL01ME02" u="1"/>
        <s v="RIGEX03-RL01ME03" u="1"/>
        <s v="RIGEX03-RL01ME04" u="1"/>
        <s v="RIGEX03-RL01RD01" u="1"/>
        <s v="RIGEX03-RL01RD02" u="1"/>
        <s v="RIGEX03-RL01RD03" u="1"/>
        <s v="RIGEX03-RL01SH01" u="1"/>
        <s v="RIGEX03-RL01SH01BC01" u="1"/>
        <s v="RIGEX03-RL01SH01IC01" u="1"/>
        <s v="RIGEX03-RL01SH01ME01" u="1"/>
        <s v="RIGEX03-RL01SH01TE01" u="1"/>
        <s v="RIGEX03-RL01SR01" u="1"/>
        <s v="RIGEX03-RL01SR01BC01" u="1"/>
        <s v="RIGEX03-RL01SR01BC02" u="1"/>
        <s v="RIGEX03-RL01SR01BC03" u="1"/>
        <s v="RIGEX03-RL01SR01IC01" u="1"/>
        <s v="RIGEX03-RL01SR01IC02" u="1"/>
        <s v="RIGEX03-RL01SR01IC03" u="1"/>
        <s v="RIGEX03-RL01SR01ME01" u="1"/>
        <s v="RIGEX03-RL01SR01ME02" u="1"/>
        <s v="RIGEX03-RL01SR01TE01" u="1"/>
        <s v="RIGEX03-RL01TE01" u="1"/>
        <s v="RIGEX03-RL01TE01AA01" u="1"/>
        <s v="RIGEX03-SA01" u="1"/>
        <s v="RIGEX03-SA01EX01TE01" u="1"/>
        <s v="RIGEX03-SA01EX01TE02" u="1"/>
        <s v="RIGEX03-SA01EX01TV01" u="1"/>
        <s v="RIGEX03-SA01EX01TV02" u="1"/>
        <s v="RIGEX03-SA01ME01" u="1"/>
        <s v="RIGEX03-SA01RD01" u="1"/>
        <s v="RIGEX03-SA01TE01" u="1"/>
        <s v="RIGEX03-SA01TE02" u="1"/>
        <s v="RIGEX03-SA01TR01" u="1"/>
        <s v="RIGEX03-SA01TR02" u="1"/>
        <s v="RIGEX03-SA01TR03" u="1"/>
        <s v="RIGEX03-SA01VE01ME01" u="1"/>
        <s v="RIGEX03-SA01VE01RD01" u="1"/>
        <s v="RIGEX03-SA01VE01TE01" u="1"/>
        <s v="RIGEX03-SA01VE01TV01" u="1"/>
        <s v="RIGEX03-SA02" u="1"/>
        <s v="RIGEX03-SA02SM01" u="1"/>
        <s v="RIGEX03-SA02SM01ME01" u="1"/>
        <s v="RIGEX03-SA02SM01TE01" u="1"/>
        <s v="RIGEX03-SA02SM01TV01" u="1"/>
        <s v="RIGEX03-SA02TE01" u="1"/>
        <s v="RIGEX03-TE01" u="1"/>
        <s v="RIGEX03-TE01AA01" u="1"/>
        <s v="RIGEX03-TR01" u="1"/>
        <s v="PRETF47-AP01" u="1"/>
        <s v="PRETF47-AP01ME01" u="1"/>
        <s v="PRETF47-AP01RD01" u="1"/>
        <s v="PRETF47-AP01TE01" u="1"/>
        <s v="PRETF47-DE01" u="1"/>
        <s v="PRETF47-DE01ME01" u="1"/>
        <s v="PRETF47-EB01" u="1"/>
        <s v="PRETF47-EB01MN01" u="1"/>
        <s v="PRETF47-EB01RD01" u="1"/>
        <s v="PRETF47-EF01" u="1"/>
        <s v="PRETF47-EF01ME01" u="1"/>
        <s v="PRETF47-EF01ME02" u="1"/>
        <s v="PRETF47-EF01ME03" u="1"/>
        <s v="PRETF47-EF01RD01" u="1"/>
        <s v="PRETF47-EF01TE01" u="1"/>
        <s v="PRETF47-EF01TE02" u="1"/>
        <s v="PRETF47-HE01" u="1"/>
        <s v="PRETF47-HE01ME01" u="1"/>
        <s v="PRETF47-HE01RD01" u="1"/>
        <s v="PRETF47-HE01TE01" u="1"/>
        <s v="PRETF47-HE01TE01AA01" u="1"/>
        <s v="PRETF47-HE01TE02" u="1"/>
        <s v="PRETF47-HE02" u="1"/>
        <s v="PRETF47-HE02TE01" u="1"/>
        <s v="PRETF47-SN01" u="1"/>
        <s v="PRETF47-SP01" u="1"/>
        <s v="PRETF47-SR01" u="1"/>
        <s v="PRETF47-TB01" u="1"/>
        <s v="PRETF47-TE01" u="1"/>
        <s v="PRETF47-TE01AA01" u="1"/>
        <s v="PRETF47-TR01" u="1"/>
        <s v="IMPID02-IM01" u="1"/>
        <s v="IMPID02-IM01ME01" u="1"/>
        <s v="IMPID02-IM01ME02" u="1"/>
        <s v="IMPID02-IM01ME03" u="1"/>
        <s v="IMPID02-IM01ME04" u="1"/>
        <s v="IMPID02-IM01ME05" u="1"/>
        <s v="IMPID02-IM01ME06" u="1"/>
        <s v="IMPID02-TE01" u="1"/>
        <s v="IMPID02-TP01" u="1"/>
        <s v="TANEE02-CB01SH01" u="1"/>
        <s v="TANEE02-EX01RD01" u="1"/>
        <s v="TANEE02-EX01RD01IC01" u="1"/>
        <s v="TANEE02-EX01SR01IC01" u="1"/>
        <s v="TANEE02-EX02RD01" u="1"/>
        <s v="TANEE02-EX02RD01IC01" u="1"/>
        <s v="TANEE02-EX02SR01IC01" u="1"/>
        <s v="TANEE02-EX02SR01IC02" u="1"/>
        <s v="TANEE02-EX02SR01IC03" u="1"/>
        <s v="TANEE02-EX02SR01IC04" u="1"/>
        <s v="TANEE02-RE01RD01" u="1"/>
        <s v="ESPTF14-DE01" u="1"/>
        <s v="ESPTF14-DE01ME01" u="1"/>
        <s v="ESPTF14-DE01ME02" u="1"/>
        <s v="ESPTF14-DE01MN01" u="1"/>
        <s v="ESPTF14-DE01RD01" u="1"/>
        <s v="ESPTF14-DE01RD02" u="1"/>
        <s v="ESPTF14-FM01" u="1"/>
        <s v="ESPTF14-FM01BV01" u="1"/>
        <s v="ESPTF14-FM01BV01ME01" u="1"/>
        <s v="ESPTF14-FM01BV02" u="1"/>
        <s v="ESPTF14-FM01BV02ME01" u="1"/>
        <s v="ESPTF14-FM01ME01" u="1"/>
        <s v="ESPTF14-FM01ME02" u="1"/>
        <s v="ESPTF14-FM01RD01" u="1"/>
        <s v="ESPTF14-FM01RD02" u="1"/>
        <s v="ESPTF14-FM01SR01" u="1"/>
        <s v="ESPTF14-FM01SR01BG01" u="1"/>
        <s v="ESPTF14-FM01SR01BG02" u="1"/>
        <s v="ESPTF14-FM01SR01BG03" u="1"/>
        <s v="ESPTF14-FM01SR01ME01" u="1"/>
        <s v="ESPTF14-FM01SR01ME02" u="1"/>
        <s v="ESPTF14-FM01SR01ME03" u="1"/>
        <s v="ESPTF14-FM01SR01TE01" u="1"/>
        <s v="ESPTF14-FM01SR01TE02" u="1"/>
        <s v="ESPTF14-HF01" u="1"/>
        <s v="ESPTF14-HF01ME01" u="1"/>
        <s v="ESPTF14-ML01" u="1"/>
        <s v="ESPTF14-ML01ME01" u="1"/>
        <s v="ESPTF14-ML01ME02" u="1"/>
        <s v="ESPTF14-ML01RD01" u="1"/>
        <s v="ESPTF14-SP01" u="1"/>
        <s v="ESPTF14-SP01BT01" u="1"/>
        <s v="ESPTF14-SP01BT01ME01" u="1"/>
        <s v="ESPTF14-SP01BT01RD01" u="1"/>
        <s v="ESPTF14-SP01BT02" u="1"/>
        <s v="ESPTF14-SP01BT02ME02" u="1"/>
        <s v="ESPTF14-SP01BT02RD01" u="1"/>
        <s v="ESPTF14-SP01BT03" u="1"/>
        <s v="ESPTF14-SP01BT03ME01" u="1"/>
        <s v="ESPTF14-SP01BT03RD01" u="1"/>
        <s v="ESPTF14-SP01BT04ME01" u="1"/>
        <s v="ESPTF14-SP01BT04RD01" u="1"/>
        <s v="ESPTF14-SP01BT05ME02" u="1"/>
        <s v="ESPTF14-SP01BT05RD01" u="1"/>
        <s v="ESPTF14-SP01BT06" u="1"/>
        <s v="ESPTF14-SP01BT06ME01" u="1"/>
        <s v="ESPTF14-SP01BT06ME02" u="1"/>
        <s v="ESPTF14-SP01BT07" u="1"/>
        <s v="ESPTF14-SP01BT07ME01" u="1"/>
        <s v="ESPTF14-SP01BT07RD01" u="1"/>
        <s v="ESPTF14-SP01DE01" u="1"/>
        <s v="ESPTF14-SP01DE01ME01" u="1"/>
        <s v="ESPTF14-SP01DE01RD01" u="1"/>
        <s v="ESPTF14-SP01ME01" u="1"/>
        <s v="ESPTF14-SP01ME02" u="1"/>
        <s v="ESPTF14-SP01ME03" u="1"/>
        <s v="ESPTF14-SP01ME04" u="1"/>
        <s v="ESPTF14-SP01RD01" u="1"/>
        <s v="ESPTF14-SP01RD02" u="1"/>
        <s v="ESPTF14-SP01TE01" u="1"/>
        <s v="ESPTF14-SP01TE01AA01" u="1"/>
        <s v="ESPTF14-SP01TE02" u="1"/>
        <s v="ESPTF14-SR01" u="1"/>
        <s v="ESPTF14-TB01" u="1"/>
        <s v="ESPTF14-TE01" u="1"/>
        <s v="ESPTF14-TE01AA01" u="1"/>
        <s v="ESPTF14-TE02" u="1"/>
        <s v="ESPTF14-TQ01" u="1"/>
        <s v="ESPTF14-TQ01BT01" u="1"/>
        <s v="ESPTF14-TQ01BT01ME01" u="1"/>
        <s v="ESPTF14-TQ01BT01ME02" u="1"/>
        <s v="ESPTF14-TQ01ME01" u="1"/>
        <s v="ESPTF14-TQ01ME02" u="1"/>
        <s v="ESPTF14-TQ01ME03" u="1"/>
        <s v="ESPTF14-TQ01ME04" u="1"/>
        <s v="ESPTF14-TQ01RD01" u="1"/>
        <s v="ESPTF14-TQ01RD02" u="1"/>
        <s v="ESPTF14-TQ01RD03" u="1"/>
        <s v="ESPTF14-TQ01TE01" u="1"/>
        <s v="ESPTF14-TQ01TE02" u="1"/>
        <s v="ESPTF14-TQ02ME01" u="1"/>
        <s v="ESPTF14-TQ02ME02" u="1"/>
        <s v="ESPTF14-TQ02ME03" u="1"/>
        <s v="ESPTF14-TQ02RD01" u="1"/>
        <s v="ESPTF14-TQ02RD02" u="1"/>
        <s v="ESPTF14-TQ02TE02" u="1"/>
        <s v="ESPTF14-TQ02TE03" u="1"/>
        <s v="EXPEP01-KB01" u="1"/>
        <s v="EXPEP01-KB01CF01" u="1"/>
        <s v="EXPEP01-KB01CF01BW01" u="1"/>
        <s v="EXPEP01-KB01CF01ME01" u="1"/>
        <s v="EXPEP01-KB01SA01" u="1"/>
        <s v="EXPEP01-KB01SA01ME01" u="1"/>
        <s v="EXPEP01-KB01SA01ME02" u="1"/>
        <s v="EXPEP01-KB01SA01RD01" u="1"/>
        <s v="EXPEP01-KB01SA01TE01" u="1"/>
        <s v="EXPEP01-KB01SA01TV01" u="1"/>
        <s v="EXPEP01-KB01SA01TV02" u="1"/>
        <s v="EXPEP01-KB01SA01TV03" u="1"/>
        <s v="EXPEP01-KB01SE01BW01" u="1"/>
        <s v="EXPEP01-KB01SE01BW02" u="1"/>
        <s v="EXPEP01-KB01SE01ME01" u="1"/>
        <s v="EXPEP01-KB01SE01ME02" u="1"/>
        <s v="EXPEP01-KB01ST01" u="1"/>
        <s v="EXPEP01-KB01ST01BV01" u="1"/>
        <s v="EXPEP01-KB01ST01BW01" u="1"/>
        <s v="EXPEP01-KB01ST01ME02" u="1"/>
        <s v="EXPEP01-KB01ST01ME03" u="1"/>
        <s v="EXPEP01-KB01TE01" u="1"/>
        <s v="EXPEP01-KB01TE02" u="1"/>
        <s v="EXPEP01-KB01TE03" u="1"/>
        <s v="EXPEP01-KB01TE03AA01" u="1"/>
        <s v="EXPEP01-KB01TE04" u="1"/>
        <s v="EXPEP01-KB01TM01" u="1"/>
        <s v="EXPEP01-KB01TM01ME01" u="1"/>
        <s v="EXPEP01-KB01TM01ME02" u="1"/>
        <s v="EXPEP01-KB01TM01RD01" u="1"/>
        <s v="EXPEP01-KB01TM01RD02" u="1"/>
        <s v="EXPEP01-KB01TV01" u="1"/>
        <s v="RIGTF02-RB01" u="1"/>
        <s v="RIGTF02-RB01BG01" u="1"/>
        <s v="RIGTF02-RB01BG01ME01" u="1"/>
        <s v="RIGTF02-RB01HF01" u="1"/>
        <s v="RIGTF02-RB01ME01" u="1"/>
        <s v="RIGTF02-RB01TE01" u="1"/>
        <s v="ESPTF07-DE01" u="1"/>
        <s v="ESPTF07-DE01ME01" u="1"/>
        <s v="ESPTF07-DE01RD01" u="1"/>
        <s v="ESPTF07-GL01" u="1"/>
        <s v="ESPTF07-HF01" u="1"/>
        <s v="ESPTF07-HF01ME01" u="1"/>
        <s v="ESPTF07-HF01RD01" u="1"/>
        <s v="ESPTF07-HF01TE01" u="1"/>
        <s v="ESPTF07-HF01TE02" u="1"/>
        <s v="ESPTF07-TB01" u="1"/>
        <s v="ESPTF07-TE01" u="1"/>
        <s v="ESPTF07-TE01AA01" u="1"/>
        <s v="ESPTF07-TQ01" u="1"/>
        <s v="ESPTF07-TQ01SH01" u="1"/>
        <s v="ESPTF07-TQ01SH01BP01" u="1"/>
        <s v="ESPTF07-TQ01SH01BW01" u="1"/>
        <s v="ESPTF07-TQ01SH01IC01" u="1"/>
        <s v="RIGTF41-AL01" u="1"/>
        <s v="RIGTF41-AL01ME01" u="1"/>
        <s v="RIGTF41-AL01ME02" u="1"/>
        <s v="RIGTF41-AL01ME03" u="1"/>
        <s v="RIGTF41-AL01RD01" u="1"/>
        <s v="RIGTF41-AL01RD02" u="1"/>
        <s v="RIGTF41-AL01RD03" u="1"/>
        <s v="RIGTF41-AP01" u="1"/>
        <s v="RIGTF41-AP01BS01" u="1"/>
        <s v="RIGTF41-AP01BS01ME01" u="1"/>
        <s v="RIGTF41-AP01ME01" u="1"/>
        <s v="RIGTF41-AP01ME02" u="1"/>
        <s v="RIGTF41-AP01RD01" u="1"/>
        <s v="RIGTF41-AP01RD02" u="1"/>
        <s v="RIGTF41-AP02" u="1"/>
        <s v="RIGTF41-AP02ME01" u="1"/>
        <s v="RIGTF41-AP02RD01" u="1"/>
        <s v="RIGTF41-AP03" u="1"/>
        <s v="RIGTF41-AP03BS01" u="1"/>
        <s v="RIGTF41-AP03BS01ME01" u="1"/>
        <s v="RIGTF41-AP03BS01RD01" u="1"/>
        <s v="RIGTF41-AP03ME01" u="1"/>
        <s v="RIGTF41-AP03RD01" u="1"/>
        <s v="RIGTF41-DE01" u="1"/>
        <s v="RIGTF41-DE01EL01" u="1"/>
        <s v="RIGTF41-DE01EL01ME01" u="1"/>
        <s v="RIGTF41-DE01EL01RD01" u="1"/>
        <s v="RIGTF41-DE01ME01" u="1"/>
        <s v="RIGTF41-DE01RD01" u="1"/>
        <s v="RIGTF41-DE01TE01" u="1"/>
        <s v="RIGTF41-EB01" u="1"/>
        <s v="RIGTF41-EB01ME01" u="1"/>
        <s v="RIGTF41-EB01RD01" u="1"/>
        <s v="RIGTF41-FM01" u="1"/>
        <s v="RIGTF41-FM01BV01" u="1"/>
        <s v="RIGTF41-FM01BV01ME01" u="1"/>
        <s v="RIGTF41-FM01ME01" u="1"/>
        <s v="RIGTF41-FM01ME02" u="1"/>
        <s v="RIGTF41-FM01ME03" u="1"/>
        <s v="RIGTF41-FM01ME04" u="1"/>
        <s v="RIGTF41-FM01ME05" u="1"/>
        <s v="RIGTF41-FM01ME06" u="1"/>
        <s v="RIGTF41-FM01RD01" u="1"/>
        <s v="RIGTF41-FM01RD02" u="1"/>
        <s v="RIGTF41-FM01RD03" u="1"/>
        <s v="RIGTF41-FM01RD04" u="1"/>
        <s v="RIGTF41-FM01TE01" u="1"/>
        <s v="RIGTF41-FM01TE02" u="1"/>
        <s v="RIGTF41-FM01TE02AA01" u="1"/>
        <s v="RIGTF41-FM01TE02AA02" u="1"/>
        <s v="RIGTF41-HF01" u="1"/>
        <s v="RIGTF41-HF01ME01" u="1"/>
        <s v="RIGTF41-HF01PC01" u="1"/>
        <s v="RIGTF41-HF01RD01" u="1"/>
        <s v="RIGTF41-HF01TE01" u="1"/>
        <s v="RIGTF41-ML01" u="1"/>
        <s v="RIGTF41-ML01ME01" u="1"/>
        <s v="RIGTF41-ML01ME01BW01" u="1"/>
        <s v="RIGTF41-ML01ME02" u="1"/>
        <s v="RIGTF41-ML01RD01" u="1"/>
        <s v="RIGTF41-ML01TE01" u="1"/>
        <s v="RIGTF41-ML01TE02" u="1"/>
        <s v="RIGTF41-PF01" u="1"/>
        <s v="RIGTF41-PF01ME01" u="1"/>
        <s v="RIGTF41-PF01ME02" u="1"/>
        <s v="RIGTF41-PF01RD01" u="1"/>
        <s v="RIGTF41-PF01RD02" u="1"/>
        <s v="RIGTF41-PF02" u="1"/>
        <s v="RIGTF41-PF02ME01" u="1"/>
        <s v="RIGTF41-PF02RD01" u="1"/>
        <s v="RIGTF41-RA01" u="1"/>
        <s v="RIGTF41-RA01BS01" u="1"/>
        <s v="RIGTF41-RA01BS01ME01" u="1"/>
        <s v="RIGTF41-RA01BS01RD01" u="1"/>
        <s v="RIGTF41-RA01ME01" u="1"/>
        <s v="RIGTF41-RA01ME02" u="1"/>
        <s v="RIGTF41-RA01ME03" u="1"/>
        <s v="RIGTF41-RA01RD01" u="1"/>
        <s v="RIGTF41-RA01RD02" u="1"/>
        <s v="RIGTF41-RA01RD03" u="1"/>
        <s v="RIGTF41-RA01TE01" u="1"/>
        <s v="RIGTF41-SP01" u="1"/>
        <s v="RIGTF41-TB01" u="1"/>
        <s v="RIGTF41-TQ01" u="1"/>
        <s v="RIGTF41-TQ01ME01" u="1"/>
        <s v="RIGTF41-TQ01ME02" u="1"/>
        <s v="RIGTF41-TQ01ME03" u="1"/>
        <s v="RIGTF41-TQ01ME04" u="1"/>
        <s v="RIGTF41-TQ01RD01" u="1"/>
        <s v="RIGTF41-TQ01RD02" u="1"/>
        <s v="RIGTF41-TQ01RD03" u="1"/>
        <s v="RIGTF41-TQ01RD04" u="1"/>
        <s v="RIGTF41-TQ01TP01" u="1"/>
        <s v="ESPTF13-DE01" u="1"/>
        <s v="ESPTF13-DE01ME01" u="1"/>
        <s v="ESPTF13-DE01RD01" u="1"/>
        <s v="ESPTF13-FM01" u="1"/>
        <s v="ESPTF13-FM01BV01" u="1"/>
        <s v="ESPTF13-FM01BV01ME01" u="1"/>
        <s v="ESPTF13-FM01ME01" u="1"/>
        <s v="ESPTF13-FM01ME02" u="1"/>
        <s v="ESPTF13-FM01RD01" u="1"/>
        <s v="ESPTF13-FM01RD02" u="1"/>
        <s v="ESPTF13-FM01SR01" u="1"/>
        <s v="ESPTF13-FM01SR01BC01" u="1"/>
        <s v="ESPTF13-FM01SR01BC02" u="1"/>
        <s v="ESPTF13-FM01SR01ME01" u="1"/>
        <s v="ESPTF13-FM01SR01ME02" u="1"/>
        <s v="ESPTF13-FM01SR01TE01" u="1"/>
        <s v="ESPTF13-FM01SR01TE02" u="1"/>
        <s v="ESPTF13-HF01" u="1"/>
        <s v="ESPTF13-HF01ME01" u="1"/>
        <s v="ESPTF13-HF01TE01" u="1"/>
        <s v="ESPTF13-HF01TE02" u="1"/>
        <s v="ESPTF13-HF01TE03" u="1"/>
        <s v="ESPTF13-ML01" u="1"/>
        <s v="ESPTF13-ML01ME01" u="1"/>
        <s v="ESPTF13-ML01ME02" u="1"/>
        <s v="ESPTF13-ML01RD01" u="1"/>
        <s v="ESPTF13-SP02" u="1"/>
        <s v="ESPTF13-SP02ME01" u="1"/>
        <s v="ESPTF13-SP02ME02" u="1"/>
        <s v="ESPTF13-SP02ME03" u="1"/>
        <s v="ESPTF13-SP02RD01" u="1"/>
        <s v="ESPTF13-SP02RD02" u="1"/>
        <s v="ESPTF13-SP02RD03" u="1"/>
        <s v="ESPTF13-SP02TE01" u="1"/>
        <s v="ESPTF13-TB01" u="1"/>
        <s v="ESPTF13-TE01" u="1"/>
        <s v="ESPTF13-TE01AA01" u="1"/>
        <s v="ESPTF13-TE02" u="1"/>
        <s v="ESPTF13-TE02AA01" u="1"/>
        <s v="ESPTF13-TQ01" u="1"/>
        <s v="ESPTF13-TQ01ME01" u="1"/>
        <s v="ESPTF13-TQ01ME02" u="1"/>
        <s v="ESPTF13-TQ01ME03" u="1"/>
        <s v="ESPTF13-TQ01RD03" u="1"/>
        <s v="ESPTF13-TQ01RD04" u="1"/>
        <s v="ESPTF13-TQ01TE01" u="1"/>
        <s v="ESPTF13-TQ01TE02" u="1"/>
        <s v="ESPTF13-TQ01TE03" u="1"/>
        <s v="RIGTF02-EE01" u="1"/>
        <s v="RIGTF02-EE01ME01" u="1"/>
        <s v="RIGTF02-EE01ME02" u="1"/>
        <s v="RIGTF02-EE01ME03" u="1"/>
        <s v="RIGTF02-EE01ME04" u="1"/>
        <s v="RIGTF02-EE01ME05" u="1"/>
        <s v="RIGTF02-EE01ME06" u="1"/>
        <s v="RIGTF02-EE01RD01" u="1"/>
        <s v="RIGTF02-EE01RD02" u="1"/>
        <s v="RIGTF02-EE01RD03" u="1"/>
        <s v="RIGTF02-EE01RD04" u="1"/>
        <s v="RIGTF02-EE01RD05" u="1"/>
        <s v="RIGTF02-EE01SS01" u="1"/>
        <s v="RIGTF02-EE01TE01" u="1"/>
        <s v="RIGTF02-EE02" u="1"/>
        <s v="RIGTF02-EE02ME01" u="1"/>
        <s v="RIGTF02-EE02ME02" u="1"/>
        <s v="RIGTF02-EE02ME03" u="1"/>
        <s v="RIGTF02-EE02RD01" u="1"/>
        <s v="RIGTF02-EE02RD02" u="1"/>
        <s v="RIGTF02-EE03" u="1"/>
        <s v="RIGTF02-EE03ME01" u="1"/>
        <s v="RIGTF02-EE03ME02" u="1"/>
        <s v="RIGTF02-EE03ME03" u="1"/>
        <s v="RIGTF02-EE03RD01" u="1"/>
        <s v="RIGTF02-EE03RD02" u="1"/>
        <s v="RIGTF02-FM01" u="1"/>
        <s v="RIGTF02-FM01BV01" u="1"/>
        <s v="RIGTF02-FM01BV01ME01" u="1"/>
        <s v="RIGTF02-FM01ME01" u="1"/>
        <s v="RIGTF02-FM01ME02" u="1"/>
        <s v="RIGTF02-FM01ME03" u="1"/>
        <s v="RIGTF02-FM01RD01" u="1"/>
        <s v="RIGTF02-FM01RD02" u="1"/>
        <s v="RIGTF02-FM01SR01CH03" u="1"/>
        <s v="RIGTF02-FM01TE01" u="1"/>
        <s v="RIGTF02-FM01TE02" u="1"/>
        <s v="RIGTF02-FM01TE03" u="1"/>
        <s v="RIGTF02-HF01" u="1"/>
        <s v="RIGTF02-ML01" u="1"/>
        <s v="RIGTF02-ML01ME01" u="1"/>
        <s v="RIGTF02-ML01ME02" u="1"/>
        <s v="RIGTF02-ML01ME03" u="1"/>
        <s v="RIGTF02-ML01RD01" u="1"/>
        <s v="RIGTF02-RB02" u="1"/>
        <s v="RIGTF02-RB02HF01" u="1"/>
        <s v="RIGTF02-RB02ME01" u="1"/>
        <s v="RIGTF02-RB02ME02" u="1"/>
        <s v="RIGTF02-RB02RD01" u="1"/>
        <s v="RIGTF02-RB02SR01BC01" u="1"/>
        <s v="RIGTF02-RB02TE01" u="1"/>
        <s v="RIGTF02-TB01" u="1"/>
        <s v="RIGTF02-TE03" u="1"/>
        <s v="RIGTF02-TQ01" u="1"/>
        <s v="RIGTF02-TQ01ME01" u="1"/>
        <s v="RIGTF02-TQ01ME02" u="1"/>
        <s v="RIGTF02-TQ01ME03" u="1"/>
        <s v="RIGTF02-TQ01ME04" u="1"/>
        <s v="RIGTF02-TQ01RD01" u="1"/>
        <s v="RIGTF02-TQ01RD02" u="1"/>
        <s v="RIGTF02-TQ01RD03" u="1"/>
        <s v="RIGTF02-TQ01TE01" u="1"/>
        <s v="RIGTF02-TQ01TE02" u="1"/>
        <s v="PRETF38-AP01" u="1"/>
        <s v="PRETF38-AP01TE01" u="1"/>
        <s v="PRETF38-CH01" u="1"/>
        <s v="PRETF38-DE01" u="1"/>
        <s v="PRETF38-DE01RD01" u="1"/>
        <s v="PRETF38-EB01" u="1"/>
        <s v="PRETF38-EB01MN01" u="1"/>
        <s v="PRETF38-EB01RD01" u="1"/>
        <s v="PRETF38-EF01" u="1"/>
        <s v="PRETF38-EF01ME01" u="1"/>
        <s v="PRETF38-EF01ME02" u="1"/>
        <s v="PRETF38-EF01ME03" u="1"/>
        <s v="PRETF38-EF01RD01" u="1"/>
        <s v="PRETF38-EF01TE01" u="1"/>
        <s v="PRETF38-EF01TE02" u="1"/>
        <s v="PRETF38-HE01" u="1"/>
        <s v="PRETF38-HE01ME01" u="1"/>
        <s v="PRETF38-HE01RD01" u="1"/>
        <s v="PRETF38-HE01TE01" u="1"/>
        <s v="PRETF38-HE01TE01AA01" u="1"/>
        <s v="PRETF38-HE01TE02" u="1"/>
        <s v="PRETF38-HE02" u="1"/>
        <s v="PRETF38-HE02TE01" u="1"/>
        <s v="PRETF38-SN01" u="1"/>
        <s v="PRETF38-SP01" u="1"/>
        <s v="PRETF38-SR01" u="1"/>
        <s v="PRETF38-TB01" u="1"/>
        <s v="PRETF38-TE01" u="1"/>
        <s v="PRETF38-TE01AA01" u="1"/>
        <s v="PRETF38-TR01" u="1"/>
        <s v="RIGTF03-DE01" u="1"/>
        <s v="RIGTF03-DE01ME01" u="1"/>
        <s v="RIGTF03-DE01RD01" u="1"/>
        <s v="RIGTF03-DE01TE01" u="1"/>
        <s v="RIGTF03-EE01" u="1"/>
        <s v="RIGTF03-EE01ME01" u="1"/>
        <s v="RIGTF03-EE01ME02" u="1"/>
        <s v="RIGTF03-EE01RD01" u="1"/>
        <s v="RIGTF03-EE01RD02" u="1"/>
        <s v="RIGTF03-EE01SS01" u="1"/>
        <s v="RIGTF03-EE01TE01" u="1"/>
        <s v="RIGTF03-FM01" u="1"/>
        <s v="RIGTF03-FM01BV01" u="1"/>
        <s v="RIGTF03-FM01BV01ME01" u="1"/>
        <s v="RIGTF03-FM01ME01" u="1"/>
        <s v="RIGTF03-FM01ME02" u="1"/>
        <s v="RIGTF03-FM01ME03" u="1"/>
        <s v="RIGTF03-FM01RD01" u="1"/>
        <s v="RIGTF03-FM01RD02" u="1"/>
        <s v="RIGTF03-FM01TE01" u="1"/>
        <s v="RIGTF03-FM01TE02" u="1"/>
        <s v="RIGTF03-FM01TE03" u="1"/>
        <s v="RIGTF03-HF01" u="1"/>
        <s v="RIGTF03-ML01" u="1"/>
        <s v="RIGTF03-ML01ME01" u="1"/>
        <s v="RIGTF03-ML01ME02" u="1"/>
        <s v="RIGTF03-ML01RD01" u="1"/>
        <s v="RIGTF03-TB01" u="1"/>
        <s v="RIGTF03-TE01" u="1"/>
        <s v="RIGTF03-TE01AA01" u="1"/>
        <s v="RIGTF03-TE02" u="1"/>
        <s v="RIGTF03-TQ01" u="1"/>
        <s v="RIGTF03-TQ01ME01" u="1"/>
        <s v="RIGTF03-TQ01ME02" u="1"/>
        <s v="RIGTF03-TQ01ME03" u="1"/>
        <s v="RIGTF03-TQ01ME04" u="1"/>
        <s v="RIGTF03-TQ01RD01" u="1"/>
        <s v="RIGTF03-TQ01RD02" u="1"/>
        <s v="RIGTF03-TQ01RD03" u="1"/>
        <s v="RIGTF03-TQ01TE01" u="1"/>
        <s v="RIGTF03-TQ01TE02" u="1"/>
        <s v="TANEE04-CB01" u="1"/>
        <s v="TANEE04-CB01TE01" u="1"/>
        <s v="TANEE04-EX01" u="1"/>
        <s v="TANEE04-EX01ME01" u="1"/>
        <s v="TANEE04-EX01RD01" u="1"/>
        <s v="TANEE04-EX01RD01BP01" u="1"/>
        <s v="TANEE04-EX01RD01IC01" u="1"/>
        <s v="TANEE04-EX01RD01ME01" u="1"/>
        <s v="TANEE04-EX01SR01" u="1"/>
        <s v="TANEE04-EX01SR01BC01" u="1"/>
        <s v="TANEE04-EX01SR01IC01" u="1"/>
        <s v="TANEE04-EX01SR01ME01" u="1"/>
        <s v="TANEE04-EX01TB01" u="1"/>
        <s v="TANEE04-EX01TE01" u="1"/>
        <s v="TANEE04-EX01TE01AA01" u="1"/>
        <s v="TANEE04-EX01TE02" u="1"/>
        <s v="TANEE04-EX02" u="1"/>
        <s v="TANEE04-EX02BW01" u="1"/>
        <s v="TANEE04-EX02BW01ME01" u="1"/>
        <s v="TANEE04-EX02ME01" u="1"/>
        <s v="TANEE04-EX02RD01" u="1"/>
        <s v="TANEE04-EX02RD01BP01" u="1"/>
        <s v="TANEE04-EX02RD01IC01" u="1"/>
        <s v="TANEE04-EX02RD01ME01" u="1"/>
        <s v="TANEE04-EX02SR01BC01" u="1"/>
        <s v="TANEE04-EX02SR01BC02" u="1"/>
        <s v="TANEE04-EX02SR01IC01" u="1"/>
        <s v="TANEE04-EX02SR01IC02" u="1"/>
        <s v="TANEE04-EX02SR01IC03" u="1"/>
        <s v="TANEE04-EX02SR01IC04" u="1"/>
        <s v="TANEE04-EX02SR01ME01" u="1"/>
        <s v="TANEE04-EX02SR01ME02" u="1"/>
        <s v="TANEE04-EX02SR01TE01" u="1"/>
        <s v="TANEE04-EX02TE01" u="1"/>
        <s v="TANEE04-MX01" u="1"/>
        <s v="TANEE04-MX01IC01" u="1"/>
        <s v="TANEE04-RE01" u="1"/>
        <s v="TANEE04-RE01ME01" u="1"/>
        <s v="TANEE04-RE01ME02" u="1"/>
        <s v="TANEE04-RE01RD01" u="1"/>
        <s v="TANEE04-RE01RD02" u="1"/>
        <s v="TANEE04-RE01TE01" u="1"/>
        <s v="TANEE04-RE01TE02" u="1"/>
        <s v="TANEE04-RE02" u="1"/>
        <s v="TANEE04-RE02ME01" u="1"/>
        <s v="TANEE04-RE02ME02" u="1"/>
        <s v="TANEE04-RE02RD01" u="1"/>
        <s v="TANEE04-RE02RD02" u="1"/>
        <s v="TANEE04-RE02TE01" u="1"/>
        <s v="TANEE04-RE02TE02" u="1"/>
        <s v="TANEE04-RH01" u="1"/>
        <s v="TANEE04-RH01ME01" u="1"/>
        <s v="TANEE04-RH01RD01" u="1"/>
        <s v="TANEE04-RH01TE01" u="1"/>
        <s v="TANEE04-SA01" u="1"/>
        <s v="TANEE04-SA01BL01" u="1"/>
        <s v="TANEE04-SA01BL01ME01" u="1"/>
        <s v="TANEE04-SA01BL01RD01" u="1"/>
        <s v="TANEE04-SA01BL01RD02" u="1"/>
        <s v="TANEE04-SA01BL01TE01" u="1"/>
        <s v="TANEE04-SA01TE01" u="1"/>
        <s v="TANEE04-SA01TV01" u="1"/>
        <s v="TANEE04-SA01TV01ME01" u="1"/>
        <s v="TANEE04-SA01TV01RD01" u="1"/>
        <s v="TANEE04-SA01TV02" u="1"/>
        <s v="TANEE04-SA01TV02ME01" u="1"/>
        <s v="TANEE04-SA01TV02RD01" u="1"/>
        <s v="TANEE04-SA01TV02RD02" u="1"/>
        <s v="TANEE04-SA01TV03" u="1"/>
        <s v="TANEE04-SA01TV03ME01" u="1"/>
        <s v="TANEE04-SA01TV03RD01" u="1"/>
        <s v="TANEE04-SA01TV04" u="1"/>
        <s v="TANEE04-SA01TV04ME01" u="1"/>
        <s v="TANEE04-SA01TV04RD01" u="1"/>
        <s v="TANEE04-SA01TV04RD02" u="1"/>
        <s v="TANEE04-SG01" u="1"/>
        <s v="TANEE04-SG01BP01" u="1"/>
        <s v="TANEE04-SG01BP01RD01" u="1"/>
        <s v="TANEE04-SG01BP02" u="1"/>
        <s v="TANEE04-SG01BP02RD01" u="1"/>
        <s v="TANEE04-SG01ME01" u="1"/>
        <s v="TANEE04-SG01TE01" u="1"/>
        <s v="TANEE04-ST01" u="1"/>
        <s v="TANEE04-ST01BW01" u="1"/>
        <s v="TANEE04-ST01BW01ME01" u="1"/>
        <s v="TANEE04-ST01RC01" u="1"/>
        <s v="TANEE04-ST01RC01TE01" u="1"/>
        <s v="TANEE04-ST01RC02" u="1"/>
        <s v="TANEE04-ST01RC02TE01" u="1"/>
        <s v="TANEE04-ST01TE01" u="1"/>
        <s v="PSOIY01" u="1"/>
        <s v="PSOIY01-CH01" u="1"/>
        <s v="PSOIY01-CH01BG01" u="1"/>
        <s v="PSOIY01-CH01ME01" u="1"/>
        <s v="PSOIY01-CH01TE01" u="1"/>
        <s v="PSOIY01-DH01" u="1"/>
        <s v="PSOIY01-ME01" u="1"/>
        <s v="PSOIY01-SH01" u="1"/>
        <s v="PSOIY01-SH01BH01" u="1"/>
        <s v="PSOIY01-SN01" u="1"/>
        <s v="PSOIY01-SQ01" u="1"/>
        <s v="PSOIY01-SQ01BW01" u="1"/>
        <s v="PSOIY01-SQ01ME01" u="1"/>
        <s v="PSOIY01-SQ01TE01" u="1"/>
        <s v="PSOIY01-TE01" u="1"/>
        <s v="PSOIY01-UN01" u="1"/>
        <s v="PSOIY01-UN01MD01" u="1"/>
        <s v="PSOIY01-UN01MD02" u="1"/>
        <s v="ESPTF11-DE01" u="1"/>
        <s v="ESPTF11-DE01ME01" u="1"/>
        <s v="ESPTF11-DE01RD01" u="1"/>
        <s v="ESPTF11-FM01" u="1"/>
        <s v="ESPTF11-FM01BV01" u="1"/>
        <s v="ESPTF11-FM01BV01ME01" u="1"/>
        <s v="ESPTF11-FM01ME01" u="1"/>
        <s v="ESPTF11-FM01ME02" u="1"/>
        <s v="ESPTF11-FM01ME03" u="1"/>
        <s v="ESPTF11-FM01RD01" u="1"/>
        <s v="ESPTF11-FM01RD02" u="1"/>
        <s v="ESPTF11-FM01SR01" u="1"/>
        <s v="ESPTF11-FM01SR01BG01" u="1"/>
        <s v="ESPTF11-FM01SR01BG02" u="1"/>
        <s v="ESPTF11-FM01SR01ME01" u="1"/>
        <s v="ESPTF11-FM01SR01ME02" u="1"/>
        <s v="ESPTF11-FM01SR01TE01" u="1"/>
        <s v="ESPTF11-FM01SR01TE02" u="1"/>
        <s v="ESPTF11-FM01TE01" u="1"/>
        <s v="ESPTF11-FM01TE02" u="1"/>
        <s v="ESPTF11-FM01TE03" u="1"/>
        <s v="ESPTF11-HF01" u="1"/>
        <s v="ESPTF11-ML01" u="1"/>
        <s v="ESPTF11-ML01ME01" u="1"/>
        <s v="ESPTF11-ML01ME02" u="1"/>
        <s v="ESPTF11-ML01RD01" u="1"/>
        <s v="ESPTF11-TB01" u="1"/>
        <s v="ESPTF11-TE01" u="1"/>
        <s v="ESPTF11-TE01AA01" u="1"/>
        <s v="ESPTF11-TE02" u="1"/>
        <s v="ESPTF11-TE02AA01" u="1"/>
        <s v="ESPTF11-TQ01" u="1"/>
        <s v="ESPTF11-TQ01ME01" u="1"/>
        <s v="ESPTF11-TQ01ME02" u="1"/>
        <s v="ESPTF11-TQ01ME03" u="1"/>
        <s v="ESPTF11-TQ01RD01" u="1"/>
        <s v="ESPTF11-TQ01RD03" u="1"/>
        <s v="ESPTF11-TQ01TE01" u="1"/>
        <s v="ESPTF11-TQ01TE02" u="1"/>
        <s v="PRETF43-AP01" u="1"/>
        <s v="PRETF43-AP01TE01" u="1"/>
        <s v="PRETF43-DE01" u="1"/>
        <s v="PRETF43-DE01ME01" u="1"/>
        <s v="PRETF43-EB01" u="1"/>
        <s v="PRETF43-EB01MN01" u="1"/>
        <s v="PRETF43-EB01RD01" u="1"/>
        <s v="PRETF43-EF01" u="1"/>
        <s v="PRETF43-EF01ME01" u="1"/>
        <s v="PRETF43-EF01ME02" u="1"/>
        <s v="PRETF43-EF01ME03" u="1"/>
        <s v="PRETF43-EF01RD01" u="1"/>
        <s v="PRETF43-EF01TE01" u="1"/>
        <s v="PRETF43-EF01TE02" u="1"/>
        <s v="PRETF43-HE01" u="1"/>
        <s v="PRETF43-HE01ME01" u="1"/>
        <s v="PRETF43-HE01RD01" u="1"/>
        <s v="PRETF43-HE01TE01" u="1"/>
        <s v="PRETF43-HE01TE01AA01" u="1"/>
        <s v="PRETF43-HE02" u="1"/>
        <s v="PRETF43-HE02TE01" u="1"/>
        <s v="PRETF43-SN01" u="1"/>
        <s v="PRETF43-SR01" u="1"/>
        <s v="PRETF43-TB01" u="1"/>
        <s v="PRETF43-TE01" u="1"/>
        <s v="PRETF43-TE01AA01" u="1"/>
        <s v="PRETF43-TR01" u="1"/>
        <s v="TANEE06-CB01" u="1"/>
        <s v="TANEE06-CB01TE01" u="1"/>
        <s v="TANEE06-EX01" u="1"/>
        <s v="TANEE06-EX01RD01" u="1"/>
        <s v="TANEE06-EX01RD01BG01" u="1"/>
        <s v="TANEE06-EX01RD01IC01" u="1"/>
        <s v="TANEE06-EX01SR01" u="1"/>
        <s v="TANEE06-EX01SR01BC01" u="1"/>
        <s v="TANEE06-EX01SR01ME01" u="1"/>
        <s v="TANEE06-EX01TE01" u="1"/>
        <s v="TANEE06-EX01TE01AA01" u="1"/>
        <s v="TANEE06-EX01TE02" u="1"/>
        <s v="TANEE06-EX01TE02AA01" u="1"/>
        <s v="TANEE06-EX02" u="1"/>
        <s v="TANEE06-EX02ME01" u="1"/>
        <s v="TANEE06-EX02RD01" u="1"/>
        <s v="TANEE06-EX02SR01" u="1"/>
        <s v="TANEE06-EX02SR01BC01" u="1"/>
        <s v="TANEE06-EX02SR01BC02" u="1"/>
        <s v="TANEE06-EX02SR01IC01" u="1"/>
        <s v="TANEE06-EX02SR01IC02" u="1"/>
        <s v="TANEE06-EX02SR01IC03" u="1"/>
        <s v="TANEE06-EX02SR01IC04" u="1"/>
        <s v="TANEE06-EX02SR01ME01" u="1"/>
        <s v="TANEE06-EX02SR01ME02" u="1"/>
        <s v="TANEE06-EX02SR01TE01" u="1"/>
        <s v="TANEE06-EX02TE01" u="1"/>
        <s v="TANEE06-EX02TE01AA01" u="1"/>
        <s v="TANEE06-MX02" u="1"/>
        <s v="TANEE06-MX02BW01" u="1"/>
        <s v="TANEE06-MX02ME01" u="1"/>
        <s v="TANEE06-MX02RD01" u="1"/>
        <s v="TANEE06-MX02TE01" u="1"/>
        <s v="TANEE06-MX02TE02" u="1"/>
        <s v="TANEE06-RE01" u="1"/>
        <s v="TANEE06-RE01ME01" u="1"/>
        <s v="TANEE06-RE01ME02" u="1"/>
        <s v="TANEE06-RE01RD01" u="1"/>
        <s v="TANEE06-RE01RD02" u="1"/>
        <s v="TANEE06-RE01TE01" u="1"/>
        <s v="TANEE06-RE01TE01AA01" u="1"/>
        <s v="TANEE06-RE01TE02" u="1"/>
        <s v="TANEE06-RE02" u="1"/>
        <s v="TANEE06-RE02ME01" u="1"/>
        <s v="TANEE06-RE02ME02" u="1"/>
        <s v="TANEE06-RE02RD01" u="1"/>
        <s v="TANEE06-RE02RD02" u="1"/>
        <s v="TANEE06-RE02TE01" u="1"/>
        <s v="TANEE06-RE02TE01AA01" u="1"/>
        <s v="TANEE06-RE02TE02" u="1"/>
        <s v="TANEE06-RH01" u="1"/>
        <s v="TANEE06-RH01ME01" u="1"/>
        <s v="TANEE06-RH01RD01" u="1"/>
        <s v="TANEE06-RH01TE01" u="1"/>
        <s v="TANEE06-RH01TE02" u="1"/>
        <s v="TANEE06-RH01TE02AA01" u="1"/>
        <s v="TANEE06-SA01" u="1"/>
        <s v="TANEE06-SA01TE01" u="1"/>
        <s v="TANEE06-SA01TV01" u="1"/>
        <s v="TANEE06-SA01TV01ME01" u="1"/>
        <s v="TANEE06-SA01TV01TE01" u="1"/>
        <s v="TANEE06-SA01TV01TV01" u="1"/>
        <s v="TANEE06-SA01TV02" u="1"/>
        <s v="TANEE06-SA01TV02ME01" u="1"/>
        <s v="TANEE06-SA01TV02TE01" u="1"/>
        <s v="TANEE06-SA01TV03" u="1"/>
        <s v="TANEE06-SA01TV03ME01" u="1"/>
        <s v="TANEE06-SA01TV03TE01" u="1"/>
        <s v="TANEE06-SA01TV04" u="1"/>
        <s v="TANEE06-SA01TV04ME01" u="1"/>
        <s v="TANEE06-SA01TV04RD01" u="1"/>
        <s v="TANEE06-SA01TV04TE01" u="1"/>
        <s v="TANEE06-SA01TV05" u="1"/>
        <s v="TANEE06-SA01TV05ME01" u="1"/>
        <s v="TANEE06-SA01TV05RD01" u="1"/>
        <s v="TANEE06-SA01TV05RD02" u="1"/>
        <s v="TANEE06-SG01" u="1"/>
        <s v="TANEE06-SG01BP01" u="1"/>
        <s v="TANEE06-SG01BP01RD01" u="1"/>
        <s v="TANEE06-SG01BP02" u="1"/>
        <s v="TANEE06-SG01BP02RD01" u="1"/>
        <s v="TANEE06-SG01ME01" u="1"/>
        <s v="TANEE06-SG01TE01" u="1"/>
        <s v="TANEE06-ST01" u="1"/>
        <s v="TANEE06-ST01BW01" u="1"/>
        <s v="TANEE06-ST01BW01ME01" u="1"/>
        <s v="TANEE06-ST01BW02" u="1"/>
        <s v="TANEE06-ST01BW02ME01" u="1"/>
        <s v="TANEE06-ST01RC01" u="1"/>
        <s v="TANEE06-ST01RC02" u="1"/>
        <s v="TANEE06-ST01RC03" u="1"/>
        <s v="TANEE06-ST01RC04" u="1"/>
        <s v="TANEE06-ST01TE01" u="1"/>
        <s v="TANEE06-TE01" u="1"/>
        <s v="TANEE06-TE01AA01" u="1"/>
        <s v="TANEE06-UT01" u="1"/>
        <s v="TANEE06-UT01BP01" u="1"/>
        <s v="TANEE06-UT01BP02" u="1"/>
        <s v="TANEE06-UT01IC01" u="1"/>
        <s v="TANEE06-UT01IC02" u="1"/>
        <s v="TANEE06-UT01ME01" u="1"/>
        <s v="TANEE06-UT01ME02" u="1"/>
        <s v="TANEE06-UT01TE01" u="1"/>
        <s v="TANEE06-MX002" u="1"/>
        <s v="TANEE06-MX002BW01" u="1"/>
        <s v="TANEE06-MX002ME01" u="1"/>
        <s v="TANEE06-MX002RD01" u="1"/>
        <s v="TANEE06-MX002TE01" u="1"/>
        <s v="TANEE06-MX002TE02" u="1"/>
        <s v="PRETF35-BS01" u="1"/>
        <s v="PRETF35-DE01" u="1"/>
        <s v="PRETF35-DE01ME01" u="1"/>
        <s v="PRETF35-DE01RD01" u="1"/>
        <s v="PRETF35-DE01TE01" u="1"/>
        <s v="PRETF35-EB01" u="1"/>
        <s v="PRETF35-EB01ME01" u="1"/>
        <s v="PRETF35-EF01" u="1"/>
        <s v="PRETF35-HF01" u="1"/>
        <s v="PRETF35-RH01" u="1"/>
        <s v="PRETF35-RH01HF01" u="1"/>
        <s v="PRETF35-RH01ME01" u="1"/>
        <s v="PRETF35-RH02" u="1"/>
        <s v="PRETF35-RH02ME01" u="1"/>
        <s v="PRETF35-SN01" u="1"/>
        <s v="PRETF35-SR01" u="1"/>
        <s v="PRETF35-TB01" u="1"/>
        <s v="PRETF35-TE01" u="1"/>
        <s v="PRETF35-TE02" u="1"/>
        <s v="CEXEL01-BM01" u="1"/>
        <s v="CEXEL01-BM01ME01" u="1"/>
        <s v="CEXEL01-BM01RD01" u="1"/>
        <s v="CEXEL01-BM01TE01" u="1"/>
        <s v="CEXEL01-CB02" u="1"/>
        <s v="CEXEL01-CB02BH01" u="1"/>
        <s v="CEXEL01-CB02TE01" u="1"/>
        <s v="CEXEL01-CB02TE02" u="1"/>
        <s v="CEXEL01-EX01" u="1"/>
        <s v="CEXEL01-EX01BG01" u="1"/>
        <s v="CEXEL01-EX01BG01ME01" u="1"/>
        <s v="CEXEL01-EX01BV01" u="1"/>
        <s v="CEXEL01-EX01BV01ME01" u="1"/>
        <s v="CEXEL01-EX01CB01" u="1"/>
        <s v="CEXEL01-EX01ME01" u="1"/>
        <s v="CEXEL01-EX01ME02" u="1"/>
        <s v="CEXEL01-EX01RD01" u="1"/>
        <s v="CEXEL01-EX01RD01BG01" u="1"/>
        <s v="CEXEL01-EX01TE01" u="1"/>
        <s v="CEXEL01-EX02" u="1"/>
        <s v="CEXEL01-EX02BG01" u="1"/>
        <s v="CEXEL01-EX02BG01ME01" u="1"/>
        <s v="CEXEL01-EX02BV01" u="1"/>
        <s v="CEXEL01-EX02BV01ME01" u="1"/>
        <s v="CEXEL01-EX02ME01" u="1"/>
        <s v="CEXEL01-EX02RD01" u="1"/>
        <s v="CEXEL01-EX02RD01BA01" u="1"/>
        <s v="CEXEL01-EX02RD01ME01" u="1"/>
        <s v="CEXEL01-EX02TE01" u="1"/>
        <s v="CEXEL01-EX03" u="1"/>
        <s v="CEXEL01-EX03BG01" u="1"/>
        <s v="CEXEL01-EX03BG01ME01" u="1"/>
        <s v="CEXEL01-EX03BV01" u="1"/>
        <s v="CEXEL01-EX03BV01ME01" u="1"/>
        <s v="CEXEL01-EX03ME01" u="1"/>
        <s v="CEXEL01-EX03RD01" u="1"/>
        <s v="CEXEL01-EX03RD01BA01" u="1"/>
        <s v="CEXEL01-EX03RD01ME01" u="1"/>
        <s v="CEXEL01-EX03TE01" u="1"/>
        <s v="CEXEL01-EX04" u="1"/>
        <s v="CEXEL01-EX04ME01" u="1"/>
        <s v="CEXEL01-EX04ME03" u="1"/>
        <s v="CEXEL01-EX04RD01" u="1"/>
        <s v="CEXEL01-EX04TE01" u="1"/>
        <s v="CEXEL01-GL01" u="1"/>
        <s v="CEXEL01-GL01RD01" u="1"/>
        <s v="CEXEL01-ML01" u="1"/>
        <s v="CEXEL01-ML01ME01" u="1"/>
        <s v="CEXEL01-ML02" u="1"/>
        <s v="CEXEL01-RE01" u="1"/>
        <s v="CEXEL01-RE01ME01" u="1"/>
        <s v="CEXEL01-RE01ME01RD01" u="1"/>
        <s v="CEXEL01-RE01ME02" u="1"/>
        <s v="CEXEL01-RE01ME02RD02" u="1"/>
        <s v="CEXEL01-RH01" u="1"/>
        <s v="CEXEL01-RH01ME01" u="1"/>
        <s v="CEXEL01-RH01RD01" u="1"/>
        <s v="CEXEL01-RL01" u="1"/>
        <s v="CEXEL01-RL01ME01" u="1"/>
        <s v="CEXEL01-RL01RD01" u="1"/>
        <s v="CEXEL01-RL01RD02" u="1"/>
        <s v="CEXEL01-RL01SH01" u="1"/>
        <s v="CEXEL01-RL01SH01BH01" u="1"/>
        <s v="CEXEL01-RL01SH01ME01" u="1"/>
        <s v="CEXEL01-RL01SR01" u="1"/>
        <s v="CEXEL01-RL01SR01CH01" u="1"/>
        <s v="CEXEL01-RL01SR01CH02" u="1"/>
        <s v="CEXEL01-SA01ME01" u="1"/>
        <s v="CEXEL01-SA02" u="1"/>
        <s v="CEXEL01-SA02ME01" u="1"/>
        <s v="CEXEL01-SA02ME03" u="1"/>
        <s v="CEXEL01-SA02SA01" u="1"/>
        <s v="CEXEL01-SA02SA01ME01" u="1"/>
        <s v="CEXEL01-SA03" u="1"/>
        <s v="CEXEL01-SA03ME01" u="1"/>
        <s v="CEXEL01-SA03SA01" u="1"/>
        <s v="CEXEL01-SA03SA01ME01" u="1"/>
        <s v="CEXEL01-SA03SA02" u="1"/>
        <s v="CEXEL01-SA03SA02ME01" u="1"/>
        <s v="CEXEL01-SH01" u="1"/>
        <s v="CEXEL01-SH01BH01" u="1"/>
        <s v="CEXEL01-SH01ME01" u="1"/>
        <s v="CEXEL01-SM01" u="1"/>
        <s v="CEXEL01-SM01ME01" u="1"/>
        <s v="CEXEL01-SM01ME02" u="1"/>
        <s v="CEXEL01-SM01ME03" u="1"/>
        <s v="CEXEL01-SM01ME04" u="1"/>
        <s v="CEXEL01-TB01" u="1"/>
        <s v="CEXEL01-TE01" u="1"/>
        <s v="PRETF24-BS01" u="1"/>
        <s v="PRETF24-DE01" u="1"/>
        <s v="PRETF24-DE01ME01" u="1"/>
        <s v="PRETF24-DE01RD01" u="1"/>
        <s v="PRETF24-DE01TE01" u="1"/>
        <s v="PRETF24-EB01" u="1"/>
        <s v="PRETF24-EB01ME01" u="1"/>
        <s v="PRETF24-EF01" u="1"/>
        <s v="PRETF24-HF01" u="1"/>
        <s v="PRETF24-RH01" u="1"/>
        <s v="PRETF24-RH01HF01" u="1"/>
        <s v="PRETF24-RH01ME01" u="1"/>
        <s v="PRETF24-RH02" u="1"/>
        <s v="PRETF24-RH02ME01" u="1"/>
        <s v="PRETF24-SN01" u="1"/>
        <s v="PRETF24-SR01" u="1"/>
        <s v="PRETF24-TB01" u="1"/>
        <s v="PRETF24-TE01" u="1"/>
        <s v="PRETF24-TE02" u="1"/>
        <s v="RIGTF17-FM01ME01" u="1"/>
        <s v="RIGTF17-FM01ME02" u="1"/>
        <s v="RIGTF17-FM01ME03" u="1"/>
        <s v="RIGTF17-TQ01ME02" u="1"/>
        <s v="RIGTF17-TQ01ME03" u="1"/>
        <s v="RIGTF17-DE01ME01" u="1"/>
        <s v="RIGTF17-FM01BV01ME01" u="1"/>
        <s v="RIGTF17-FM01SR01ME01" u="1"/>
        <s v="RIGTF17-FM01SR01ME02" u="1"/>
        <s v="RIGTF17-ML01ME01" u="1"/>
        <s v="RIGTF17-ML01ME02" u="1"/>
        <s v="RIGTF17-TQ01ME01" u="1"/>
        <s v="RIGTF17-FM01SR01TE01" u="1"/>
        <s v="RIGTF17-FM01SR01TE02" u="1"/>
        <s v="RIGTF17-FM01TE01" u="1"/>
        <s v="RIGTF17-FM01TE02" u="1"/>
        <s v="RIGTF17-FM01TE03" u="1"/>
        <s v="RIGTF17-TE01" u="1"/>
        <s v="RIGTF17-TE02" u="1"/>
        <s v="RIGTF17-TQ01TE01" u="1"/>
        <s v="RIGTF17-TQ01TE02" u="1"/>
        <s v="RIGTF17-FM01SR01" u="1"/>
        <s v="RIGTF17-TB01" u="1"/>
        <s v="RIGTF17-TE01AA01" u="1"/>
        <s v="RIGTF17-TE02AA01" u="1"/>
        <s v="RIGTF17-HF01" u="1"/>
        <s v="RIGTF17-FM01" u="1"/>
        <s v="RIGTF17-TQ01" u="1"/>
        <s v="RIGTF17-DE01" u="1"/>
        <s v="RIGTF17-FM01BV01" u="1"/>
        <s v="RIGTF17-FM01SR01BG01" u="1"/>
        <s v="RIGTF17-FM01SR01BG02" u="1"/>
        <s v="RIGTF17-ML01RD01" u="1"/>
        <s v="RIGTF17-TQ01RD03" u="1"/>
        <s v="RIGTF17-ML01" u="1"/>
        <s v="RIGTF17-FM01RD01" u="1"/>
        <s v="RIGTF17-FM01RD02" u="1"/>
        <s v="RIGTF17-DE01RD01" u="1"/>
        <s v="RIGTF17-TQ01RD01" u="1"/>
        <s v="RIGTF20-DE01" u="1"/>
        <s v="RIGTF20-DE01ME01" u="1"/>
        <s v="RIGTF20-DE01RD01" u="1"/>
        <s v="RIGTF20-FM01" u="1"/>
        <s v="RIGTF20-FM01ME01" u="1"/>
        <s v="RIGTF20-FM01RD01" u="1"/>
        <s v="RIGTF20-HF01" u="1"/>
        <s v="RIGTF20-HF01ME01" u="1"/>
        <s v="RIGTF20-HF01RD01" u="1"/>
        <s v="RIGTF20-HF01TP01" u="1"/>
        <s v="RIGTF20-ML01TP01" u="1"/>
        <s v="ESPTF12-DE01ME01" u="1"/>
        <s v="ESPTF12-DE01RD01" u="1"/>
        <s v="ESPTF12-FM01" u="1"/>
        <s v="ESPTF12-FM01BV01" u="1"/>
        <s v="ESPTF12-FM01BV01ME01" u="1"/>
        <s v="ESPTF12-FM01ME01" u="1"/>
        <s v="ESPTF12-FM01ME02" u="1"/>
        <s v="ESPTF12-FM01RD01" u="1"/>
        <s v="ESPTF12-FM01RD02" u="1"/>
        <s v="ESPTF12-FM01SR01" u="1"/>
        <s v="ESPTF12-FM01SR01BC01" u="1"/>
        <s v="ESPTF12-FM01SR01BC02" u="1"/>
        <s v="ESPTF12-FM01SR01ME01" u="1"/>
        <s v="ESPTF12-FM01SR01ME02" u="1"/>
        <s v="ESPTF12-FM01SR01TE01" u="1"/>
        <s v="ESPTF12-FM01SR01TE02" u="1"/>
        <s v="ESPTF12-HF01" u="1"/>
        <s v="ESPTF12-HF01ME01" u="1"/>
        <s v="ESPTF12-HF01TE01" u="1"/>
        <s v="ESPTF12-HF01TE02" u="1"/>
        <s v="ESPTF12-HF01TE03" u="1"/>
        <s v="ESPTF12-ML01" u="1"/>
        <s v="ESPTF12-ML01ME01" u="1"/>
        <s v="ESPTF12-ML01ME02" u="1"/>
        <s v="ESPTF12-ML01RD01" u="1"/>
        <s v="ESPTF12-SP02" u="1"/>
        <s v="ESPTF12-SP02ME01" u="1"/>
        <s v="ESPTF12-SP02ME02" u="1"/>
        <s v="ESPTF12-SP02ME03" u="1"/>
        <s v="ESPTF12-SP02RD01" u="1"/>
        <s v="ESPTF12-SP02RD02" u="1"/>
        <s v="ESPTF12-SP02RD03" u="1"/>
        <s v="ESPTF12-SP02TE01" u="1"/>
        <s v="ESPTF12-SP02TE02" u="1"/>
        <s v="ESPTF12-TB01" u="1"/>
        <s v="ESPTF12-TE01" u="1"/>
        <s v="ESPTF12-TE01AA01" u="1"/>
        <s v="ESPTF12-TE02" u="1"/>
        <s v="ESPTF12-TE02AA01" u="1"/>
        <s v="ESPTF12-TQ01" u="1"/>
        <s v="ESPTF12-TQ01ME01" u="1"/>
        <s v="ESPTF12-TQ01ME02" u="1"/>
        <s v="ESPTF12-TQ01ME03" u="1"/>
        <s v="ESPTF12-TQ01RD01" u="1"/>
        <s v="ESPTF12-TQ01RD02" u="1"/>
        <s v="ESPTF12-TQ01TE01" u="1"/>
        <s v="ESPTF12-TQ01TE02" u="1"/>
        <s v="ESPTF12-TQ01TE03" u="1"/>
        <s v="PRETF40-AP01" u="1"/>
        <s v="PRETF40-AP01TE01" u="1"/>
        <s v="PRETF40-DE01" u="1"/>
        <s v="PRETF40-DE01ME01" u="1"/>
        <s v="PRETF40-EB01" u="1"/>
        <s v="PRETF40-EB01MN01" u="1"/>
        <s v="PRETF40-EB01RD01" u="1"/>
        <s v="PRETF40-EF01" u="1"/>
        <s v="PRETF40-EF01ME01" u="1"/>
        <s v="PRETF40-EF01ME02" u="1"/>
        <s v="PRETF40-EF01ME03" u="1"/>
        <s v="PRETF40-EF01RD01" u="1"/>
        <s v="PRETF40-EF01TE01" u="1"/>
        <s v="PRETF40-EF01TE02" u="1"/>
        <s v="PRETF40-HE01" u="1"/>
        <s v="PRETF40-HE01ME01" u="1"/>
        <s v="PRETF40-HE01RD01" u="1"/>
        <s v="PRETF40-HE01TE01" u="1"/>
        <s v="PRETF40-HE01TE01AA01" u="1"/>
        <s v="PRETF40-HE01TE02" u="1"/>
        <s v="PRETF40-HE02" u="1"/>
        <s v="PRETF40-HE02TE01" u="1"/>
        <s v="PRETF40-SN01" u="1"/>
        <s v="PRETF40-SR01" u="1"/>
        <s v="PRETF40-TB01" u="1"/>
        <s v="PRETF40-TE01" u="1"/>
        <s v="PRETF40-TE01AA01" u="1"/>
        <s v="PRETF40-TR01" u="1"/>
        <s v="IMPID08-IM01BV01" u="1"/>
        <s v="IMPID08-IM01BV01ME01" u="1"/>
        <s v="IMPID08-IM01CV01" u="1"/>
        <s v="IMPID08-IM01CV01RD01" u="1"/>
        <s v="IMPID08-IM01FR01" u="1"/>
        <s v="IMPID08-IM01FR01ME01" u="1"/>
        <s v="IMPID08-IM01ME01" u="1"/>
        <s v="IMPID08-IM01RD01" u="1"/>
        <s v="IMPID08-IM01TE01" u="1"/>
        <s v="IMPID08-IM01UV01" u="1"/>
        <s v="IMPID08-IM01UV01LP01" u="1"/>
        <s v="IMPID08-IM01UV01TE01" u="1"/>
        <s v="IMPID08-IM01UV02" u="1"/>
        <s v="IMPID08-IM01UV02LP01" u="1"/>
        <s v="IMPID08-IM01UV02TE01" u="1"/>
        <s v="IMPID08-IM01UV03" u="1"/>
        <s v="IMPID08-IM01UV03LP01" u="1"/>
        <s v="IMPID08-IM01UV03TE01" u="1"/>
        <s v="IMPID08-IM01UV04" u="1"/>
        <s v="IMPID08-IM01UV04LP01" u="1"/>
        <s v="IMPID08-IM01UV04TE01" u="1"/>
        <s v="IMPID08-IM01UV05" u="1"/>
        <s v="IMPID08-IM01UV05LP01" u="1"/>
        <s v="IMPID08-IM01UV05TE01" u="1"/>
        <s v="IMPID08-IM01UV06" u="1"/>
        <s v="IMPID08-IM01UV06LP01" u="1"/>
        <s v="IMPID08-IM01UV06TE01" u="1"/>
        <s v="PRETF31-AP01" u="1"/>
        <s v="PRETF31-DE01" u="1"/>
        <s v="PRETF31-EB01" u="1"/>
        <s v="PRETF31-EB01MN01" u="1"/>
        <s v="PRETF31-EF01" u="1"/>
        <s v="PRETF31-EF01ME01" u="1"/>
        <s v="PRETF31-EF01ME02" u="1"/>
        <s v="PRETF31-EF01ME02RD01" u="1"/>
        <s v="PRETF31-HF01" u="1"/>
        <s v="PRETF31-SN01" u="1"/>
        <s v="PRETF31-TE01" u="1"/>
        <s v="PRETF31-TR01" u="1"/>
        <s v="ESPTF15-DE01" u="1"/>
        <s v="ESPTF15-DE01ME01" u="1"/>
        <s v="ESPTF15-DE01ME02" u="1"/>
        <s v="ESPTF15-DE01MN01" u="1"/>
        <s v="ESPTF15-DE01RD01" u="1"/>
        <s v="ESPTF15-DE01RD02" u="1"/>
        <s v="ESPTF15-FM01" u="1"/>
        <s v="ESPTF15-FM01BV01" u="1"/>
        <s v="ESPTF15-FM01BV01ME01" u="1"/>
        <s v="ESPTF15-FM01BV02" u="1"/>
        <s v="ESPTF15-FM01BV02ME01" u="1"/>
        <s v="ESPTF15-FM01ME01" u="1"/>
        <s v="ESPTF15-FM01ME02" u="1"/>
        <s v="ESPTF15-FM01RD01" u="1"/>
        <s v="ESPTF15-FM01RD02" u="1"/>
        <s v="ESPTF15-FM01SR01" u="1"/>
        <s v="ESPTF15-FM01SR01BG01" u="1"/>
        <s v="ESPTF15-FM01SR01BG02" u="1"/>
        <s v="ESPTF15-FM01SR01BG03" u="1"/>
        <s v="ESPTF15-FM01SR01ME01" u="1"/>
        <s v="ESPTF15-FM01SR01ME02" u="1"/>
        <s v="ESPTF15-FM01SR01ME03" u="1"/>
        <s v="ESPTF15-FM01SR01TE01" u="1"/>
        <s v="ESPTF15-FM01SR01TE02" u="1"/>
        <s v="ESPTF15-HF01" u="1"/>
        <s v="ESPTF15-HF01ME01" u="1"/>
        <s v="ESPTF15-ML01" u="1"/>
        <s v="ESPTF15-ML01ME01" u="1"/>
        <s v="ESPTF15-ML01ME02" u="1"/>
        <s v="ESPTF15-ML01RD01" u="1"/>
        <s v="ESPTF15-SP01" u="1"/>
        <s v="ESPTF15-SP01BT01" u="1"/>
        <s v="ESPTF15-SP01BT01ME01" u="1"/>
        <s v="ESPTF15-SP01BT01RD01" u="1"/>
        <s v="ESPTF15-SP01BT02" u="1"/>
        <s v="ESPTF15-SP01BT02ME02" u="1"/>
        <s v="ESPTF15-SP01BT02RD01" u="1"/>
        <s v="ESPTF15-SP01BT03" u="1"/>
        <s v="ESPTF15-SP01BT03ME01" u="1"/>
        <s v="ESPTF15-SP01BT03RD01" u="1"/>
        <s v="ESPTF15-SP01BT04ME01" u="1"/>
        <s v="ESPTF15-SP01BT04RD01" u="1"/>
        <s v="ESPTF15-SP01BT05ME02" u="1"/>
        <s v="ESPTF15-SP01BT05RD01" u="1"/>
        <s v="ESPTF15-SP01BT06" u="1"/>
        <s v="ESPTF15-SP01BT06ME01" u="1"/>
        <s v="ESPTF15-SP01BT06ME02" u="1"/>
        <s v="ESPTF15-SP01BT07" u="1"/>
        <s v="ESPTF15-SP01BT07ME01" u="1"/>
        <s v="ESPTF15-SP01BT07RD01" u="1"/>
        <s v="ESPTF15-SP01DE01" u="1"/>
        <s v="ESPTF15-SP01DE01ME01" u="1"/>
        <s v="ESPTF15-SP01DE01RD01" u="1"/>
        <s v="ESPTF15-SP01ME01" u="1"/>
        <s v="ESPTF15-SP01ME02" u="1"/>
        <s v="ESPTF15-SP01ME03" u="1"/>
        <s v="ESPTF15-SP01ME04" u="1"/>
        <s v="ESPTF15-SP01RD01" u="1"/>
        <s v="ESPTF15-SP01RD02" u="1"/>
        <s v="ESPTF15-SP01TE01" u="1"/>
        <s v="ESPTF15-SP01TE01AA01" u="1"/>
        <s v="ESPTF15-SP01TE02" u="1"/>
        <s v="ESPTF15-SR01" u="1"/>
        <s v="ESPTF15-TB01" u="1"/>
        <s v="ESPTF15-TE01" u="1"/>
        <s v="ESPTF15-TE01AA01" u="1"/>
        <s v="ESPTF15-TE02" u="1"/>
        <s v="ESPTF15-TQ01" u="1"/>
        <s v="ESPTF15-TQ01BT01" u="1"/>
        <s v="ESPTF15-TQ01BT01ME01" u="1"/>
        <s v="ESPTF15-TQ01BT01ME02" u="1"/>
        <s v="ESPTF15-TQ01ME01" u="1"/>
        <s v="ESPTF15-TQ01ME02" u="1"/>
        <s v="ESPTF15-TQ01ME03" u="1"/>
        <s v="ESPTF15-TQ01ME04" u="1"/>
        <s v="ESPTF15-TQ01RD01" u="1"/>
        <s v="ESPTF15-TQ01RD02" u="1"/>
        <s v="ESPTF15-TQ01RD03" u="1"/>
        <s v="ESPTF15-TQ01TE01" u="1"/>
        <s v="ESPTF15-TQ01TE02" u="1"/>
        <s v="EXPEP01-CZ01" u="1"/>
        <s v="EXPEP01-CZ01BW01" u="1"/>
        <s v="EXPEP01-CZ01BW01ME02" u="1"/>
        <s v="EXPEP01-CZ01DM01" u="1"/>
        <s v="EXPEP01-CZ01DM01ME01" u="1"/>
        <s v="EXPEP01-CZ01DM01RD01" u="1"/>
        <s v="EXPEP01-CZ01DM01TE01" u="1"/>
        <s v="EXPEP01-CZ01DM01TE02" u="1"/>
        <s v="EXPEP01-CZ01ME01" u="1"/>
        <s v="EXPEP01-CZ01ME01RD02" u="1"/>
        <s v="EXPEP01-CZ01QG01" u="1"/>
        <s v="EXPEP01-CZ01QG01ME01" u="1"/>
        <s v="EXPEP01-CZ01QG01TE01" u="1"/>
        <s v="EXPEP01-CZ01SA01" u="1"/>
        <s v="EXPEP01-CZ01SA01ME01" u="1"/>
        <s v="EXPEP01-CZ01SA01ME02" u="1"/>
        <s v="EXPEP01-CZ01SA01RD01" u="1"/>
        <s v="EXPEP01-CZ01SA01RD02" u="1"/>
        <s v="EXPEP01-CZ01SA01VE01" u="1"/>
        <s v="EXPEP01-CZ01TE01" u="1"/>
        <s v="EXPEP01-CZ01TE02" u="1"/>
        <s v="EXPEP01-EX01" u="1"/>
        <s v="EXPEP01-EX01BM01" u="1"/>
        <s v="EXPEP01-EX01BM01ME01" u="1"/>
        <s v="EXPEP01-EX01BM01RD01" u="1"/>
        <s v="EXPEP01-EX01BW01" u="1"/>
        <s v="EXPEP01-EX01BW02" u="1"/>
        <s v="EXPEP01-EX01BW03" u="1"/>
        <s v="EXPEP01-EX01BW04" u="1"/>
        <s v="EXPEP01-EX01CB01" u="1"/>
        <s v="EXPEP01-EX01CB01TE01" u="1"/>
        <s v="EXPEP01-EX01CB01TE02" u="1"/>
        <s v="EXPEP01-EX01CB02" u="1"/>
        <s v="EXPEP01-EX01CB02BH01" u="1"/>
        <s v="EXPEP01-EX01CB02TE01" u="1"/>
        <s v="EXPEP01-EX01CB02TE02" u="1"/>
        <s v="EXPEP01-EX01ME01" u="1"/>
        <s v="EXPEP01-EX01ME01ME01" u="1"/>
        <s v="EXPEP01-EX01ME01ME02" u="1"/>
        <s v="EXPEP01-EX01RD01" u="1"/>
        <s v="EXPEP01-EX01RD01IC01" u="1"/>
        <s v="EXPEP01-EX01SR01" u="1"/>
        <s v="EXPEP01-EX01SR01BG01" u="1"/>
        <s v="EXPEP01-EX01SR01IC01" u="1"/>
        <s v="EXPEP01-EX01SR01IC02" u="1"/>
        <s v="EXPEP01-EX01SR01IC03" u="1"/>
        <s v="EXPEP01-EX01SR01ME01" u="1"/>
        <s v="EXPEP01-EX01TE01" u="1"/>
        <s v="EXPEP01-EX01TE01AA01" u="1"/>
        <s v="EXPEP01-EX01TE02" u="1"/>
        <s v="EXPEP01-EX01TE02AA01" u="1"/>
        <s v="EXPEP01-EX01TE02AA02" u="1"/>
        <s v="EXPEP01-EX02" u="1"/>
        <s v="EXPEP01-EX02BG01" u="1"/>
        <s v="EXPEP01-EX02BG01ME01" u="1"/>
        <s v="EXPEP01-EX02BM01" u="1"/>
        <s v="EXPEP01-EX02BM01ME01" u="1"/>
        <s v="EXPEP01-EX02BM01RD01" u="1"/>
        <s v="EXPEP01-EX02CB01" u="1"/>
        <s v="EXPEP01-EX02CB01TE01" u="1"/>
        <s v="EXPEP01-EX02IC01" u="1"/>
        <s v="EXPEP01-EX02ME01" u="1"/>
        <s v="EXPEP01-EX02RD01" u="1"/>
        <s v="EXPEP01-EX02TE01" u="1"/>
        <s v="EXPEP01-EX02TE01AA01" u="1"/>
        <s v="EXPEP01-EX02TE01AA02" u="1"/>
        <s v="EXPEP01-MX01" u="1"/>
        <s v="EXPEP01-RE01" u="1"/>
        <s v="EXPEP01-RE01RD01" u="1"/>
        <s v="EXPEP01-RE01RD01ME01" u="1"/>
        <s v="EXPEP01-RE01RD02" u="1"/>
        <s v="EXPEP01-RE01RD03" u="1"/>
        <s v="EXPEP01-RE01RD03ME03" u="1"/>
        <s v="EXPEP01-RE01RD03TE01" u="1"/>
        <s v="EXPEP01-RE01RD03TE02" u="1"/>
        <s v="EXPEP01-RE01RH01" u="1"/>
        <s v="EXPEP01-RE01RH01ME02" u="1"/>
        <s v="EXPEP01-RE01RH01RD02" u="1"/>
        <s v="EXPEP01-RE01TE01" u="1"/>
        <s v="EXPEP01-RH01" u="1"/>
        <s v="EXPEP01-RH01ME01" u="1"/>
        <s v="EXPEP01-RH01RD01" u="1"/>
        <s v="EXPEP01-RH01TE01" u="1"/>
        <s v="EXPEP01-RL01" u="1"/>
        <s v="EXPEP01-RL01ME01" u="1"/>
        <s v="EXPEP01-RL01ME02" u="1"/>
        <s v="EXPEP01-RL01ME03" u="1"/>
        <s v="EXPEP01-RL01ME04" u="1"/>
        <s v="EXPEP01-RL01RD01" u="1"/>
        <s v="EXPEP01-RL01RD02" u="1"/>
        <s v="EXPEP01-RL01RD03" u="1"/>
        <s v="EXPEP01-RL01RD04" u="1"/>
        <s v="EXPEP01-RL01SH01" u="1"/>
        <s v="EXPEP01-RL01SH01BH01" u="1"/>
        <s v="EXPEP01-RL01SH01ME01" u="1"/>
        <s v="EXPEP01-RL01SR01" u="1"/>
        <s v="EXPEP01-RL01SR01BG01" u="1"/>
        <s v="EXPEP01-RL01SR01ME01" u="1"/>
        <s v="EXPEP01-RL01TE01" u="1"/>
        <s v="EXPEP01-RL01TE01AA01" u="1"/>
        <s v="EXPEP01-RL01TE01AA02" u="1"/>
        <s v="EXPEP01-RL01TE02" u="1"/>
        <s v="EXPEP01-RL01TE03" u="1"/>
        <s v="EXPEP01-RL01TE04" u="1"/>
        <s v="EXPEP01-RL01TE05" u="1"/>
        <s v="EXPEP01-RL01TE06" u="1"/>
        <s v="EXPEP01-RL02" u="1"/>
        <s v="EXPEP01-RL02ME01" u="1"/>
        <s v="EXPEP01-RL02RD01" u="1"/>
        <s v="EXPEP01-RL02SR01" u="1"/>
        <s v="EXPEP01-RL02SR01BG01" u="1"/>
        <s v="EXPEP01-RL02SR01BG02" u="1"/>
        <s v="EXPEP01-RL02SR01ME01" u="1"/>
        <s v="EXPEP01-RL02SR01ME02" u="1"/>
        <s v="EXPEP01-RL02TE01" u="1"/>
        <s v="EXPEP01-RL02TE01AA01" u="1"/>
        <s v="EXPEP01-RS01" u="1"/>
        <s v="EXPEP01-RS01BG01" u="1"/>
        <s v="EXPEP01-RS01ME01" u="1"/>
        <s v="EXPEP01-RS01RD01" u="1"/>
        <s v="EXPEP01-RS01TE01" u="1"/>
        <s v="EXPEP01-SM01" u="1"/>
        <s v="EXPEP01-SM01DM01" u="1"/>
        <s v="EXPEP01-SM01DM01ME01" u="1"/>
        <s v="EXPEP01-SM01DM01RD01" u="1"/>
        <s v="EXPEP01-SM01DM01TE01" u="1"/>
        <s v="EXPEP01-SM01DM01TE02" u="1"/>
        <s v="EXPEP01-SM01ME01" u="1"/>
        <s v="EXPEP01-SM01QG01" u="1"/>
        <s v="EXPEP01-SM01QG01ME01" u="1"/>
        <s v="EXPEP01-SM01QG01ME02" u="1"/>
        <s v="EXPEP01-SM01QG01ME03" u="1"/>
        <s v="EXPEP01-SM01QG01TE01" u="1"/>
        <s v="EXPEP01-SM01QG02" u="1"/>
        <s v="EXPEP01-SM01QG02ME01" u="1"/>
        <s v="EXPEP01-SM01QG02WB01" u="1"/>
        <s v="EXPEP01-SM01SA01" u="1"/>
        <s v="EXPEP01-SM01SA01ME01" u="1"/>
        <s v="EXPEP01-SM01SA01RD01" u="1"/>
        <s v="EXPEP01-SM01TE01" u="1"/>
        <s v="EXPEP01-SM01TE02" u="1"/>
        <s v="EXPEP01-SM01TE03" u="1"/>
        <s v="EXPEP01-SM01TE05" u="1"/>
        <s v="EXPEP01-SM02" u="1"/>
        <s v="EXPEP01-SM02DM01" u="1"/>
        <s v="EXPEP01-SM02DM01ME01" u="1"/>
        <s v="EXPEP01-SM02DM01RD01" u="1"/>
        <s v="EXPEP01-SM02DM01TP01" u="1"/>
        <s v="EXPEP01-SM02ME02" u="1"/>
        <s v="EXPEP01-SM02QG01" u="1"/>
        <s v="EXPEP01-SM02QG01ME01" u="1"/>
        <s v="EXPEP01-SM02QG01TP01" u="1"/>
        <s v="EXPEP01-SM02TE01" u="1"/>
        <s v="EXPEP01-SM03" u="1"/>
        <s v="EXPEP01-SM03ME01" u="1"/>
        <s v="EXPEP01-SM03SA01" u="1"/>
        <s v="EXPEP01-SM03TE01" u="1"/>
        <s v="EXPEP01-SM03TE02" u="1"/>
        <s v="EXPEP01-SM04" u="1"/>
        <s v="EXPEP01-SM04ME01" u="1"/>
        <s v="EXPEP01-SM04SA01" u="1"/>
        <s v="EXPEP01-SM04TE01" u="1"/>
        <s v="EXPEP01-TB01" u="1"/>
        <s v="EXPEP01-TE01" u="1"/>
        <s v="RIGTF01-MX01" u="1"/>
        <s v="RIGTF01-SA01TE01" u="1"/>
        <s v="RIGTF01-SA01TE02" u="1"/>
        <s v="RIGTF01-SA01TR01" u="1"/>
        <s v="RIGTF01-SA01TR02" u="1"/>
        <s v="RIGTF01-SA01TR03" u="1"/>
        <s v="RIGTF01-SA01TR04" u="1"/>
        <s v="RIGTF01-SA01TR05" u="1"/>
        <s v="RIGTF01-SA01TR06" u="1"/>
        <s v="RIGTF01-SA01TR07" u="1"/>
        <s v="RIGTF01-SA01TR08" u="1"/>
        <s v="RIGTF01-SA01TR09" u="1"/>
        <s v="RIGTF01-SA01TR10" u="1"/>
        <s v="RIGTF01-TR01" u="1"/>
        <s v="RIGTF01-CB01" u="1"/>
        <s v="RIGTF01-CB01SH01" u="1"/>
        <s v="RIGTF01-CB01SH01BP01" u="1"/>
        <s v="RIGTF01-CB01SH01ME02" u="1"/>
        <s v="RIGTF01-CB01SH01TE01" u="1"/>
        <s v="RIGTF01-CB01TE01" u="1"/>
        <s v="RIGTF01-EX01" u="1"/>
        <s v="RIGTF01-EX01BP01" u="1"/>
        <s v="RIGTF01-EX01BP01ME01" u="1"/>
        <s v="RIGTF01-EX01BP01RD01" u="1"/>
        <s v="RIGTF01-EX01BP01TE01" u="1"/>
        <s v="RIGTF01-EX01BW01" u="1"/>
        <s v="RIGTF01-EX01BW01ME01" u="1"/>
        <s v="RIGTF01-EX01ME01" u="1"/>
        <s v="RIGTF01-EX01RD01" u="1"/>
        <s v="RIGTF01-EX01RD01IC01" u="1"/>
        <s v="RIGTF01-EX01SR01" u="1"/>
        <s v="RIGTF01-EX01SR01BC01" u="1"/>
        <s v="RIGTF01-EX01SR01IC01" u="1"/>
        <s v="RIGTF01-EX01SR01ME01" u="1"/>
        <s v="RIGTF01-EX01TE01" u="1"/>
        <s v="RIGTF01-EX01TE02" u="1"/>
        <s v="RIGTF01-EX01TE02AA01" u="1"/>
        <s v="RIGTF01-EX02" u="1"/>
        <s v="RIGTF01-EX02CB01" u="1"/>
        <s v="RIGTF01-EX02ME01" u="1"/>
        <s v="RIGTF01-EX02RD01" u="1"/>
        <s v="RIGTF01-EX02TE01" u="1"/>
        <s v="RIGTF01-EX02TE01AA01" u="1"/>
        <s v="RIGTF01-EX03" u="1"/>
        <s v="RIGTF01-EX03BP01" u="1"/>
        <s v="RIGTF01-EX03BP01ME01" u="1"/>
        <s v="RIGTF01-EX03BP01RD01" u="1"/>
        <s v="RIGTF01-EX03CB01" u="1"/>
        <s v="RIGTF01-EX03CB01TE01" u="1"/>
        <s v="RIGTF01-EX03ME01" u="1"/>
        <s v="RIGTF01-EX03RD01" u="1"/>
        <s v="RIGTF01-EX03RD01IC01" u="1"/>
        <s v="RIGTF01-EX03SR01" u="1"/>
        <s v="RIGTF01-EX03SR01BC01" u="1"/>
        <s v="RIGTF01-EX03SR01IC01" u="1"/>
        <s v="RIGTF01-EX03SR01ME01" u="1"/>
        <s v="RIGTF01-EX03TE01" u="1"/>
        <s v="RIGTF01-EX03TE01AA01" u="1"/>
        <s v="RIGTF01-EX04" u="1"/>
        <s v="RIGTF01-EX04BP01" u="1"/>
        <s v="RIGTF01-EX04BP01ME01" u="1"/>
        <s v="RIGTF01-EX04BP01RD01" u="1"/>
        <s v="RIGTF01-EX04CB01" u="1"/>
        <s v="RIGTF01-EX04CB01TE01" u="1"/>
        <s v="RIGTF01-EX04ME01" u="1"/>
        <s v="RIGTF01-EX04RD01" u="1"/>
        <s v="RIGTF01-EX04RD01IC01" u="1"/>
        <s v="RIGTF01-EX04SR01" u="1"/>
        <s v="RIGTF01-EX04SR01BC01" u="1"/>
        <s v="RIGTF01-EX04SR01IC01" u="1"/>
        <s v="RIGTF01-EX04TE01" u="1"/>
        <s v="RIGTF01-EX04TE01AA01" u="1"/>
        <s v="RIGTF01-EX04TE02AA01" u="1"/>
        <s v="RIGTF01-RH01" u="1"/>
        <s v="RIGTF01-RH01ME01" u="1"/>
        <s v="RIGTF01-RH01RD01" u="1"/>
        <s v="RIGTF01-RH01TE01" u="1"/>
        <s v="RIGTF01-RH01TE02" u="1"/>
        <s v="RIGTF01-RL01" u="1"/>
        <s v="RIGTF01-RL01ME01" u="1"/>
        <s v="RIGTF01-RL01ME02" u="1"/>
        <s v="RIGTF01-RL01ME03" u="1"/>
        <s v="RIGTF01-RL01ME04" u="1"/>
        <s v="RIGTF01-RL01RD01" u="1"/>
        <s v="RIGTF01-RL01RD02" u="1"/>
        <s v="RIGTF01-RL01RD03" u="1"/>
        <s v="RIGTF01-RL01RD04" u="1"/>
        <s v="RIGTF01-RL01RD05" u="1"/>
        <s v="RIGTF01-RL01SH01" u="1"/>
        <s v="RIGTF01-RL01SH01BH01" u="1"/>
        <s v="RIGTF01-RL01SH01IC01" u="1"/>
        <s v="RIGTF01-RL01SH01ME01" u="1"/>
        <s v="RIGTF01-RL01SH01TE01" u="1"/>
        <s v="RIGTF01-RL01SR01" u="1"/>
        <s v="RIGTF01-RL01SR01BG01" u="1"/>
        <s v="RIGTF01-RL01SR01BG02" u="1"/>
        <s v="RIGTF01-RL01SR01BG03" u="1"/>
        <s v="RIGTF01-RL01SR01IC01" u="1"/>
        <s v="RIGTF01-RL01SR01IC02" u="1"/>
        <s v="RIGTF01-RL01SR01IC03" u="1"/>
        <s v="RIGTF01-RL01SR01ME01" u="1"/>
        <s v="RIGTF01-RL01SR01ME02" u="1"/>
        <s v="RIGTF01-RL01SR01ME03" u="1"/>
        <s v="RIGTF01-RL01SR01TE01" u="1"/>
        <s v="RIGTF01-RL01TE01" u="1"/>
        <s v="RIGTF01-RL01TE01AA01" u="1"/>
        <s v="RIGTF01-SA01" u="1"/>
        <s v="RIGTF01-SA01EX01TE01" u="1"/>
        <s v="RIGTF01-SA01EX01TE02" u="1"/>
        <s v="RIGTF01-SA01EX01TV01" u="1"/>
        <s v="RIGTF01-SA01EX01TV02" u="1"/>
        <s v="RIGTF01-SA01ME01" u="1"/>
        <s v="RIGTF01-SA01RD01" u="1"/>
        <s v="RIGTF01-SA01VE01" u="1"/>
        <s v="RIGTF01-SA01VE01ME01" u="1"/>
        <s v="RIGTF01-SA01VE01RD01" u="1"/>
        <s v="RIGTF01-SA01VE01TE01" u="1"/>
        <s v="RIGTF01-SA01VE01TV01" u="1"/>
        <s v="RIGTF01-SA02" u="1"/>
        <s v="RIGTF01-SA02SM01" u="1"/>
        <s v="RIGTF01-SA02SM01ME01" u="1"/>
        <s v="RIGTF01-SA02SM01TE01" u="1"/>
        <s v="RIGTF01-SA02SM01TV01" u="1"/>
        <s v="RIGTF01-SA02TE01" u="1"/>
        <s v="RIGTF01-SA03" u="1"/>
        <s v="RIGTF01-SA03ME01" u="1"/>
        <s v="RIGTF01-SA04" u="1"/>
        <s v="PRETF39-AP01" u="1"/>
        <s v="PRETF39-AP01TE01" u="1"/>
        <s v="PRETF39-DE01" u="1"/>
        <s v="PRETF39-DE01ME01" u="1"/>
        <s v="PRETF39-EB01" u="1"/>
        <s v="PRETF39-EB01MN01" u="1"/>
        <s v="PRETF39-EB01RD01" u="1"/>
        <s v="PRETF39-EF01" u="1"/>
        <s v="PRETF39-EF01ME01" u="1"/>
        <s v="PRETF39-EF01ME02" u="1"/>
        <s v="PRETF39-EF01ME03" u="1"/>
        <s v="PRETF39-EF01RD01" u="1"/>
        <s v="PRETF39-EF01TE01" u="1"/>
        <s v="PRETF39-EF01TE02" u="1"/>
        <s v="PRETF39-HE01" u="1"/>
        <s v="PRETF39-HE01ME01" u="1"/>
        <s v="PRETF39-HE01RD01" u="1"/>
        <s v="PRETF39-HE01TE01" u="1"/>
        <s v="PRETF39-HE01TE01AA01" u="1"/>
        <s v="PRETF39-HE01TE02" u="1"/>
        <s v="PRETF39-HE02" u="1"/>
        <s v="PRETF39-HE02TE01" u="1"/>
        <s v="PRETF39-SN01" u="1"/>
        <s v="PRETF39-SR01" u="1"/>
        <s v="PRETF39-TB01" u="1"/>
        <s v="PRETF39-TE01" u="1"/>
        <s v="PRETF39-TE01AA01" u="1"/>
        <s v="PRETF39-TR01" u="1"/>
        <s v="CEXEL01-ML02ME01" u="1"/>
        <s v="RIGTF02-EX01ME01" u="1"/>
        <s v="RIGTF02-EX02ME01" u="1"/>
        <s v="RIGTF02-RH01ME01" u="1"/>
        <s v="RIGTF02-RL01ME01" u="1"/>
        <s v="RIGTF02-RL01ME02" u="1"/>
        <s v="RIGTF02-RL01ME03" u="1"/>
        <s v="RIGTF02-CB01SH01ME01" u="1"/>
        <s v="RIGTF02-EX01BW01ME01" u="1"/>
        <s v="RIGTF02-EX01SR01ME01" u="1"/>
        <s v="RIGTF02-EX02SR01ME01" u="1"/>
        <s v="RIGTF02-RL01ME04" u="1"/>
        <s v="RIGTF02-RL01SH01ME01" u="1"/>
        <s v="RIGTF02-SA01ME01" u="1"/>
        <s v="RIGTF02-SA01VE01ME01" u="1"/>
        <s v="RIGTF02-SA02SM01ME01" u="1"/>
        <s v="RIGTF02-CB01SH01TE01" u="1"/>
        <s v="RIGTF02-CB01TE01" u="1"/>
        <s v="RIGTF02-EX01BP01TE01" u="1"/>
        <s v="RIGTF02-EX01TE01" u="1"/>
        <s v="RIGTF02-EX01TE02" u="1"/>
        <s v="RIGTF02-EX02CB01TE01" u="1"/>
        <s v="RIGTF02-EX02TE01" u="1"/>
        <s v="RIGTF02-RH01TE01" u="1"/>
        <s v="RIGTF02-RH01TE02" u="1"/>
        <s v="RIGTF02-RL01SH01TE01" u="1"/>
        <s v="RIGTF02-RL01SR01TE01" u="1"/>
        <s v="RIGTF02-RL01TE01" u="1"/>
        <s v="RIGTF02-SA01EX01TE01" u="1"/>
        <s v="RIGTF02-SA01EX01TE02" u="1"/>
        <s v="RIGTF02-SA01TE01" u="1"/>
        <s v="RIGTF02-SA01TE02" u="1"/>
        <s v="RIGTF02-SA01VE01TE01" u="1"/>
        <s v="RIGTF02-SA02SM01TE02" u="1"/>
        <s v="RIGTF02-SA02TE01" u="1"/>
        <s v="RIGTF02-CB01SH01BP01" u="1"/>
        <s v="RIGTF02-EX01BW01" u="1"/>
        <s v="RIGTF02-RH01" u="1"/>
        <s v="RIGTF02-EX01" u="1"/>
        <s v="RIGTF02-EX02" u="1"/>
        <s v="RIGTF02-SA01EX01TV01" u="1"/>
        <s v="RIGTF02-SA01EX01TV02" u="1"/>
        <s v="RIGTF02-SA01VE01TV01" u="1"/>
        <s v="RIGTF02-SA02SM01TV03" u="1"/>
        <s v="RIGTF02-SA01VE01" u="1"/>
        <s v="RIGTF02-SA01TR01" u="1"/>
        <s v="RIGTF02-SA01TR02" u="1"/>
        <s v="RIGTF02-SA01TR03" u="1"/>
        <s v="RIGTF02-TR01" u="1"/>
        <s v="RIGTF02-EX01SR01" u="1"/>
        <s v="RIGTF02-EX02SR01" u="1"/>
        <s v="RIGTF02-RL01SR01" u="1"/>
        <s v="RIGTF02-RL01SR01CH01" u="1"/>
        <s v="RIGTF02-RL01SR01CH02" u="1"/>
        <s v="RIGTF02-EX01TE01AA01" u="1"/>
        <s v="RIGTF02-EX01TE02AA01" u="1"/>
        <s v="RIGTF02-EX01TE02AA02" u="1"/>
        <s v="RIGTF02-EX02TE01AA01" u="1"/>
        <s v="RIGTF02-RL01TE01AA01" u="1"/>
        <s v="RIGTF02-SA01" u="1"/>
        <s v="RIGTF02-SA02SM01" u="1"/>
        <s v="RIGTF02-RL01" u="1"/>
        <s v="RIGTF02-CB01CB01" u="1"/>
        <s v="RIGTF02-EX02CB01" u="1"/>
        <s v="RIGTF02-MX01" u="1"/>
        <s v="RIGTF02-EX01BP01" u="1"/>
        <s v="RIGTF02-EX01SR01BC01" u="1"/>
        <s v="RIGTF02-EX02SR01BP01" u="1"/>
        <s v="RIGTF02-RL01SH01BH01" u="1"/>
        <s v="RIGTF02-CB01SH01" u="1"/>
        <s v="RIGTF02-EX01RD01" u="1"/>
        <s v="RIGTF02-EX02RD01" u="1"/>
        <s v="RIGTF02-RH01RD01" u="1"/>
        <s v="RIGTF02-RL01RD01" u="1"/>
        <s v="RIGTF02-RL01RD02" u="1"/>
        <s v="RIGTF02-RL01RD03" u="1"/>
        <s v="RIGTF02-RL01RD04" u="1"/>
        <s v="RIGTF02-RL01SH01" u="1"/>
        <s v="RIGTF02-SA01VE01RD01" u="1"/>
        <s v="RIGTF02-EX01RD01IC01" u="1"/>
        <s v="RIGTF02-EX01SR01IC01" u="1"/>
        <s v="RIGTF02-EX02RD01IC01" u="1"/>
        <s v="RIGTF02-EX02SR01IC01" u="1"/>
        <s v="RIGTF02-RL01SH01IC01" u="1"/>
        <s v="RIGTF02-SA02" u="1"/>
        <s v="RIGTF02-SA01RD01" u="1"/>
        <s v="IMPID04-IM01" u="1"/>
        <s v="IMPID04-IM01DC01" u="1"/>
        <s v="IMPID04-IM01DC01BV01" u="1"/>
        <s v="IMPID04-IM01DC01ME01" u="1"/>
        <s v="IMPID04-IM01DC01ME02" u="1"/>
        <s v="IMPID04-IM01DC01ME03" u="1"/>
        <s v="IMPID04-IM01DC01ME04" u="1"/>
        <s v="IMPID04-IM01DC01RD01" u="1"/>
        <s v="IMPID04-IM01DC01TP01" u="1"/>
        <s v="IMPID04-IM01EC01" u="1"/>
        <s v="IMPID04-IM01ME01" u="1"/>
        <s v="IMPID04-IM01ME02" u="1"/>
        <s v="IMPID04-IM01ME03" u="1"/>
        <s v="IMPID04-IM01RD01" u="1"/>
        <s v="IMPID04-IM01RD02" u="1"/>
        <s v="IMPID04-IM01RD03" u="1"/>
        <s v="IMPID04-IM01TE01" u="1"/>
        <s v="IMPID04-IM01TP01" u="1"/>
        <s v="IMPID04-IM01TP02" u="1"/>
        <s v="IMPID04-IM01TP03" u="1"/>
        <s v="PRETF48-AP01" u="1"/>
        <s v="PRETF48-AP01ME01" u="1"/>
        <s v="PRETF48-AP01RD01" u="1"/>
        <s v="PRETF48-AP01TE01" u="1"/>
        <s v="PRETF48-CH01" u="1"/>
        <s v="PRETF48-DE01" u="1"/>
        <s v="PRETF48-DE01ME01" u="1"/>
        <s v="PRETF48-EB01" u="1"/>
        <s v="PRETF48-EB01MN01" u="1"/>
        <s v="PRETF48-EB01RD01" u="1"/>
        <s v="PRETF48-EF01" u="1"/>
        <s v="PRETF48-EF01ME01" u="1"/>
        <s v="PRETF48-EF01ME02" u="1"/>
        <s v="PRETF48-EF01ME03" u="1"/>
        <s v="PRETF48-EF01RD01" u="1"/>
        <s v="PRETF48-EF01TE01" u="1"/>
        <s v="PRETF48-EF01TE02" u="1"/>
        <s v="PRETF48-HE01" u="1"/>
        <s v="PRETF48-HE01ME01" u="1"/>
        <s v="PRETF48-HE01RD01" u="1"/>
        <s v="PRETF48-HE01TE01" u="1"/>
        <s v="PRETF48-HE01TE01AA01" u="1"/>
        <s v="PRETF48-HE01TE02" u="1"/>
        <s v="PRETF48-HE02" u="1"/>
        <s v="PRETF48-HE02TE01" u="1"/>
        <s v="PRETF48-SN01" u="1"/>
        <s v="PRETF48-SR01" u="1"/>
        <s v="PRETF48-TB01" u="1"/>
        <s v="PRETF48-TE01" u="1"/>
        <s v="PRETF48-TE01AA01" u="1"/>
        <s v="PRETF48-TR01" u="1"/>
        <s v="PRETF37-AP01" u="1"/>
        <s v="PRETF37-AP01TE01" u="1"/>
        <s v="PRETF37-DE01" u="1"/>
        <s v="PRETF37-DE01ME01" u="1"/>
        <s v="PRETF37-EB01" u="1"/>
        <s v="PRETF37-EB01MN01" u="1"/>
        <s v="PRETF37-EF01" u="1"/>
        <s v="PRETF37-EF01ME01" u="1"/>
        <s v="PRETF37-EF01ME02" u="1"/>
        <s v="PRETF37-EF01ME03" u="1"/>
        <s v="PRETF37-EF01RD01" u="1"/>
        <s v="PRETF37-EF01TE01" u="1"/>
        <s v="PRETF37-HE02" u="1"/>
        <s v="PRETF37-HE02TE01" u="1"/>
        <s v="PRETF37-SN01" u="1"/>
        <s v="PRETF37-SP01" u="1"/>
        <s v="PRETF37-SR01" u="1"/>
        <s v="PRETF37-TB01" u="1"/>
        <s v="PRETF37-TE01" u="1"/>
        <s v="PRETF37-TE01AA01" u="1"/>
        <s v="PRETF37-TR01" u="1"/>
        <s v="TANPL02" u="1"/>
        <s v="TANPL02-EX01" u="1"/>
        <s v="TANPL02-EX01BW01" u="1"/>
        <s v="TANPL02-EX01RD01" u="1"/>
        <s v="TANPL02-EX01RD01ME01" u="1"/>
        <s v="TANPL02-GR01" u="1"/>
        <s v="TANPL02-SA01" u="1"/>
        <s v="TANPL02-TE01" u="1"/>
        <s v="PRETF49-BS01" u="1"/>
        <s v="PRETF49-DE01" u="1"/>
        <s v="PRETF49-DE01ME01" u="1"/>
        <s v="PRETF49-DE01RD01" u="1"/>
        <s v="PRETF49-DE01TE01" u="1"/>
        <s v="PRETF49-EB01" u="1"/>
        <s v="PRETF49-EB01ME01" u="1"/>
        <s v="PRETF49-EF01" u="1"/>
        <s v="PRETF49-HF01" u="1"/>
        <s v="PRETF49-RH01" u="1"/>
        <s v="PRETF49-RH01HF01" u="1"/>
        <s v="PRETF49-RH01ME01" u="1"/>
        <s v="PRETF49-RH02" u="1"/>
        <s v="PRETF49-RH02ME01" u="1"/>
        <s v="PRETF49-SN01" u="1"/>
        <s v="PRETF49-SR01" u="1"/>
        <s v="PRETF49-TB01" u="1"/>
        <s v="PRETF49-TE01" u="1"/>
        <s v="PRETF49-TE02" u="1"/>
        <s v="PRETF32-AP01" u="1"/>
        <s v="PRETF32-DE01" u="1"/>
        <s v="PRETF32-EB01" u="1"/>
        <s v="PRETF32-EB01MN01" u="1"/>
        <s v="PRETF32-EF01" u="1"/>
        <s v="PRETF32-EF01ME01" u="1"/>
        <s v="PRETF32-EF01ME02" u="1"/>
        <s v="PRETF32-EF01ME02RD01" u="1"/>
        <s v="PRETF32-HF01" u="1"/>
        <s v="PRETF32-SN01" u="1"/>
        <s v="PRETF32-TE01" u="1"/>
        <s v="PRETF32-TR01" u="1"/>
        <s v="RIGTF02-TE02" u="1"/>
        <s v="RIGTF02-TE02AA01" u="1"/>
        <s v="ESPTF16-DE01" u="1"/>
        <s v="ESPTF16-DE01ME01" u="1"/>
        <s v="ESPTF16-DE01ME02" u="1"/>
        <s v="ESPTF16-DE01RD01" u="1"/>
        <s v="ESPTF16-DE01RD02" u="1"/>
        <s v="ESPTF16-DE01TE01" u="1"/>
        <s v="ESPTF16-DE01TE02" u="1"/>
        <s v="ESPTF16-DE01TE03" u="1"/>
        <s v="ESPTF16-DE01TE04" u="1"/>
        <s v="ESPTF16-DE01TE05" u="1"/>
        <s v="ESPTF16-FM01" u="1"/>
        <s v="ESPTF16-FM01BV01" u="1"/>
        <s v="ESPTF16-FM01BV01ME01" u="1"/>
        <s v="ESPTF16-FM01ME01" u="1"/>
        <s v="ESPTF16-FM01ME02" u="1"/>
        <s v="ESPTF16-FM01RD01" u="1"/>
        <s v="ESPTF16-FM01RD02" u="1"/>
        <s v="ESPTF16-FM01SR01BC01" u="1"/>
        <s v="ESPTF16-FM01SR01BC02" u="1"/>
        <s v="ESPTF16-FM01SR01BC03" u="1"/>
        <s v="ESPTF16-FM01SR01ME01" u="1"/>
        <s v="ESPTF16-FM01SR01ME02" u="1"/>
        <s v="ESPTF16-FM01SR01ME03" u="1"/>
        <s v="ESPTF16-FM01SR01TE01" u="1"/>
        <s v="ESPTF16-FM01SR01TE02" u="1"/>
        <s v="ESPTF16-FM01SR01TE03" u="1"/>
        <s v="ESPTF16-FM01SR02" u="1"/>
        <s v="ESPTF16-FM01SR02BC01" u="1"/>
        <s v="ESPTF16-FM01SR02BC02" u="1"/>
        <s v="ESPTF16-FM01SR02ME01" u="1"/>
        <s v="ESPTF16-FM01SR02ME02" u="1"/>
        <s v="ESPTF16-FM01SR02TE01" u="1"/>
        <s v="ESPTF16-HF01" u="1"/>
        <s v="ESPTF16-HF01ME01" u="1"/>
        <s v="ESPTF16-HF01TE01" u="1"/>
        <s v="ESPTF16-HF01TE02" u="1"/>
        <s v="ESPTF16-ML01" u="1"/>
        <s v="ESPTF16-ML01ME01" u="1"/>
        <s v="ESPTF16-ML01ME02" u="1"/>
        <s v="ESPTF16-ML01RD01" u="1"/>
        <s v="ESPTF16-SP01" u="1"/>
        <s v="ESPTF16-SP01TE01" u="1"/>
        <s v="ESPTF16-SP02" u="1"/>
        <s v="ESPTF16-SP02ME01" u="1"/>
        <s v="ESPTF16-SP02ME02" u="1"/>
        <s v="ESPTF16-SP02ME03" u="1"/>
        <s v="ESPTF16-SP02RD01" u="1"/>
        <s v="ESPTF16-SP02RD02" u="1"/>
        <s v="ESPTF16-SP02RD03" u="1"/>
        <s v="ESPTF16-SP02TE01" u="1"/>
        <s v="ESPTF16-SP02TE02" u="1"/>
        <s v="ESPTF16-TB01" u="1"/>
        <s v="ESPTF16-TE01" u="1"/>
        <s v="ESPTF16-TE01AA01" u="1"/>
        <s v="ESPTF16-TE02" u="1"/>
        <s v="ESPTF16-TE02AA01" u="1"/>
        <s v="ESPTF16-TQ01" u="1"/>
        <s v="ESPTF16-TQ01ME01" u="1"/>
        <s v="ESPTF16-TQ01ME02" u="1"/>
        <s v="ESPTF16-TQ01ME03" u="1"/>
        <s v="ESPTF16-TQ01RD03" u="1"/>
        <s v="ESPTF16-TQ01RD04" u="1"/>
        <s v="ESPTF16-TQ01TE01" u="1"/>
        <s v="ESPTF16-TQ01TE02" u="1"/>
        <s v="ESPTF16-TQ01TP01" u="1"/>
        <s v="ESPTF12-DE01" u="1"/>
        <s v="ESPST01-BW06ME01" u="1"/>
        <s v="PRETF21-BS01" u="1"/>
        <s v="PRETF26-BS01" u="1"/>
        <s v="ESPST01-ST02VE01RD01" u="1"/>
        <s v="PRETF44-EB01RD01" u="1"/>
        <s v="ESPTF10-FM01" u="1"/>
        <s v="UTLSP01-BW01" u="1"/>
        <s v="PRETF44-EF01TE02" u="1"/>
        <s v="ESPST01-ST07" u="1"/>
        <s v="IMPID05-IM01BV01ME01" u="1"/>
        <s v="ESPST01-ST03VE01RD01" u="1"/>
        <s v="IMPID05-TE01" u="1"/>
        <s v="ESPST01-ST04VE01RD01" u="1"/>
        <s v="UTLSD01-BG01TP01" u="1"/>
        <s v="UTLSD01-TE01" u="1"/>
        <s v="TANMA01-ML02SN01" u="1"/>
        <s v="ESPST01-ST05VE01RD01" u="1"/>
        <s v="RIGTF22-FM01ME03" u="1"/>
        <s v="TANMA01-ML02RD01" u="1"/>
        <s v="UTLSC01-SC01BG01ME01" u="1"/>
        <s v="UTLSI01-CH03EV01" u="1"/>
        <s v="PRETF44-TB01" u="1"/>
        <s v="UTLSI01-BG01" u="1"/>
        <s v="IMPID05-IM01TP01" u="1"/>
        <s v="ESPST01-ST07VE01RD01" u="1"/>
        <s v="IMPID05-IM01UC01BW01" u="1"/>
        <s v="UTLSC01-SC01BG02ME01" u="1"/>
        <s v="UTLSI01-BG02" u="1"/>
        <s v="IMPID05-IM01UC01" u="1"/>
        <s v="UTLSX01-CA08PC01" u="1"/>
        <s v="ESPST01-ST08VE01RD01" u="1"/>
        <s v="UTLSI01-CH05EV01" u="1"/>
        <s v="PRETF36-TB01" u="1"/>
        <s v="PRETF36-EB01ME01" u="1"/>
        <s v="ESPTF10-FM01SR01ME01" u="1"/>
        <s v="UTLSX01-SQ01TE01" u="1"/>
        <s v="UTLSI01-BG03" u="1"/>
        <s v="UTLSI01-CH06EV01" u="1"/>
        <s v="PRETF44-EF01" u="1"/>
        <s v="PRETF44-HE01TE01" u="1"/>
        <s v="ESPST01-ST01VE01" u="1"/>
        <s v="UTLSC01-SC01BG03ME01" u="1"/>
        <s v="TANMA01-ML02ME01" u="1"/>
        <s v="UTLSI01-BG04" u="1"/>
        <s v="ESPTF10-TB01" u="1"/>
        <s v="PRETF21-TB01" u="1"/>
        <s v="ESPTF10-ML01RD01" u="1"/>
        <s v="PRETF21-EB01ME01" u="1"/>
        <s v="PRETF44-TE01AA01" u="1"/>
        <s v="PRETF26-EB01ME01" u="1"/>
        <s v="PRETF44-HE02TE01" u="1"/>
        <s v="ESPST01-ST02VE01" u="1"/>
        <s v="UTLSI01-BG05" u="1"/>
        <s v="PRETF36-EF01" u="1"/>
        <s v="PRETF44-HE01TE02" u="1"/>
        <s v="ESPST01-ST03VE01" u="1"/>
        <s v="UTLSC01-SC01BG04ME01" u="1"/>
        <s v="TANMA01-ML02ME02" u="1"/>
        <s v="UTLSI01-BG06" u="1"/>
        <s v="UTLSX01-SQ01TP01" u="1"/>
        <s v="UTLSD01-BE01TP01" u="1"/>
        <s v="ESPST01-ST04VE01" u="1"/>
        <s v="IMPID05-IM01" u="1"/>
        <s v="ESPTF10-FM01SR01ME02" u="1"/>
        <s v="UTLSX01-SQ02TP01" u="1"/>
        <s v="UTLSD01-BE02TP01" u="1"/>
        <s v="PRETF21-EF01" u="1"/>
        <s v="PRETF26-EF01" u="1"/>
        <s v="ESPST01-ST05VE01" u="1"/>
        <s v="UTLSC01-SC01BG05ME01" u="1"/>
        <s v="UTLSX01-SQ03TP01" u="1"/>
        <s v="ESPTF10-TE01AA01" u="1"/>
        <s v="PRETF44-AP01RD01" u="1"/>
        <s v="ESPST01-BW01" u="1"/>
        <s v="ESPTF10-ML01ME01" u="1"/>
        <s v="UTLSX01-SQ04TP01" u="1"/>
        <s v="ESPTF10-TE02AA01" u="1"/>
        <s v="ESPST01-ST07VE01" u="1"/>
        <s v="UTLSI01-CH06TE01" u="1"/>
        <s v="ESPST01-BW02" u="1"/>
        <s v="UTLSI01-CH03TP01" u="1"/>
        <s v="PRETF44-SR01" u="1"/>
        <s v="PRETF36-HF01" u="1"/>
        <s v="ESPST01-ST08VE01" u="1"/>
        <s v="ESPST01-BW03" u="1"/>
        <s v="UTLSI01-TA01" u="1"/>
        <s v="ESPTF10-ML01ME02" u="1"/>
        <s v="UTLSX01-SQ01" u="1"/>
        <s v="UTLSD01-BE01" u="1"/>
        <s v="ESPTF10-TQ01RD01" u="1"/>
        <s v="MTPEA01-BL01" u="1"/>
        <s v="UTLSC01-SC01TA05" u="1"/>
        <s v="ESPST01-BW04" u="1"/>
        <s v="UTLSI01-CH05TP01" u="1"/>
        <s v="UTLSP01-BS01" u="1"/>
        <s v="UTLSX01-CA10ME01" u="1"/>
        <s v="ESPTF10-HF01" u="1"/>
        <s v="PRETF21-HF01" u="1"/>
        <s v="PRETF44-HE01" u="1"/>
        <s v="PRETF36-SR01" u="1"/>
        <s v="PRETF26-HF01" u="1"/>
        <s v="UTLSX01-SQ02" u="1"/>
        <s v="UTLSD01-BE02" u="1"/>
        <s v="ESPST01-BW05" u="1"/>
        <s v="PRETF44-AP01ME01" u="1"/>
        <s v="UTLSX01-CA01ME01" u="1"/>
        <s v="UTLSX01-CA11ME01" u="1"/>
        <s v="TANMA01-ML02TE01" u="1"/>
        <s v="PRETF44-HE02" u="1"/>
        <s v="RIGTF02-TE01" u="1"/>
        <s v="UTLSX01-SQ03" u="1"/>
        <s v="UTLSC01-SC01TA06" u="1"/>
        <s v="ESPST01-BW06" u="1"/>
        <s v="PRETF36-DE01RD01" u="1"/>
        <s v="UTLSX01-CA02ME01" u="1"/>
        <s v="PRETF21-SR01" u="1"/>
        <s v="UTLSX01-CA12ME01" u="1"/>
        <s v="PRETF26-SR01" u="1"/>
        <s v="UTLSX01-SQ04" u="1"/>
        <s v="ESPTF10-FM01BV01" u="1"/>
        <s v="UTLSX01-CA01ME02" u="1"/>
        <s v="UTLSX01-CA03ME01" u="1"/>
        <s v="UTLSX01-CA11ME02" u="1"/>
        <s v="UTLSI01-CH03" u="1"/>
        <s v="ESPTF10-TQ01RD03" u="1"/>
        <s v="UTLSC01-SC01TA07" u="1"/>
        <s v="ESPTF10-DE01RD01" u="1"/>
        <s v="PRETF21-DE01RD01" u="1"/>
        <s v="PRETF26-DE01RD01" u="1"/>
        <s v="UTLSX01-CA02ME02" u="1"/>
        <s v="UTLSX01-CA04ME01" u="1"/>
        <s v="ESPTF10-TQ01ME01" u="1"/>
        <s v="PRETF36-RH01ME01" u="1"/>
        <s v="PRETF44-DE01ME01" u="1"/>
        <s v="UTLSX01-CA03ME02" u="1"/>
        <s v="UTLSX01-CA05ME01" u="1"/>
        <s v="PRETF36-RH02ME01" u="1"/>
        <s v="UTLSI01-TF01ME01" u="1"/>
        <s v="UTLSI01-CH05" u="1"/>
        <s v="ESPTF10-FM01RD01" u="1"/>
        <s v="UTLSC01-SC01TA08" u="1"/>
        <s v="PRETF21-RH01ME01" u="1"/>
        <s v="UTLSX01-CA04ME02" u="1"/>
        <s v="UTLSX01-CA06ME01" u="1"/>
        <s v="PRETF26-RH01ME01" u="1"/>
        <s v="ESPTF10-TQ01ME02" u="1"/>
        <s v="UTLSI01-TF02ME01" u="1"/>
        <s v="UTLSI01-CH06" u="1"/>
        <s v="PRETF36-DE01ME01" u="1"/>
        <s v="PRETF44-EB01" u="1"/>
        <s v="PRETF44-EB01MN01" u="1"/>
        <s v="PRETF21-RH02ME01" u="1"/>
        <s v="UTLSX01-CA05ME02" u="1"/>
        <s v="UTLSX01-CA07ME01" u="1"/>
        <s v="PRETF26-RH02ME01" u="1"/>
        <s v="ESPST01-ST01VE01ME01" u="1"/>
        <s v="UTLSI01-TF03ME01" u="1"/>
        <s v="ESPTF10-FM01RD02" u="1"/>
        <s v="UTLSC01-SC01TP01" u="1"/>
        <s v="UTLSX01-CA06ME02" u="1"/>
        <s v="UTLSX01-CA08ME01" u="1"/>
        <s v="ESPTF10-TQ01ME03" u="1"/>
        <s v="ESPTF10-DE01ME01" u="1"/>
        <s v="PRETF21-DE01ME01" u="1"/>
        <s v="ESPST01-ST02VE01ME01" u="1"/>
        <s v="PRETF26-DE01ME01" u="1"/>
        <s v="PRETF36-EB01" u="1"/>
        <s v="PRETF36-RH01HF01" u="1"/>
        <s v="ESPTF10-FM01SR01TE01" u="1"/>
        <s v="UTLSX01-CA07ME02" u="1"/>
        <s v="ESPST01-ST03VE01ME01" u="1"/>
        <s v="TANMA01-ML02" u="1"/>
        <s v="ESPTF10-FM01ME01" u="1"/>
        <s v="PRETF44-AP01TE01" u="1"/>
        <s v="PRETF21-EB01" u="1"/>
        <s v="ESPST01-ST04VE01ME01" u="1"/>
        <s v="ESPST01-TP01" u="1"/>
        <s v="PRETF26-EB01" u="1"/>
        <s v="PRETF21-RH01HF01" u="1"/>
        <s v="PRETF26-RH01HF01" u="1"/>
        <s v="ESPST01-ST05VE01ME01" u="1"/>
        <s v="ESPST01-TP02" u="1"/>
        <s v="UTLSD01-BE01MA01" u="1"/>
        <s v="ESPTF10-FM01ME02" u="1"/>
        <s v="UTLSX01-CA10TP01" u="1"/>
        <s v="PRETF44-EF01RD01" u="1"/>
        <s v="UTLSI01-CH03CP01" u="1"/>
        <s v="IMPID05-IM01BV01" u="1"/>
        <s v="PRETF44-HE01TE01AA01" u="1"/>
        <s v="UTLSD01-BE02MA01" u="1"/>
        <s v="ESPTF10-FM01SR01TE02" u="1"/>
        <s v="ESPTF10-TQ01TE01" u="1"/>
        <s v="ESPST01-ST07VE01ME01" u="1"/>
        <s v="UTLSX01-CA01TP01" u="1"/>
        <s v="UTLSX01-CA11TP01" u="1"/>
        <s v="PRETF44-SN01" u="1"/>
        <s v="ESPTF10-FM01ME03" u="1"/>
        <s v="ESPST01-ST08VE01ME01" u="1"/>
        <s v="UTLSX01-CA02TP01" u="1"/>
        <s v="UTLSI01-BG01ME01" u="1"/>
        <s v="ESPTF10-ML01" u="1"/>
        <s v="ESPTF10-TQ01TE02" u="1"/>
        <s v="UTLSX01-CA03TP01" u="1"/>
        <s v="PRETF36-SN01" u="1"/>
        <s v="UTLSI01-BG02ME01" u="1"/>
        <s v="PRETF36-DE01TE01" u="1"/>
        <s v="IMPID05-IM01RD01" u="1"/>
        <s v="UTLSX01-SX01" u="1"/>
        <s v="UTLSX01-CA04TP01" u="1"/>
        <s v="UTLSI01-BG03ME01" u="1"/>
        <s v="RIGTF02-TE01AA01" u="1"/>
        <s v="PRETF44-EF01ME01" u="1"/>
        <s v="UTLSI01-CH03CD01" u="1"/>
        <s v="PRETF21-SN01" u="1"/>
        <s v="UTLSX01-CA08TE01" u="1"/>
        <s v="PRETF26-SN01" u="1"/>
        <s v="UTLSX01-CA05TP01" u="1"/>
        <s v="PRETF21-DE01TE01" u="1"/>
        <s v="UTLSC01-SC01BG02" u="1"/>
        <s v="UTLSD01-BG01ME01" u="1"/>
        <s v="PRETF26-DE01TE01" u="1"/>
        <s v="UTLSD01-SD01" u="1"/>
        <s v="ESPTF10-FM01SR01BG01" u="1"/>
        <s v="UTLSX01-CA12SQ01" u="1"/>
        <s v="UTLSX01-CA10" u="1"/>
        <s v="ESPTF10-FM01SR01" u="1"/>
        <s v="UTLSX01-CA06TP01" u="1"/>
        <s v="UTLSI01-BG05ME01" u="1"/>
        <s v="ESPTF10-FM01BV01ME01" u="1"/>
        <s v="EXPEP01-SM01MG01" u="1"/>
        <s v="PRETF44-EF01ME02" u="1"/>
        <s v="PRETF44-AP01" u="1"/>
        <s v="UTLSX01-CA01" u="1"/>
        <s v="UTLSX01-CA11" u="1"/>
        <s v="UTLSI01-CH05CD01" u="1"/>
        <s v="ESPTF10-FM01TE01" u="1"/>
        <s v="UTLSX01-CA07TP01" u="1"/>
        <s v="UTLSC01-SC01BG03" u="1"/>
        <s v="UTLSI01-BG04ME02" u="1"/>
        <s v="UTLSI01-BG06ME01" u="1"/>
        <s v="UTLSX01-CA02" u="1"/>
        <s v="UTLSX01-CA12" u="1"/>
        <s v="TANEE06-EX01ME01" u="1"/>
        <s v="IMPID05-IM01ME01" u="1"/>
        <s v="UTLSI01-CH06CD01" u="1"/>
        <s v="PRETF44-TE01" u="1"/>
        <s v="UTLSD01-BE01RD01" u="1"/>
        <s v="PRETF44-EF01ME03" u="1"/>
        <s v="UTLSX01-CA03" u="1"/>
        <s v="PRETF44-HE01RD01" u="1"/>
        <s v="ESPTF10-FM01TE02" u="1"/>
        <s v="UTLSC01-SC01BG04" u="1"/>
        <s v="UTLSD01-BE02RD01" u="1"/>
        <s v="ESPTF10-FM01SR01BG02" u="1"/>
        <s v="UTLSX01-CA04" u="1"/>
        <s v="ESPTF10-TQ01" u="1"/>
        <s v="PRETF36-RH01" u="1"/>
        <s v="IMPID05-IM01ME02" u="1"/>
        <s v="ESPST01-BW01ME01" u="1"/>
        <s v="PRETF44-DE01" u="1"/>
        <s v="ESPST01-ST01" u="1"/>
        <s v="PRETF36-TE01" u="1"/>
        <s v="ESPTF14-TQ02" u="1"/>
        <s v="PRETF36-RH02" u="1"/>
        <s v="UTLSI01-TF01" u="1"/>
        <s v="ESPST01-BW02ME01" u="1"/>
        <s v="ESPTF10-FM01TE03" u="1"/>
        <s v="ESPST01-ST02" u="1"/>
        <s v="PRETF36-TE02" u="1"/>
        <s v="UTLSC01-SC01BG05" u="1"/>
        <s v="PRETF21-RH01" u="1"/>
        <s v="PRETF26-RH01" u="1"/>
        <s v="UTLSI01-TF02" u="1"/>
        <s v="ESPTF10-TE01" u="1"/>
        <s v="PRETF21-TE01" u="1"/>
        <s v="ESPST01-BW03ME01" u="1"/>
        <s v="PRETF26-TE01" u="1"/>
        <s v="PRETF36-DE01" u="1"/>
        <s v="ESPST01-ST03" u="1"/>
        <s v="UTLSI01-CH03CC01" u="1"/>
        <s v="MTPEA01-MG03" u="1"/>
        <s v="PRETF21-RH02" u="1"/>
        <s v="UTLSX01-CA07" u="1"/>
        <s v="PRETF26-RH02" u="1"/>
        <s v="UTLSX01-SQ01ME01" u="1"/>
        <s v="UTLSI01-TF03" u="1"/>
        <s v="ESPTF10-TE02" u="1"/>
        <s v="PRETF21-TE02" u="1"/>
        <s v="ESPST01-BW04ME01" u="1"/>
        <s v="PRETF26-TE02" u="1"/>
        <s v="UTLSP01-BS01ME01" u="1"/>
        <s v="ESPST01-ST04" u="1"/>
        <s v="PRETF36-BS01" u="1"/>
        <s v="PRETF44-HE01ME01" u="1"/>
        <s v="MTPEA01-MG04" u="1"/>
        <s v="UTLSX01-CA08" u="1"/>
        <s v="PRETF44-EF01TE01" u="1"/>
        <s v="ESPTF10-DE01" u="1"/>
        <s v="PRETF21-DE01" u="1"/>
        <s v="PRETF26-DE01" u="1"/>
        <s v="ESPST01-BW05ME01" u="1"/>
        <s v="ESPST01-ST05" u="1"/>
        <s v="ESPST01-ST01VE01RD01" u="1"/>
        <s v="UTLSX01-SQ03ME01" u="1"/>
      </sharedItems>
    </cacheField>
    <cacheField name="Fech generación" numFmtId="22">
      <sharedItems containsSemiMixedTypes="0" containsNonDate="0" containsDate="1" containsString="0" minDate="2025-02-07T10:20:32" maxDate="2025-02-07T10:20:45"/>
    </cacheField>
    <cacheField name="Fech aprobación" numFmtId="22">
      <sharedItems containsSemiMixedTypes="0" containsNonDate="0" containsDate="1" containsString="0" minDate="2025-07-25T11:09:00" maxDate="2025-07-25T11:09:00"/>
    </cacheField>
    <cacheField name="ID" numFmtId="49">
      <sharedItems/>
    </cacheField>
    <cacheField name="Nombre" numFmtId="49">
      <sharedItems/>
    </cacheField>
    <cacheField name="Horas" numFmtId="2">
      <sharedItems containsSemiMixedTypes="0" containsString="0" containsNumber="1" containsInteger="1" minValue="0" maxValue="0"/>
    </cacheField>
    <cacheField name="ID Tipo Localiz" numFmtId="2">
      <sharedItems containsSemiMixedTypes="0" containsString="0" containsNumber="1" containsInteger="1" minValue="1" maxValue="1"/>
    </cacheField>
    <cacheField name="Estado OT" numFmtId="49">
      <sharedItems/>
    </cacheField>
    <cacheField name="Encargado" numFmtId="49">
      <sharedItems containsMixedTypes="1" containsNumber="1" containsInteger="1" minValue="1" maxValue="1" count="2">
        <s v="Cerrada"/>
        <n v="1" u="1"/>
      </sharedItems>
    </cacheField>
    <cacheField name="Hora Inicio" numFmtId="49">
      <sharedItems containsBlank="1" count="62">
        <s v="Revision a el tacogenerador o encoder "/>
        <s v="Revision general y limpieza del motor electrico "/>
        <s v="Inspeccion del panel de conexiones del tablero electrico"/>
        <s v="Verificacion de elementos de proteccion para sobrecorriente "/>
        <s v="Verificacion del etado de los ventiladores de tableros electricos "/>
        <s v="Inspeccion del estado de componentes electronicos "/>
        <s v="Limpieza del tanque acumulador "/>
        <s v="Inspeccion y limpieza del transformador de tablero eletrico "/>
        <s v="Inspecionar el estado de tomas y clavijas del tablero eletrico "/>
        <s v="Verificacion del variador del tablero electrico "/>
        <s v="Verificar la programacion del PLC"/>
        <s v="Revision de fuentes de control de tablero electrico "/>
        <s v="Revision de pantalla de tablero electrico "/>
        <s v="Verificacion e inspeccion del sistema de refrigeracion de placas molde "/>
        <s v="Revision genral del transformador "/>
        <s v="Revision del buen funcioamiento de la Tablet "/>
        <s v="Verificacion del aire acondicionado "/>
        <s v="Revision e inspeccion del horno de la termofomadora "/>
        <s v="Revision del funcionamiento del sistema de sellado "/>
        <s v="Inspeccion del aire acondionado agua "/>
        <s v="Revision del funcionamiento de los sensores LOOP "/>
        <s v="Verificacion general neumatica de horno formadora "/>
        <s v="Ajuste e inspeccion de los sensores "/>
        <s v="Revision y ajuste de los parametros del horno precalentador "/>
        <s v="Inspeccion de la herramienta de formado "/>
        <s v="Ajuste y revision del funcionamiento del sistema eyector "/>
        <s v="Verificacion del estado de las valvulas apilador "/>
        <s v="Inspeccion del funcionamiento de zona nuematica de los desembobinadores "/>
        <s v="Se realiza mantenimiento predictivo de vibracion en motores electricos "/>
        <s v="Se realiza mantenimiento predictivo con estetoscopio "/>
        <s v="Inspeccion de las fugas y nivelacion del aceite"/>
        <s v="Verificacion del estado del acople del motor "/>
        <s v="Inspeccion del acople "/>
        <s v="Revision de rodillos haladores desembobinadores "/>
        <s v="Revision de los rodillos desembobinadores "/>
        <s v="Se realiza alineacion y calibracion de rodillos pisadores precalentador "/>
        <s v="Revision y verificar el buen funcionamieto del trasnporte de lamina "/>
        <s v="Revision del sistema de refrigeracion de placas "/>
        <s v="Revision y verificacion del funcionamiento del sistema de lubricacion "/>
        <s v="Revision del movimiento de la placa superior"/>
        <s v="Verificacion general del acople de la placa "/>
        <s v="Revsion genral y calibracion de la placa inferior "/>
        <s v="Revision y calibracion de placa inferior "/>
        <s v="Verificar el estado de acople del  rodillo"/>
        <s v="Revision de los rodamientos lineales apilador "/>
        <s v="Verificacion del funcionamiento del embobinador de Scrap "/>
        <s v="Verificacion nuematica del embobinador de scrap "/>
        <s v="Revision general del motor neumatica "/>
        <s v="Revision del funcionamiento de los desembobinadores RODHE "/>
        <s v="Verficacacion general neumatica del precalentador "/>
        <s v="Verificacion neumatica del horno "/>
        <s v="Verificacion neumatica de la estacion de formado "/>
        <s v="Verificacion neumatica del apilador "/>
        <s v="Verificacion del estado del sistema nuematico "/>
        <s v="Revision y verificacion general del reductor "/>
        <s v="Calibracion y revision de las correas y poleas "/>
        <s v="Verificacion del funcionamiento genral de la transmision "/>
        <s v="Revision general de la transmision secundaria "/>
        <s v="Revision de transmision de rodillos precalentadores "/>
        <m u="1"/>
        <s v="" u="1"/>
        <s v=" " u="1"/>
      </sharedItems>
    </cacheField>
    <cacheField name="Hora Fin" numFmtId="49">
      <sharedItems containsBlank="1" count="4">
        <s v="Ninguna"/>
        <m u="1"/>
        <s v="" u="1"/>
        <s v=" " u="1"/>
      </sharedItems>
    </cacheField>
    <cacheField name="Motivo" numFmtId="0">
      <sharedItems containsNonDate="0" containsBlank="1" count="3">
        <m/>
        <s v="" u="1"/>
        <s v=" " u="1"/>
      </sharedItems>
    </cacheField>
    <cacheField name="Auditado" numFmtId="0">
      <sharedItems containsNonDate="0" containsBlank="1" count="2">
        <m/>
        <s v="" u="1"/>
      </sharedItems>
    </cacheField>
    <cacheField name="Ubicación" numFmtId="0">
      <sharedItems containsBlank="1" count="708">
        <s v="ESTACION DE FORMADO"/>
        <s v="APILADOR APILADOR SISTEMA DE A"/>
        <s v="DESEMBOBINADOR"/>
        <s v="PRECALENTADOR"/>
        <s v="HORNO"/>
        <s v="TABLERO DE CONTROL PRINCIPAL"/>
        <s v="REFRIGERACION"/>
        <s v="TRANSFORMADOR"/>
        <s v="TABLET"/>
        <s v="SELLADORA PEDAL MECÁNICA"/>
        <s v="EMBOBINADOR DE SCRAP"/>
        <s v="SISTEMA NEUMATICO"/>
        <m u="1"/>
        <s v="FORMADORA" u="1"/>
        <s v="HORNO ELECTRICO HORNO" u="1"/>
        <s v="MOLINO" u="1"/>
        <s v="TABLERO FUERZA" u="1"/>
        <s v="MICROPHASER" u="1"/>
        <s v="TROQUELADORA" u="1"/>
        <s v="CUERPO CAMBIA MALLAS EXT 4,5" u="1"/>
        <s v="BARRIL EXTRUSION EXT 4,5" u="1"/>
        <s v="BARRIL EXTRUSIÓN  EXT 6" u="1"/>
        <s v="CUERPO MOLDE MOLDE SIS  MOLD" u="1"/>
        <s v="RODILLO A Y B RODILLOS SIS  EM" u="1"/>
        <s v="RODILLO C Y D RODILLOS SIS  EM" u="1"/>
        <s v="RODILLOS CAUCHO RODILLOS SIS" u="1"/>
        <s v="SISTEMA ALIMENTACIÓN SIS  DOSI" u="1"/>
        <s v="SISTEMA INYECCION SIS INY  BUT" u="1"/>
        <s v="SISTEMA SIS  TRAN  MAT" u="1"/>
        <s v="TERMOFORMADORA LYLE" u="1"/>
        <s v="HORNO ELECTRICO" u="1"/>
        <s v="REBORDEADORA VASOS BROWN LR200" u="1"/>
        <s v="EMPACADORA RENNCO 1" u="1"/>
        <s v="EMPACADORA RENNCO 2" u="1"/>
        <s v="EMPACADORA RENNCO 3" u="1"/>
        <s v="REFRIGERADOR AQUATHERM" u="1"/>
        <s v="COMPUTADOR" u="1"/>
        <s v="BANDEJA DE SALIDA BANDEJA DE S" u="1"/>
        <s v="EMBOBINADOR SCRAP" u="1"/>
        <s v="ESTACION DE FORMADO TERMOFORMA" u="1"/>
        <s v="PLACA CALENTADORA  TERMOFORMAD" u="1"/>
        <s v="RODILLO HALADOR ENTRADA LAMINA" u="1"/>
        <s v="SISTEMA HALADOR" u="1"/>
        <s v="SISTEMA NEUMATICO  TERMOFORMAD" u="1"/>
        <s v="LINEA DE REFRIGERACION LINEA D" u="1"/>
        <s v="TABLERO DE FUERZA" u="1"/>
        <s v="TABLERO DE CONTROL-DISPLAY 2" u="1"/>
        <s v="GUILLOTINA" u="1"/>
        <s v="SELLADORA" u="1"/>
        <s v="TABLERO PRINCIPAL" u="1"/>
        <s v="ELECTRIC PALLET TRUCK  01" u="1"/>
        <s v="ELECTRIC PALLET TRUCK  02" u="1"/>
        <s v="ELECTRIC PALLET TRUCK  03" u="1"/>
        <s v="ELECTRIC PALLET TRUCK  04" u="1"/>
        <s v="ELECTRIC PALLET TRUCK  05" u="1"/>
        <s v="ELECTRIC PALLET TRUCK  06" u="1"/>
        <s v="ELECTRIC PALLET TRUCK  07" u="1"/>
        <s v="ELECTRIC PALLET TRUCK  08" u="1"/>
        <s v="ELECTRIC PALLET TRUCK  09" u="1"/>
        <s v="ELECTRIC PALLET TRUCK  10" u="1"/>
        <s v="MONTACARGAS TRILATERAL TRI-08" u="1"/>
        <s v="MONTACARGAS TRILATERAL TRI-09" u="1"/>
        <s v="MONTACARGAS TRILATERAL TRI-10" u="1"/>
        <s v="MONTACARGAS TRILATERAL TRI-12" u="1"/>
        <s v="MONTACARGAS TRILATERAL TRI-13" u="1"/>
        <s v="MONTACARGAS TRILATERAL TRI 14" u="1"/>
        <s v="MONTACARGAS TRILATERAL TRI-01" u="1"/>
        <s v="MONTACARGAS TRILATERAL TRI-02" u="1"/>
        <s v="MONTACARGAS TRILATERAL TRI-03" u="1"/>
        <s v="MONTACARGAS TRILATERAL TRI-04" u="1"/>
        <s v="MONTACARGAS TRILATERAL TRI-05" u="1"/>
        <s v="MONTACARGAS TRILATERAL TRI-07" u="1"/>
        <s v="MONTACARGAS TRILATERAL TRI-11" u="1"/>
        <s v="ARRASTRE LAMINA" u="1"/>
        <s v="APILADOR SUP + CORREA POLEA" u="1"/>
        <s v="APILADOR INT" u="1"/>
        <s v="APILADOR INF" u="1"/>
        <s v="MOLINO + ACTUADOR" u="1"/>
        <s v="PERFORADOR SUP" u="1"/>
        <s v="PERFORADOR INF" u="1"/>
        <s v="ROBOT VENTOSAS" u="1"/>
        <s v="SELLADORA PEDAL" u="1"/>
        <s v="TRASLATOR" u="1"/>
        <s v="TROQUEL" u="1"/>
        <s v="EMPACADORA RENNCO1" u="1"/>
        <s v="EMPACADORA RENNCO2" u="1"/>
        <s v="EMPACADORA NAS" u="1"/>
        <s v="TERMO FORMADORA" u="1"/>
        <s v="ELECTRICO HORNO" u="1"/>
        <s v="PRINCIPAL MOLINO" u="1"/>
        <s v="REBORDEADORA DE VASOS" u="1"/>
        <s v="TABLERO FUERZA ELECTRICO" u="1"/>
        <s v="SISTEMA DOSIFICACION" u="1"/>
        <e v="#N/A" u="1"/>
        <s v="MOLINO ROD LAMI" u="1"/>
        <s v="RODILLOS EMBOBINADOR A ROD EMB" u="1"/>
        <s v="RODILLOS HALADORES ROD LAMI" u="1"/>
        <s v="RODILLOS LAMINADORES ROD LAMI" u="1"/>
        <s v="MAGUIRE SIST. ALIM." u="1"/>
        <s v="CAMBIAMALLAS EXT PRIN" u="1"/>
        <s v="EXTRUSORA CENTRAL EXT PRIN" u="1"/>
        <s v="EXTRUSORA LATERAL EXT LATERAL" u="1"/>
        <s v="MOLDE" u="1"/>
        <s v="RODILLOS EMBOBINADOR B ROD EMB" u="1"/>
        <s v="SIST. ALIM. EXT LATERAL SIST." u="1"/>
        <s v="COMPUTADOR COMPUTADOR PANEL DE" u="1"/>
        <s v="TRANSFORMADOR PRINCIPAL" u="1"/>
        <s v="IMPRESORA VAN DAM 560" u="1"/>
        <s v="PANEL DE CONTROL" u="1"/>
        <s v="TERMOFORMADORA" u="1"/>
        <s v="MOLINO PRINCIPAL" u="1"/>
        <s v="HUGO BECK" u="1"/>
        <s v="FRIGEL" u="1"/>
        <s v="KREYENBORG" u="1"/>
        <s v="ESTRUCTURA HORNO" u="1"/>
        <s v="CUERPO MOLINO" u="1"/>
        <s v="CUERPO MAC DUE SELL PRE" u="1"/>
        <s v="TABLERO DRIVE TABLERO PRINCIPA" u="1"/>
        <s v="DISPLAY MICROPHASER" u="1"/>
        <s v="TROQUELADORA " u="1"/>
        <s v="EMPACADORA RENNCO" u="1"/>
        <s v="EMPACADORA NAS2" u="1"/>
        <s v="FORMADORA FORMADORA" u="1"/>
        <s v="REBORDEADORA LR-2000-3" u="1"/>
        <s v="MICROPHASER MICROPHASER  CTRL" u="1"/>
        <s v="APILADOR" u="1"/>
        <s v="CHILLER FRIGEL" u="1"/>
        <s v="TRANSFORMADO" u="1"/>
        <s v="MICROPHASER  CTRL ELE FOR" u="1"/>
        <s v="CUERPO MOLDE SIS  MOLD" u="1"/>
        <s v="RODILLO 1 Y 2 RODILLOS SIS  EM" u="1"/>
        <s v="RODILLO 3 Y 4 RODILLOS SIS  EM" u="1"/>
        <s v="INYECTORA AOKI" u="1"/>
        <s v="CHILLER" u="1"/>
        <s v="DESHUMIFICADOR DE CABINA" u="1"/>
        <s v="MOTOR ELECTRICO" u="1"/>
        <s v="SISTEMA HIDRAULICO" u="1"/>
        <s v="SECADOR DE RESINA" u="1"/>
        <s v="TABLERO ELECTRICO" u="1"/>
        <s v="UNIDAD DE INYECCION" u="1"/>
        <s v="CUERPO CAMBIA MALLAS EXT PRIM" u="1"/>
        <s v="BARRIL  EXTRUSION EXT PRIM" u="1"/>
        <s v="BARRIL  EXTRUSION EXT SEC" u="1"/>
        <s v="EMBOBINADOR A Y B RODILLOS SIS" u="1"/>
        <s v="RODILLOS EMBOBINADOR C Y D ROD" u="1"/>
        <s v="RODILLOS DE CAUCHO 1, 2, 3 Y 4" u="1"/>
        <s v="SISTEMA SIS  DOSI" u="1"/>
        <s v="SISTEMA TRASPORTE SIS  TRAN  M" u="1"/>
        <s v="COMPUTADOR CENTRAL PANEL CTRL" u="1"/>
        <s v="UNIDAD DE TEMPERATURA BUDZAR E" u="1"/>
        <s v="BOMBA MELT PUMP" u="1"/>
        <s v="CAMBIA MALLAS KCH-4,5" u="1"/>
        <s v="EXTRUDER 01" u="1"/>
        <s v="EXTRUDER 14" u="1"/>
        <s v="EXTRUDER 21" u="1"/>
        <s v="EXTRUDER 28" u="1"/>
        <s v="GUILLOTINA SPEEDEX" u="1"/>
        <s v="MOLINO MPG" u="1"/>
        <s v="MOLINO TIRAS" u="1"/>
        <s v="RODILLOS EMBOBINADORES" u="1"/>
        <s v="RODILLOS HALADORES" u="1"/>
        <s v="RODILLOS LAMINADORES" u="1"/>
        <s v="SIST. ALIMENTACIÓN EXTRUDER 01" u="1"/>
        <s v="SIST. ALIMENTACIÓN EXTRUDER 14" u="1"/>
        <s v="SIST. ALIMENTACIÓN EXTRUDER 21" u="1"/>
        <s v="SIST. HIDRAULICO CAMBIAMALLAS" u="1"/>
        <s v="SECADOR CONAIR" u="1"/>
        <s v="PANEL DE CONTROL PRINCIPAL" u="1"/>
        <s v="EXTRUCTURA DESBOBINADOR" u="1"/>
        <s v="FORMADORA FORMADORA FORM" u="1"/>
        <s v="ESTRUCTURA HORNO HORN" u="1"/>
        <s v="TABLERO DRIVE TABLERO ELEC" u="1"/>
        <s v="DISPLAY MICROPHASER  CTRL ELE" u="1"/>
        <s v="CUERPO TROQUELADORA" u="1"/>
        <s v="TABLERO DE CONTROL" u="1"/>
        <s v="CRISTALIZADOR" u="1"/>
        <s v="EXTRUDER PRINCIPAL A" u="1"/>
        <s v="EXTRUDER SECUNDARIO B" u="1"/>
        <s v="RODILLO EMBOBINADOR" u="1"/>
        <s v="RODILLOS HALADORES  RODILLO EM" u="1"/>
        <s v="RODILLOS LAMINADORES AUX" u="1"/>
        <s v="RODILLO APLICACION SILICONA" u="1"/>
        <s v="SECADOR A SECADOR A EXT PPAL" u="1"/>
        <s v="SECADOR EXTRUDER B" u="1"/>
        <s v="SECADOR MTO A" u="1"/>
        <s v="SECADOR MTO-EXTRUDER B" u="1"/>
        <s v="CONSOLA PRINCIPAL PC" u="1"/>
        <s v="MOLDE EXTRUSION" u="1"/>
        <s v="EXTRUSORA LATERAL B EXT LATERA" u="1"/>
        <s v="EXTRUSORA LATERAL C EXT AUX C" u="1"/>
        <s v="EXTRUSORA LATERAL D EXT AUX D" u="1"/>
        <s v="EXTRUDER LATERAL B SIST. ALIM." u="1"/>
        <s v="SIST. ALIM.-EXTRUDER LATERAL C" u="1"/>
        <s v="SIST. ALIM.-EXTRUDER LATERAL D" u="1"/>
        <s v="EXTRUSORA CENTRAL" u="1"/>
        <s v="RODILLOS HALADORES RODILLOS HA" u="1"/>
        <s v="EXT LATERAL B SIST. ALIM." u="1"/>
        <s v="IMPRESORA MULTICOLOR" u="1"/>
        <s v="APILADOR " u="1"/>
        <s v="CHILLER FRIGEL REFRIGERACION" u="1"/>
        <s v="ESTACION DE FORMADO " u="1"/>
        <s v="HORNO HORNO" u="1"/>
        <s v="TABLERO DE CONTROL PRINCIPAL T" u="1"/>
        <s v="TABLERO CONTROL" u="1"/>
        <s v="PELETIZADORA" u="1"/>
        <s v="EXTRUDER" u="1"/>
        <s v="GRANULADOR" u="1"/>
        <s v="SISTEMA ALIMENTACION" u="1"/>
        <s v="BANDEJA DE SALIDA" u="1"/>
        <s v="LINEA DE REFRIGERACION" u="1"/>
        <s v="TABLERO FUERZA TABLERO ELECTRI" u="1"/>
        <s v="CUERPO DESEMBOBINADOR DESBOBIN" u="1"/>
        <s v="SELLADORA VERTICAL SELLADORA V" u="1"/>
        <s v="MAC DUE MAC DUE SELL PRE" u="1"/>
        <s v="TABLERO DRIVE TABLERO DE CONTR" u="1"/>
        <s v="COMPUTADOR MICROPHASER  CTRL E" u="1"/>
        <s v="CUERPO TROQUELADORA TROQ" u="1"/>
        <s v="MOTOR BLOWER MOTOR PRINCIPAL" u="1"/>
        <s v="MOTOR BLOWER-MOTOR PRINCIPAL" u="1"/>
        <s v="MOTOR ALIM.-TOLVA VIRGEN" u="1"/>
        <s v="TERMOFORMADORA 32" u="1"/>
        <s v="LAMPARA ULTRAVIOLETA 01" u="1"/>
        <s v="AEROLOCK-SISTEMA A" u="1"/>
        <s v="SILOS HPPS DE LINEA 22" u="1"/>
        <s v="SILOS HPPS DE LINEA 23" u="1"/>
        <s v="AEROLOCK SISTEMA G" u="1"/>
        <s v="CHILLER FRIGEL RCP 130 HF" u="1"/>
        <s v="MOTOR BOMBA HIDRAULICA CAMBIA MALLAS" u="1"/>
        <s v="MOTOR BOMBA REFRIGERACION 2" u="1"/>
        <s v="REDUCTOR RODILLO INFERIOR" u="1"/>
        <s v="REDUCTOR TROQUEL INFERIOR" u="1"/>
        <s v="MOTOR SUCC. B RIG. 2 PREMIER" u="1"/>
        <s v="BOMBA TIPO TURBINA IZQ." u="1"/>
        <s v="MOTOR BOMBA SISTEMA HIDRAULICO" u="1"/>
        <s v="CAJA REDUCCION -EXTR CENTRAL" u="1"/>
        <s v="MOTOR CANOPY INFERIOR" u="1"/>
        <s v="LAMPARA ULTRAVIOLETA 02" u="1"/>
        <s v="BOMBA RODILLO SUPERIOR" u="1"/>
        <s v="MOTOR ACCIONAMIENTO VENTOSAS" u="1"/>
        <s v="MOTOR RODILLO SUPERIOR" u="1"/>
        <s v="REDUCTOR CANOPY SUPERIOR" u="1"/>
        <s v="MOTOR SOPLADOR SIST SECADO &quot;B&quot;" u="1"/>
        <s v="CAJA REDUCCION-TOLVA VIRGEN" u="1"/>
        <s v="ESTACION CTRL SALIDA RODILLOS" u="1"/>
        <s v="SECADOR DE AIRE HB 1200" u="1"/>
        <s v="TABLERO ELECTRICO 01" u="1"/>
        <s v="SOPLADOR SISTEMA MOLIDO AA" u="1"/>
        <s v="SELLADORA 1 VERTROD" u="1"/>
        <s v="SELLADORA 2 VERTROD" u="1"/>
        <s v="MOTOR SOPLADOR PET MOLIDO LYLE" u="1"/>
        <s v="REDUCTOR" u="1"/>
        <s v="TABLERO ELECTRICO 03" u="1"/>
        <s v="LAMPARA ULTRAVIOLETA 03" u="1"/>
        <s v="COMPRESOR 6  R110IU-A125" u="1"/>
        <s v="COMPRESOR 7  SSR" u="1"/>
        <s v="TRANSFORMADOR TABLERO CONTROL" u="1"/>
        <s v="REDUCTOR RODILLO VEL VARIABLE" u="1"/>
        <s v="SISTEMA F" u="1"/>
        <s v="CHILLER TRANE RTHC" u="1"/>
        <s v="CHILLER TRANE RTHD" u="1"/>
        <s v="CAJA CTRL LLENADO TOLVA MOLIDO" u="1"/>
        <s v="SELLADORA VERTICAL" u="1"/>
        <s v="TABLERO ELECTRICO 05" u="1"/>
        <s v="CHILLER TRANE RTHD OPTIMUS" u="1"/>
        <s v="BOMBA REFRIGERACION DE ACEITE" u="1"/>
        <s v="REDUCTOR RODILLO LAMINADOR MEDIO" u="1"/>
        <s v="MTOR SPLADOR SIST. SECADO &quot;A&quot;" u="1"/>
        <s v="MAGUIRE-EXTRUDER PRINCIPAL SIST. ALIM. " u="1"/>
        <s v="PANEL DE CONTROL RODILLOS" u="1"/>
        <s v="LAMPARA ULTRAVIOLETA 04" u="1"/>
        <s v="MOTOR DE LA BOMBA CIRCULACION" u="1"/>
        <s v="REDUCTOR DEL ALIMENTADOR" u="1"/>
        <s v="REDUCTOR DEL DESEMBOBINADOR" u="1"/>
        <s v="TABLERO ELECTRICO CHILLER FRIG" u="1"/>
        <s v="PRECALENTADOR PRECALENTADOR" u="1"/>
        <s v="SOPLADOR PET MOLIDO LYLE" u="1"/>
        <s v="MOTOR MAGUIRE" u="1"/>
        <s v="MOTOR AEROLOCK-CICLON TF02" u="1"/>
        <s v="TROQUEL RODHE SM 420" u="1"/>
        <s v="RODILLO HALADOR" u="1"/>
        <s v="MOTOR BLOWER SUCCION 1" u="1"/>
        <s v="MOTOR AEROLOCK-CICLON TF03" u="1"/>
        <s v="MOTOR BLOWER SUCCION 2" u="1"/>
        <s v="BOMBA CIRCUITO CALENTAMIENTO REBORDEADORA DE VASOS" u="1"/>
        <s v="LAMPARA ULTRAVIOLETA 05" u="1"/>
        <s v="MOTOR BOMBA RODILLO MEDIO" u="1"/>
        <s v="REDUCTOR MOLDE INFERIOR" u="1"/>
        <s v="PANEL CTRL PRINCIPAL EXTRUSORA" u="1"/>
        <s v="MOTOR DEL ALIMENTADOR" u="1"/>
        <s v="TABLERO ELECTRICO EMPACACDORA 1" u="1"/>
        <s v="MOTOR BOMBA DE VACIO 1" u="1"/>
        <s v="MOTOR BOMBA DE VACIO 2" u="1"/>
        <s v="MOTOR ALIM.-TOLVA TALCO" u="1"/>
        <s v="MELT PUMP" u="1"/>
        <s v="TABLERO DE POTENCIA" u="1"/>
        <s v="COMPRESOR RS 185I" u="1"/>
        <s v="CAJA DE REDUCCION -EXTRUDER 6&quot;" u="1"/>
        <s v="REDUCTOR RODILLO MEDIO" u="1"/>
        <s v="REDUCTOR BANDA TRANSP. SALIDA" u="1"/>
        <s v="REDUCTOR DEL EXPULSOR" u="1"/>
        <s v="AIRE ACONDICIONADO DRIVE 1" u="1"/>
        <s v="AIRE ACONDICIONADO DRIVE 2" u="1"/>
        <s v="LAMPARA ULTRAVIOLETA 06" u="1"/>
        <s v="TABLERO DE CONTROL SISTEMA E" u="1"/>
        <s v="MAGUIRE-EXTRUDER PRINCIPAL" u="1"/>
        <s v="BOMBA HIDRAULICA CAMBIA MALLAS" u="1"/>
        <s v="COMPRESOR R 90-160 IV" u="1"/>
        <s v="BOMBA REFRIG BARRIL -EXTR LAT" u="1"/>
        <s v="CAJA REDUCCION-TOLVA MOLIDO" u="1"/>
        <s v="PANEL CONTROL - TROQUELADORA" u="1"/>
        <s v="REDUCTOR BANDA" u="1"/>
        <s v="MOTOR MOLDE INFERIOR" u="1"/>
        <s v="AIRE ACONDICIONADO DRIVE" u="1"/>
        <s v="DESEMBOBINADOR DESEMBOBINADOR" u="1"/>
        <s v="MOTOR DEL DESEMBOBINADOR" u="1"/>
        <s v="BOTONERA DESENCARRADOR" u="1"/>
        <s v="SIST. REFRIG. RODILLOS" u="1"/>
        <s v="TANQUE DE AGUA DE TORRES" u="1"/>
        <s v="TABLERO DE POTENCIA EMPACADORA MAC DUE" u="1"/>
        <s v="CAJA DE REDUCCION - EXTRUDER" u="1"/>
        <s v="TRANSFORMADOR FORMADORA" u="1"/>
        <s v="TABLERO CONTROL PRINCIPAL" u="1"/>
        <s v="REDUCTOR RODILLO SUPERIOR" u="1"/>
        <s v="SISTM. HIDRAUL. INYEC. SOPLADO" u="1"/>
        <s v="MOTOR SOPLADOR MOL RIG. LYLE" u="1"/>
        <s v="RED DE AIRE COMPRIMIDO" u="1"/>
        <s v="PRECALENTADOR DE LAMINA" u="1"/>
        <s v="MOTOR CADENA HORNO" u="1"/>
        <s v="MOTOR BOMBA CIRCUITO CALENT." u="1"/>
        <s v="MOTOR DEL LOS PLUGS" u="1"/>
        <s v="SELLADORA 12 VERTICAL" u="1"/>
        <s v="SISTEMA DE ALIMENTACION PELETI" u="1"/>
        <s v="BLOWER SUCCIONADOR TAN O6 A" u="1"/>
        <s v="REDUCTOR DE LA CADENA " u="1"/>
        <s v="MOTOREDUCTOR" u="1"/>
        <s v="MOLDE DE EXTTRUSION" u="1"/>
        <s v="EMPACADORA MAC DUE MEDISA 4937" u="1"/>
        <s v="BOMBA RODILLO LAMINADOR INFERIOR" u="1"/>
        <s v="MOTOR EMBOBINADOR DE TIRA RENNCO 1" u="1"/>
        <s v="MOTOR ELECTRICO SECADOR RESINA" u="1"/>
        <s v="SOPLADOR COEXTRUSORA" u="1"/>
        <s v="MOTOR EMBOBINADOR DE TIRA RENNCO 2" u="1"/>
        <s v="CAJA REDUCCION-TOLVA MEZCLA" u="1"/>
        <s v="MOTOR DEL CANOPY" u="1"/>
        <s v="BOMBA DE VACIO FORMADORA" u="1"/>
        <s v="TABLERO FUERZA FORMADORA" u="1"/>
        <s v="REDUCTOR MAGUIRE SIST. ALIM. EXTRUDER PRINCIPAL" u="1"/>
        <s v="MOTOR SUCCIONAD TNDEM 1 Y PELE" u="1"/>
        <s v="REDUCTOR BANDA ALIMENTACION EMPACADORA MAC DUE" u="1"/>
        <s v="SILO INTERM. HPPS VIRGEN RIG." u="1"/>
        <s v="MOTOR RODILLOS" u="1"/>
        <s v="REDUCTOR CADENA TRACCION-ROD." u="1"/>
        <s v="MOLINO AUXILIAR" u="1"/>
        <s v="TABLERO DE CONTROL-DISPLAY" u="1"/>
        <s v="FORMADORA TF 39 RODHE 420" u="1"/>
        <s v="TABLERO ELECT. PRECALENTADOR" u="1"/>
        <s v="BOMBA RODILLO LAMINADOR MEDIO" u="1"/>
        <s v="SELLADORA 4 VERTICAL" u="1"/>
        <s v="SELLADORA 6 VERTICAL" u="1"/>
        <s v="SELLADORA 7 VERTICAL" u="1"/>
        <s v="SELLADORA 9 VERTICAL" u="1"/>
        <s v="ESTACION DE FORMADO FORMADO" u="1"/>
        <s v="REDUCTOR 90º-TOLVA MOLIDO" u="1"/>
        <s v="SECADOR" u="1"/>
        <s v="EMBOBINADOR DE SCRAP EMBOBINAD" u="1"/>
        <s v="TABLERO DE CONTROL BOMBAS" u="1"/>
        <s v="PANEL DE CONTROL - MOLINO" u="1"/>
        <s v="MOTOR SOPLADOR SILOS SYCSA" u="1"/>
        <s v="MOTOR CANOPY SUPERIOR" u="1"/>
        <s v="REDUCTOR RODILLO VEL. FIJA" u="1"/>
        <s v="MOTOR BOMBA REFRIG. 1" u="1"/>
        <s v="TRASLADOR" u="1"/>
        <s v="MOTOR ACCION. TRANS PRINCIPAL" u="1"/>
        <s v="SOPLADOR SISTEMA MOLIDO F" u="1"/>
        <s v="MOTOR BOMBA VACIO 1 (COSTADO)" u="1"/>
        <s v="SIST. ALIMENTACIÓN TANDEM 1" u="1"/>
        <s v="SISTEMA HIDRAULICO RODILLOS LAMINADORES" u="1"/>
        <s v="BOMBA TIPO TURBINA DER." u="1"/>
        <s v="AIRE ACONDICIONADO" u="1"/>
        <s v="BOMBA LEWA 1" u="1"/>
        <s v="BOMBA SISTEMA HIDRAULICO" u="1"/>
        <s v="BOMBA MOKON" u="1"/>
        <s v="SIST. ALIM. EXTRUDER LATERAL" u="1"/>
        <s v="SIST. ALIM.-EXTRUDER LATERAL" u="1"/>
        <s v="MOTOR SISTEMA HIDRAULICO" u="1"/>
        <s v="SOPLADOR SISTEMA MOLIDO D" u="1"/>
        <s v="TRANSFORMADOR DRIVE 6&quot;" u="1"/>
        <s v="MOTOR BOMBA REFRIG. BARRIL" u="1"/>
        <s v="UND TRATAM CORONA-IMP VAN DAM" u="1"/>
        <s v="BASCULA FAIRBANK SCALE IND-HR2" u="1"/>
        <s v="DRIVE MOTOR PRINCIPAL" u="1"/>
        <s v="MOTOR TROQUEL" u="1"/>
        <s v="SOPLADOR SISTEMA MOLIDO B" u="1"/>
        <s v="SISTEMA REFRIGERACION PELETIZA" u="1"/>
        <s v="MOTOR MECANISMO HALADOR" u="1"/>
        <s v="BLOWER DEL MOTOR PRINCIPAL" u="1"/>
        <s v="SECADOR DE AIRE D6800INA" u="1"/>
        <s v="TORRE ENFR. PROTEC" u="1"/>
        <s v="MOTOR PRINCIPAL" u="1"/>
        <s v="REDUCTOR MOLDE SUP. (TOP)FORMADORA" u="1"/>
        <s v="REDUCTOR RODILLOS HALADORES" u="1"/>
        <s v="SISTEMA NEUMATICO PRESION SIST" u="1"/>
        <s v="COMPRESOR ATLAS COPCO" u="1"/>
        <s v="SUCCIONAD. B RIG.2 PREMIER MOL" u="1"/>
        <s v="INYECTORA FORMADORA AOKI" u="1"/>
        <s v="AIRE ACONDICIONADO TABLERO FORMADORA" u="1"/>
        <s v="MOTOR RODILLOS HALADORES HALADORES" u="1"/>
        <s v="SUCCIONADOR B RIGIDOS 2" u="1"/>
        <s v="BOMBA JOCKEY" u="1"/>
        <s v="MOTOR DEL TROQUEL" u="1"/>
        <s v="REDUCTOR AEROLOCK-CICLON TF03 SIST. ALIM. EXTRUDER PRINCIPAL" u="1"/>
        <s v="UNIDAD MOLDE SUPERIOR AOKY" u="1"/>
        <s v="MOTOR ALIM.-TOLVA MOLIDO" u="1"/>
        <s v="BOMBA DE VACIO 1" u="1"/>
        <s v="CAMBIAMALLAS" u="1"/>
        <s v="PANEL DE CONTROL-PANAMATE" u="1"/>
        <s v="COMPRESOR 9 (SSRE-FX150)" u="1"/>
        <s v="MOTOR REDUCTOR MOLDE INFERIOR" u="1"/>
        <s v="AIRE ACONDICIONADO TABLERO" u="1"/>
        <s v="MAGUIRE" u="1"/>
        <s v="MOTOREDUCTOR ROD PRECALENTADOR" u="1"/>
        <s v="MOTOREDUCTOR ROD.PRECALENTADOR" u="1"/>
        <s v="TABLERO ELECTRICOEMPACADORA RENNCO 2" u="1"/>
        <s v="BOMBA BAT-3 (EXTRUSION)" u="1"/>
        <s v="REDUCTOR DE LA MELT PUMP" u="1"/>
        <s v="MOTOR REDUCTOR" u="1"/>
        <s v="MOTOR EMBOBINADOR DE SOBRANTE" u="1"/>
        <s v="REDUCTOR EMBOBINADOR DERECHO" u="1"/>
        <s v="MOTOR SUCCIONADOR MAT. MOLIDO" u="1"/>
        <s v="BOMBA LEWA 2" u="1"/>
        <s v="MOTOREDUCTOR MOLDE SUPERIOR" u="1"/>
        <s v="SISTM. NEUMATIC. INYEC. SOPLAD" u="1"/>
        <s v="MOTOR BOMBA RODILLO SUPERIOR" u="1"/>
        <s v="MONTACARGA ORDERPICKER" u="1"/>
        <s v="TABLERO ELECTRICO EMPACADORA RENNCO 1" u="1"/>
        <s v="MOTOR AUXILIAR DEL ALIMENTADOR" u="1"/>
        <s v="SOPLADOR SILOS SYCSA(VOLCADOR)" u="1"/>
        <s v="MOTOR BOMBA DE VACIO" u="1"/>
        <s v="SIST. ALIM. EXTRUDER PRINCIPAL" u="1"/>
        <s v="AIRE ACONDICIONADO MICROPHASER" u="1"/>
        <s v="MOTOR DESEMBOBINADOR" u="1"/>
        <s v="HORNO FORMADORA" u="1"/>
        <s v="PRECALENTADOR CUCHILLAS" u="1"/>
        <s v="BANDA TRANSPORTE" u="1"/>
        <s v="SISTEMA A DE MOLIDO" u="1"/>
        <s v="SISTEMA B DE MOLIDO" u="1"/>
        <s v="SISTEMA C DE MOLIDO" u="1"/>
        <s v="SISTEMA D DE MOLIDO" u="1"/>
        <s v="SISTEMA E DE MOLIDO" u="1"/>
        <s v="SISTEMA G DE MOLIDO" u="1"/>
        <s v="PELETIZADORA SJ-150" u="1"/>
        <s v="BOMBA RODILLO  LAMINADOR SUPERIOR" u="1"/>
        <s v="SECADOR MATERIAL MATSUI" u="1"/>
        <s v="MOTOR DE LA CADENA HORNO" u="1"/>
        <s v="SIST. ALIMENTACIÓN TANDEM 4" u="1"/>
        <s v="MOLINO CUMBERLAND" u="1"/>
        <s v="MOTOR BOMBA VACIO 2-SOBRE MAQ" u="1"/>
        <s v="TABLERO ELECTRICO SELLADORA VERTICAL" u="1"/>
        <s v="SOPLADOR MOLIDO RIG. LYLE" u="1"/>
        <s v="MOTOR ELEVADOR DESEMBOBINADOR" u="1"/>
        <s v="MOTOR REDUCTOR DESEMBOBINADOR" u="1"/>
        <s v="BOMBA REFRIG BARRIL-EXTR LAT" u="1"/>
        <s v="REDUCTOR MOLDE SUPERIOR" u="1"/>
        <s v="RED DE AGUA CONTRA INCENDIOS" u="1"/>
        <s v="REDUCTOR DEL CANOPY" u="1"/>
        <s v="MOTOR DEL BLOWER - MOLINO" u="1"/>
        <s v="MOTOR BOMBA REFRIG. 2" u="1"/>
        <s v="SISTEMA NEUMATICO EMPACADORA MAC DUE" u="1"/>
        <s v="MOTOR LEVANTAMIENTO DE PLACAS" u="1"/>
        <s v="TABLERO ELECTRICO DE FUERZA" u="1"/>
        <s v="MOTOR BLOWER INF.-UNIDAD UV" u="1"/>
        <s v="MOTOR BLOWER SUP.-UNIDAD UV" u="1"/>
        <s v="TABLERO ELECTRICO 02" u="1"/>
        <s v="REDUCTOR 90º-TOLVA PIGMENTO" u="1"/>
        <s v="REDUCTOR MAGUIRE" u="1"/>
        <s v="CAJA DE REDUCCION - EXTRUSORA" u="1"/>
        <s v="REDUCTOR TROQUEL" u="1"/>
        <s v="COMPRESOR 1 (SSR)" u="1"/>
        <s v="CELDA DE FUERZA DRIVE 4.5&quot;" u="1"/>
        <s v="COMPRESOR 2 (SSR)" u="1"/>
        <s v="SISTEMA NEUMATICO RODHE SM 420" u="1"/>
        <s v="COMPRESOR 3 (SSR)" u="1"/>
        <s v="EXTRUDER 4.5&quot;" u="1"/>
        <s v="CAMARA DE SECADO 03" u="1"/>
        <s v="COMPRESOR 4 (SSR)" u="1"/>
        <s v="MOTOR DEL BLOWER" u="1"/>
        <s v="PANEL CONTROL ALIMENTACION" u="1"/>
        <s v="CAMARA DE SECADO SCREEN 01" u="1"/>
        <s v="TABLERO ELECTRICO 06" u="1"/>
        <s v="CAMARA DE SECADO SCREEN 02" u="1"/>
        <s v="REDUCTOR BANDA TRANSPORTADORA" u="1"/>
        <s v="SISTEMA DE INYECCIÓN DE BUTANO" u="1"/>
        <s v="MOTOR DEL MOLINO" u="1"/>
        <s v="SOPLADOR SILO INTERMEDIO RIG." u="1"/>
        <s v="MOTOR DEL EXPULSOR" u="1"/>
        <s v="REDUCTOR EMBOBINADOR IZQUIERDO" u="1"/>
        <s v="CAMARA DE SECADO 04" u="1"/>
        <s v="MOTOR DEL SOPLADOR GPPS V" u="1"/>
        <s v="BOMBA DE VACIO" u="1"/>
        <s v="AIRE ACONDICIONADO FUERZA" u="1"/>
        <s v="MOTOR DE LA MELT PUMP" u="1"/>
        <s v="MOTOR BOMBA DE VACIO FORMADORA" u="1"/>
        <s v="REFRIGERACION REFRIGERACION FO" u="1"/>
        <s v="REDUCTOR DEL TROQUEL" u="1"/>
        <s v="REDUCTOR AEROLOCK-CICLON TF03" u="1"/>
        <s v="BOMBA AGUA INDUSTRIAL 1 (IZQ.)" u="1"/>
        <s v="PANEL CTRL RODILLOS HALADORES" u="1"/>
        <s v="REDUCTOR RODILLO LAMINADOR  INFERIOR" u="1"/>
        <s v="REDUCTOR AEROLOCK-CICLON TF02" u="1"/>
        <s v="BOMBA REFRIG BARRIL -EXTR 4.5&quot;" u="1"/>
        <s v="BOMBA RODILLO MEDIO" u="1"/>
        <s v="MOTOR EMBOBINADOR DERECHO" u="1"/>
        <s v="SELLADORA BESELER SELLADO X 20" u="1"/>
        <s v="SUCCIONADOR TANDEM 4" u="1"/>
        <s v="MOTOR RODILLO MEDIO" u="1"/>
        <s v="MOTOR MOLDE SUPERIOR" u="1"/>
        <s v="MOTOREDUCTOR MOLDE INFERIOR" u="1"/>
        <s v="REDUCTOR CANOPY INFERIOR" u="1"/>
        <s v="MOTOR BOMBA VACIO" u="1"/>
        <s v="MAGUIRE SIST. ALIM. EXTRUDER PRINCIPAL" u="1"/>
        <s v="REDUCTOR BANDA TRANSP. SALIDA EMPACADORA MAC DUE" u="1"/>
        <s v="MOTOR RODILLO VEL. VARIABLE" u="1"/>
        <s v="REDUCTOR MOLDE SUP. (TOP)" u="1"/>
        <s v="MOTOR VENTILADOR" u="1"/>
        <s v="BOMBA BAT-2 (CHILLER)" u="1"/>
        <s v="MOTOR IZQUIERDO DEL MOLINO" u="1"/>
        <s v="MOTOR BOMBA RECIRCUL. ACEITE" u="1"/>
        <s v="MOTOR AEROLOCK SISTEMA G" u="1"/>
        <s v="SUCCIONADOR TANDEM 2 Y 3" u="1"/>
        <s v="REDUCTOR MOLDE" u="1"/>
        <s v="BOMBA DE VACIO 2" u="1"/>
        <s v="TABLERO PRECALENTADOR" u="1"/>
        <s v="EXTRUDER 6&quot;" u="1"/>
        <s v="MOTOR BOMBA RODILLO INFERIOR" u="1"/>
        <s v="BOMBA CENTRIFUGA" u="1"/>
        <s v="MOTOR ELECTRICO INYECTORA SOPL" u="1"/>
        <s v="BOMBA MOKON IZQUIERDA" u="1"/>
        <s v="TABLERO CNTRL SISTEMAS A-D" u="1"/>
        <s v="MOTOR BOMBA IZQUIERDA" u="1"/>
        <s v="BOMBA AGUA IND. 2 (DER.)" u="1"/>
        <s v="REBORDEADORA BROWN" u="1"/>
        <s v="MOTOR CLUTCH" u="1"/>
        <s v="SIST. REFRIG. RODILLOS LAMINADORES" u="1"/>
        <s v="SIST. REFRIGERACIÓN RODILLOS" u="1"/>
        <s v="EMPACADORA" u="1"/>
        <s v="SISTEMA DE MOLIDO A" u="1"/>
        <s v="MOTOR BLOWER A TAN 06" u="1"/>
        <s v="MOTOR EMBOBINADOR" u="1"/>
        <s v="REDUCTOR DEL CANOPY SUPERIOR" u="1"/>
        <s v="MOTOR RODILLO HALADOR" u="1"/>
        <s v="DESHUMIFICADOR CABINA FORMADO" u="1"/>
        <s v="SELLADORA 8 VERTICAL NAL" u="1"/>
        <s v="SISTEMA DE SELLADO Y CORTE" u="1"/>
        <s v="REDUCTOR AEROLOCK-CICLON EX03" u="1"/>
        <s v="TORRE DE ENFRIAMIENTO 1" u="1"/>
        <s v="SUCCIONADOR A RIGIDOS" u="1"/>
        <s v="TABLERO ELECTRIC INYEC. SOPLAD" u="1"/>
        <s v="REDUCTOR RODILLO LAMINADOR SUPERIOR" u="1"/>
        <s v="REDUCTOR DESEMBOBINADOR" u="1"/>
        <s v="CAJA DE REDUCCION" u="1"/>
        <s v="BOMBA REFRIGERACION 1" u="1"/>
        <s v="MOTOR PRINCIPAL - EXTRUSORA" u="1"/>
        <s v="CAJA REDUCCION-TOLVA PIGMENTO" u="1"/>
        <s v="MOTOR BLOWER" u="1"/>
        <s v="MOTOR CADENA TRACCION RODILLOS" u="1"/>
        <s v="AIRE ACONDICIONADO TABLERO PRINCIPAL" u="1"/>
        <s v="EMPACADORA MAC DUE" u="1"/>
        <s v="BOMBA DE VACIO-DESENCARRADOR" u="1"/>
        <s v="UNIDAD ULTRAVIOLETA 01" u="1"/>
        <s v="UNIDAD ULTRAVIOLETA 02" u="1"/>
        <s v="UNIDAD ULTRAVIOLETA 03" u="1"/>
        <s v="UNIDAD ULTRAVIOLETA 04" u="1"/>
        <s v="UNIDAD ULTRAVIOLETA 05" u="1"/>
        <s v="UNIDAD ULTRAVIOLETA 06" u="1"/>
        <s v="TABLERO DE CONTROL EMPACADORA MAC DUE" u="1"/>
        <s v="TORRE DE ENFRIAMIENTO 2" u="1"/>
        <s v="MOTOR SUCCIONADOR B RIGIDOS 2" u="1"/>
        <s v="SISTEMA HIDRAULICO RODILLOS" u="1"/>
        <s v="REDUCTOR MOLDE INF. (BOTTOM) FORMADORA" u="1"/>
        <s v="MOTOR DE LA CADENA HORNO ELECTRICO" u="1"/>
        <s v="MOTOR DERECHO DEL MOLINO" u="1"/>
        <s v="MOTOR MOLDE" u="1"/>
        <s v="MOTOR DEL CANOPY INFERIOR" u="1"/>
        <s v="CLUTCH / BRAKE" u="1"/>
        <s v="MOTOR DADOS REBORDEADORA" u="1"/>
        <s v="TABLERO ELECTRICO SECADOR MATS" u="1"/>
        <s v="SUCCIONADOR TANDEM 1 Y PELETIZ" u="1"/>
        <s v="EXTRUSORA LATERAL" u="1"/>
        <s v="REDUCTOR CADENA TRAC RODILLOS LAMINADOR" u="1"/>
        <s v="BOMBA REFRIG. BARRIL" u="1"/>
        <s v="SOPLADOR MOLINO GRANUTEC" u="1"/>
        <s v="CAJA CONEX.PREMIER-TLVA VIRGEN" u="1"/>
        <s v="CAJA CTRL LLENADO TOLVA VIRGEN" u="1"/>
        <s v="MOTOR BOMBA REFRIGERACION" u="1"/>
        <s v="MOTOR PRINCIPAL -EXTRUDER 4.5&quot;" u="1"/>
        <s v="PANEL CONTROL-RODILLOS" u="1"/>
        <s v="CELDA DE FUERZA DRIVE 6&quot;" u="1"/>
        <s v="BOMBA DE RECIRCULACION ACEITE" u="1"/>
        <s v="PANEL PULSADORAS TROQUELADORA" u="1"/>
        <s v="PANEL PULSADORES TROQUELADORA" u="1"/>
        <s v="PANEL PULSADORES-TROQUELADORA" u="1"/>
        <s v="MOTOR REDUCTOR MOLDE SUPERIOR" u="1"/>
        <s v="MOTOR ALIM.-TOLVA MEZCLA" u="1"/>
        <s v="SECADOR DE AIRE TZB2700-EMS" u="1"/>
        <s v="REDUCTOR 90º-TOLVA TALCO" u="1"/>
        <s v="MOTOR EMBOBINADOR DE TIRA" u="1"/>
        <s v="REDUCTOR CADENA TRAC RODILLOS" u="1"/>
        <s v="REDUCTOR DESEMBOBINADOR EMPACADORA MAC DUE" u="1"/>
        <s v="TABLERO ELECTRICO FORMADORA" u="1"/>
        <s v="FORMADORA RODHE SM 420/36" u="1"/>
        <s v="MOTOR EMBOBINADOR IZQUIERDO" u="1"/>
        <s v="MOTOR BOMBA DERECHA" u="1"/>
        <s v="SOPLADOR SISTEMA MOLIDO E" u="1"/>
        <s v="PANEL DE CONTROL DEL BUDZAR" u="1"/>
        <s v="BOMBA REFRIG. 1 - EXTRUDER 6&quot;" u="1"/>
        <s v="BOMBA REFRIG. 2 - EXTRUDER 6&quot;" u="1"/>
        <s v="BOMBA BAT-0 (CHILLER Y EREMA)" u="1"/>
        <s v="BOMBA BAT-1 (CHILLER Y EREMA)" u="1"/>
        <s v="GRANULADOR PELIZADORA" u="1"/>
        <s v="MOTOR AEROLOCK-CICLON EXT03" u="1"/>
        <s v="MOTOR PRINCIPAL - EXTRUDER 6&quot;" u="1"/>
        <s v="CAJA REDUCCION-TOLVA TALCO" u="1"/>
        <s v="CIRCUITO DE AGUA MOKON" u="1"/>
        <s v="MOLDE DE EXTRUSION" u="1"/>
        <s v="REDUCTOR RODILLOS HALADORES HALADORES" u="1"/>
        <s v="MOTOR DADOS - REBORDEADORA" u="1"/>
        <s v="MOTOR SUCCIONADOR TANDEM 2 Y 3" u="1"/>
        <s v="COMPRESOR DE ALTA" u="1"/>
        <s v="SOPLADOR SISTEMA MOLIDO C" u="1"/>
        <s v="PRECALENTADOR LAMINA" u="1"/>
        <s v="TABLERO FUERZA TROQUELADORA" u="1"/>
        <s v="TABLERO FUERZA-TROQUELADORA" u="1"/>
        <s v="BOMBA CIRCUITO CALENTAMIENTO" u="1"/>
        <s v="BOMBA HIDRAULICA" u="1"/>
        <s v="MOTOR REDUCTOR TROQUEL INFERIO" u="1"/>
        <s v="MOTOREDUCTOR DESEMBOBINADOR" u="1"/>
        <s v="REDUCTOR 90º-TOLVA VIRGEN" u="1"/>
        <s v="PANEL CONTROL SISTEMA NUCOM" u="1"/>
        <s v="PANEL DE PULSADORAS" u="1"/>
        <s v="MOTOR ALIM.-TOLVA PIGMENTO" u="1"/>
        <s v="MOTOR DE LA CADENA" u="1"/>
        <s v="MOTOR ELECTRICO CHILLER FRIGEL" u="1"/>
        <s v="SOPLADOR SISTEMA MOLIDO A" u="1"/>
        <s v="REDUCTOR DESEMBOBINADOR ELEVAD" u="1"/>
        <s v="MOTOR DEL SERVO PICK" u="1"/>
        <s v="SUCCIONADOR MOLIDO HPPS COEX" u="1"/>
        <s v="SECADOR DE AIRE TZ500-EMS" u="1"/>
        <s v="BOMBA MOKON DERECHA" u="1"/>
        <s v="MOTOR SUCCIONADOR A RIGIDOS" u="1"/>
        <s v="REDUCTOR DE LA CADENA" u="1"/>
        <s v="MOREDUCTOR RODILLOS PRECALENTA" u="1"/>
        <s v="TERMOFORMADORA 31" u="1"/>
        <s v="MOTOR CADENA" u="1"/>
        <s v="TABLERO CTRL BOMBAS LEWA" u="1"/>
        <s v="UNIDAD DE TEMPERATURA BUDZAR" u="1"/>
        <s v="MOTOR DE LAS BOMBAS LEWA" u="1"/>
        <s v="ELEVADOR DESEMBOBINADOR" u="1"/>
        <s v="PANEL DE CONTROL SIST. ALIM. " u="1"/>
        <s v="SOPLADOR SIST SECADO &quot;B&quot; TOLVS" u="1"/>
        <s v="REDUCTOR SJ150" u="1"/>
        <s v="REDUCTOR 90º-TOLVA MEZCLA" u="1"/>
        <s v="TABLERO ELECTRICO RENNCO 2" u="1"/>
        <s v="MOTOR RODILLO FIJO" u="1"/>
        <s v="TABLERO ELECTRICO RENNCO 3" u="1"/>
        <s v="BOTONERA MOVIL" u="1"/>
        <s v="MOTOR BANDA" u="1"/>
        <s v="UNIDAD INYECCION AOKY" u="1"/>
        <s v="NDC-RODILLOS LAMINADORES" u="1"/>
        <s v="MOTOR ELECTRICO REDUCTOR" u="1"/>
        <s v="SUCCIONADOR MAT. MOLIDO" u="1"/>
        <s v="REDUCTOR DEL MOLINO" u="1"/>
        <s v="BOMBA CHILLER FRIGEL" u="1"/>
        <s v="MOTOR BOMBA HIDRAULICA" u="1"/>
        <s v="RED DE AGUA DE CONSUMO" u="1"/>
        <s v="MOTOR SUCCIONADOR TANDEM 4" u="1"/>
        <s v="MOTOR AEROLOCK-CICLON TF03 SIST. ALIM. EXTRUDER PRINCIPAL" u="1"/>
        <s v="REDUCTOR MOLDE INF. (BOTTOM)" u="1"/>
        <s v="MOTOR BOMBA HIDRAULICO" u="1"/>
        <s v="REDUCTOR DEL CANOPY INFERIOR" u="1"/>
        <s v="MOTOR BOMBA REFRIG. ACEITE" u="1"/>
        <s v="MOTOREDUCTOR CADENA" u="1"/>
        <s v="TABLERO CONTROL FORMADORA" u="1"/>
        <s v="MOTOR CADENA TRACCION RODILLOS LAMINADORES" u="1"/>
        <s v="BOMBA HIDRAULICA INYECT. SOPLA" u="1"/>
        <s v="TERMFORMADORA GN" u="1"/>
        <s v="MOTOR RODILLOS HALADORES" u="1"/>
        <s v="BOMBA RODILLO INFERIOR" u="1"/>
        <s v="MOTOR RODILLO INFERIOR" u="1"/>
        <s v="MOTOR BOMBA REFRIGERACION 1" u="1"/>
        <s v="BLOWER REGENERACION SECADOR RE" u="1"/>
        <s v="PANEL CTRL CAMBIAMALLAS" u="1"/>
        <s v="PERFORADOR" u="1"/>
        <s v="MOTOR DEL CANOPY SUPERIOR" u="1"/>
        <s v="TABLERO FUERZA TRANSFORMADOR" u="1"/>
        <s v="MOTOR DEL BLOWER SISTEMA ALIMENTACION LAT" u="1"/>
        <s v="MONTACARGA ORDERPICKER   02" u="1"/>
        <s v="RODILLOS EMBOBINADORES 1" u="1"/>
        <s v="SOPLADOR SIST SECADO &quot;A&quot; CRIST" u="1"/>
        <s v="IMPRESORA VAN DAM 520" u="1"/>
        <s v="BOMBA DE REFRIGERACION BARRIL" u="1"/>
        <s v="DESENCARRADOR (ALIM. PRODUCTO)" u="1"/>
        <s v="SECADOR EXTRUDER LATERAL" u="1"/>
        <s v="BOMBA REFRIGERACION 2" u="1"/>
        <s v="REDUCTOR BANDA ALIMENTACION" u="1"/>
        <s v="SOPLADOR GPPS V-PELET-BIG BAG" u="1"/>
        <s v="RODILLOS EMBOBINADORES 2" u="1"/>
        <s v="MOTOR CADENA TRACCION-ROD." u="1"/>
        <s v="MOTOR SOPLADOR SILO INTERMEDIO" u="1"/>
      </sharedItems>
    </cacheField>
    <cacheField name="Especialidad" numFmtId="0">
      <sharedItems containsBlank="1" count="4">
        <s v="ELE"/>
        <s v="MEC"/>
        <m u="1"/>
        <s v=" " u="1"/>
      </sharedItems>
    </cacheField>
    <cacheField name="Maquina"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
  <r>
    <s v="AJM01"/>
    <x v="0"/>
    <s v="Preventivo"/>
    <x v="0"/>
    <x v="0"/>
    <x v="0"/>
    <s v="000000003346"/>
    <x v="0"/>
    <x v="0"/>
    <d v="2025-02-07T10:20:39"/>
    <d v="2025-07-25T11:09:00"/>
    <s v="1073170379"/>
    <s v="Luis Alvaro Rivera Santos"/>
    <n v="0"/>
    <n v="1"/>
    <s v="Y"/>
    <x v="0"/>
    <x v="0"/>
    <x v="0"/>
    <x v="0"/>
    <x v="0"/>
    <x v="0"/>
    <x v="0"/>
    <e v="#N/A"/>
  </r>
  <r>
    <s v="AJM01"/>
    <x v="0"/>
    <s v="Preventivo"/>
    <x v="0"/>
    <x v="0"/>
    <x v="1"/>
    <s v="000000003346"/>
    <x v="0"/>
    <x v="0"/>
    <d v="2025-02-07T10:20:39"/>
    <d v="2025-07-25T11:09:00"/>
    <s v="1073170379"/>
    <s v="Luis Alvaro Rivera Santos"/>
    <n v="0"/>
    <n v="1"/>
    <s v="Y"/>
    <x v="0"/>
    <x v="0"/>
    <x v="0"/>
    <x v="0"/>
    <x v="0"/>
    <x v="0"/>
    <x v="0"/>
    <e v="#N/A"/>
  </r>
  <r>
    <s v="AJM01"/>
    <x v="0"/>
    <s v="Preventivo"/>
    <x v="0"/>
    <x v="0"/>
    <x v="0"/>
    <s v="000000003345"/>
    <x v="1"/>
    <x v="1"/>
    <d v="2025-02-07T10:20:39"/>
    <d v="2025-07-25T11:09:00"/>
    <s v="1073170379"/>
    <s v="Luis Alvaro Rivera Santos"/>
    <n v="0"/>
    <n v="1"/>
    <s v="Y"/>
    <x v="0"/>
    <x v="0"/>
    <x v="0"/>
    <x v="0"/>
    <x v="0"/>
    <x v="0"/>
    <x v="0"/>
    <e v="#N/A"/>
  </r>
  <r>
    <s v="AJM01"/>
    <x v="0"/>
    <s v="Preventivo"/>
    <x v="0"/>
    <x v="0"/>
    <x v="1"/>
    <s v="000000003345"/>
    <x v="1"/>
    <x v="1"/>
    <d v="2025-02-07T10:20:39"/>
    <d v="2025-07-25T11:09:00"/>
    <s v="1073170379"/>
    <s v="Luis Alvaro Rivera Santos"/>
    <n v="0"/>
    <n v="1"/>
    <s v="Y"/>
    <x v="0"/>
    <x v="0"/>
    <x v="0"/>
    <x v="0"/>
    <x v="0"/>
    <x v="0"/>
    <x v="0"/>
    <e v="#N/A"/>
  </r>
  <r>
    <s v="AJM01"/>
    <x v="0"/>
    <s v="Preventivo"/>
    <x v="0"/>
    <x v="0"/>
    <x v="0"/>
    <s v="000000003343"/>
    <x v="2"/>
    <x v="2"/>
    <d v="2025-02-07T10:20:39"/>
    <d v="2025-07-25T11:09:00"/>
    <s v="1073170379"/>
    <s v="Luis Alvaro Rivera Santos"/>
    <n v="0"/>
    <n v="1"/>
    <s v="Y"/>
    <x v="0"/>
    <x v="0"/>
    <x v="0"/>
    <x v="0"/>
    <x v="0"/>
    <x v="0"/>
    <x v="0"/>
    <e v="#N/A"/>
  </r>
  <r>
    <s v="AJM01"/>
    <x v="0"/>
    <s v="Preventivo"/>
    <x v="0"/>
    <x v="0"/>
    <x v="1"/>
    <s v="000000003343"/>
    <x v="2"/>
    <x v="2"/>
    <d v="2025-02-07T10:20:39"/>
    <d v="2025-07-25T11:09:00"/>
    <s v="1073170379"/>
    <s v="Luis Alvaro Rivera Santos"/>
    <n v="0"/>
    <n v="1"/>
    <s v="Y"/>
    <x v="0"/>
    <x v="0"/>
    <x v="0"/>
    <x v="0"/>
    <x v="0"/>
    <x v="0"/>
    <x v="0"/>
    <e v="#N/A"/>
  </r>
  <r>
    <s v="AJM01"/>
    <x v="0"/>
    <s v="Preventivo"/>
    <x v="1"/>
    <x v="1"/>
    <x v="2"/>
    <s v="000000004064"/>
    <x v="3"/>
    <x v="3"/>
    <d v="2025-02-07T10:20:33"/>
    <d v="2025-07-25T11:09:00"/>
    <s v="1073170379"/>
    <s v="Luis Alvaro Rivera Santos"/>
    <n v="0"/>
    <n v="1"/>
    <s v="Y"/>
    <x v="0"/>
    <x v="1"/>
    <x v="0"/>
    <x v="0"/>
    <x v="0"/>
    <x v="1"/>
    <x v="0"/>
    <e v="#N/A"/>
  </r>
  <r>
    <s v="AJM01"/>
    <x v="0"/>
    <s v="Preventivo"/>
    <x v="1"/>
    <x v="1"/>
    <x v="3"/>
    <s v="000000004064"/>
    <x v="3"/>
    <x v="3"/>
    <d v="2025-02-07T10:20:33"/>
    <d v="2025-07-25T11:09:00"/>
    <s v="1073170379"/>
    <s v="Luis Alvaro Rivera Santos"/>
    <n v="0"/>
    <n v="1"/>
    <s v="Y"/>
    <x v="0"/>
    <x v="1"/>
    <x v="0"/>
    <x v="0"/>
    <x v="0"/>
    <x v="1"/>
    <x v="0"/>
    <e v="#N/A"/>
  </r>
  <r>
    <s v="AJM01"/>
    <x v="0"/>
    <s v="Preventivo"/>
    <x v="1"/>
    <x v="1"/>
    <x v="4"/>
    <s v="000000004064"/>
    <x v="3"/>
    <x v="3"/>
    <d v="2025-02-07T10:20:33"/>
    <d v="2025-07-25T11:09:00"/>
    <s v="1073170379"/>
    <s v="Luis Alvaro Rivera Santos"/>
    <n v="0"/>
    <n v="1"/>
    <s v="Y"/>
    <x v="0"/>
    <x v="1"/>
    <x v="0"/>
    <x v="0"/>
    <x v="0"/>
    <x v="1"/>
    <x v="0"/>
    <e v="#N/A"/>
  </r>
  <r>
    <s v="AJM01"/>
    <x v="0"/>
    <s v="Preventivo"/>
    <x v="1"/>
    <x v="1"/>
    <x v="5"/>
    <s v="000000004064"/>
    <x v="3"/>
    <x v="3"/>
    <d v="2025-02-07T10:20:33"/>
    <d v="2025-07-25T11:09:00"/>
    <s v="1073170379"/>
    <s v="Luis Alvaro Rivera Santos"/>
    <n v="0"/>
    <n v="1"/>
    <s v="Y"/>
    <x v="0"/>
    <x v="1"/>
    <x v="0"/>
    <x v="0"/>
    <x v="0"/>
    <x v="1"/>
    <x v="0"/>
    <e v="#N/A"/>
  </r>
  <r>
    <s v="AJM01"/>
    <x v="0"/>
    <s v="Preventivo"/>
    <x v="1"/>
    <x v="1"/>
    <x v="6"/>
    <s v="000000004064"/>
    <x v="3"/>
    <x v="3"/>
    <d v="2025-02-07T10:20:33"/>
    <d v="2025-07-25T11:09:00"/>
    <s v="1073170379"/>
    <s v="Luis Alvaro Rivera Santos"/>
    <n v="0"/>
    <n v="1"/>
    <s v="Y"/>
    <x v="0"/>
    <x v="1"/>
    <x v="0"/>
    <x v="0"/>
    <x v="0"/>
    <x v="1"/>
    <x v="0"/>
    <e v="#N/A"/>
  </r>
  <r>
    <s v="AJM01"/>
    <x v="0"/>
    <s v="Preventivo"/>
    <x v="1"/>
    <x v="1"/>
    <x v="7"/>
    <s v="000000004064"/>
    <x v="3"/>
    <x v="3"/>
    <d v="2025-02-07T10:20:33"/>
    <d v="2025-07-25T11:09:00"/>
    <s v="1073170379"/>
    <s v="Luis Alvaro Rivera Santos"/>
    <n v="0"/>
    <n v="1"/>
    <s v="Y"/>
    <x v="0"/>
    <x v="1"/>
    <x v="0"/>
    <x v="0"/>
    <x v="0"/>
    <x v="1"/>
    <x v="0"/>
    <e v="#N/A"/>
  </r>
  <r>
    <s v="AJM01"/>
    <x v="0"/>
    <s v="Preventivo"/>
    <x v="1"/>
    <x v="1"/>
    <x v="8"/>
    <s v="000000004064"/>
    <x v="3"/>
    <x v="3"/>
    <d v="2025-02-07T10:20:33"/>
    <d v="2025-07-25T11:09:00"/>
    <s v="1073170379"/>
    <s v="Luis Alvaro Rivera Santos"/>
    <n v="0"/>
    <n v="1"/>
    <s v="Y"/>
    <x v="0"/>
    <x v="1"/>
    <x v="0"/>
    <x v="0"/>
    <x v="0"/>
    <x v="1"/>
    <x v="0"/>
    <e v="#N/A"/>
  </r>
  <r>
    <s v="AJM01"/>
    <x v="0"/>
    <s v="Preventivo"/>
    <x v="1"/>
    <x v="1"/>
    <x v="2"/>
    <s v="000000003335"/>
    <x v="4"/>
    <x v="4"/>
    <d v="2025-02-07T10:20:36"/>
    <d v="2025-07-25T11:09:00"/>
    <s v="1073170379"/>
    <s v="Luis Alvaro Rivera Santos"/>
    <n v="0"/>
    <n v="1"/>
    <s v="Y"/>
    <x v="0"/>
    <x v="1"/>
    <x v="0"/>
    <x v="0"/>
    <x v="0"/>
    <x v="2"/>
    <x v="0"/>
    <e v="#N/A"/>
  </r>
  <r>
    <s v="AJM01"/>
    <x v="0"/>
    <s v="Preventivo"/>
    <x v="1"/>
    <x v="1"/>
    <x v="3"/>
    <s v="000000003335"/>
    <x v="4"/>
    <x v="4"/>
    <d v="2025-02-07T10:20:36"/>
    <d v="2025-07-25T11:09:00"/>
    <s v="1073170379"/>
    <s v="Luis Alvaro Rivera Santos"/>
    <n v="0"/>
    <n v="1"/>
    <s v="Y"/>
    <x v="0"/>
    <x v="1"/>
    <x v="0"/>
    <x v="0"/>
    <x v="0"/>
    <x v="2"/>
    <x v="0"/>
    <e v="#N/A"/>
  </r>
  <r>
    <s v="AJM01"/>
    <x v="0"/>
    <s v="Preventivo"/>
    <x v="1"/>
    <x v="1"/>
    <x v="4"/>
    <s v="000000003335"/>
    <x v="4"/>
    <x v="4"/>
    <d v="2025-02-07T10:20:36"/>
    <d v="2025-07-25T11:09:00"/>
    <s v="1073170379"/>
    <s v="Luis Alvaro Rivera Santos"/>
    <n v="0"/>
    <n v="1"/>
    <s v="Y"/>
    <x v="0"/>
    <x v="1"/>
    <x v="0"/>
    <x v="0"/>
    <x v="0"/>
    <x v="2"/>
    <x v="0"/>
    <e v="#N/A"/>
  </r>
  <r>
    <s v="AJM01"/>
    <x v="0"/>
    <s v="Preventivo"/>
    <x v="1"/>
    <x v="1"/>
    <x v="5"/>
    <s v="000000003335"/>
    <x v="4"/>
    <x v="4"/>
    <d v="2025-02-07T10:20:36"/>
    <d v="2025-07-25T11:09:00"/>
    <s v="1073170379"/>
    <s v="Luis Alvaro Rivera Santos"/>
    <n v="0"/>
    <n v="1"/>
    <s v="Y"/>
    <x v="0"/>
    <x v="1"/>
    <x v="0"/>
    <x v="0"/>
    <x v="0"/>
    <x v="2"/>
    <x v="0"/>
    <e v="#N/A"/>
  </r>
  <r>
    <s v="AJM01"/>
    <x v="0"/>
    <s v="Preventivo"/>
    <x v="1"/>
    <x v="1"/>
    <x v="6"/>
    <s v="000000003335"/>
    <x v="4"/>
    <x v="4"/>
    <d v="2025-02-07T10:20:36"/>
    <d v="2025-07-25T11:09:00"/>
    <s v="1073170379"/>
    <s v="Luis Alvaro Rivera Santos"/>
    <n v="0"/>
    <n v="1"/>
    <s v="Y"/>
    <x v="0"/>
    <x v="1"/>
    <x v="0"/>
    <x v="0"/>
    <x v="0"/>
    <x v="2"/>
    <x v="0"/>
    <e v="#N/A"/>
  </r>
  <r>
    <s v="AJM01"/>
    <x v="0"/>
    <s v="Preventivo"/>
    <x v="1"/>
    <x v="1"/>
    <x v="7"/>
    <s v="000000003335"/>
    <x v="4"/>
    <x v="4"/>
    <d v="2025-02-07T10:20:36"/>
    <d v="2025-07-25T11:09:00"/>
    <s v="1073170379"/>
    <s v="Luis Alvaro Rivera Santos"/>
    <n v="0"/>
    <n v="1"/>
    <s v="Y"/>
    <x v="0"/>
    <x v="1"/>
    <x v="0"/>
    <x v="0"/>
    <x v="0"/>
    <x v="2"/>
    <x v="0"/>
    <e v="#N/A"/>
  </r>
  <r>
    <s v="AJM01"/>
    <x v="0"/>
    <s v="Preventivo"/>
    <x v="1"/>
    <x v="1"/>
    <x v="8"/>
    <s v="000000003335"/>
    <x v="4"/>
    <x v="4"/>
    <d v="2025-02-07T10:20:36"/>
    <d v="2025-07-25T11:09:00"/>
    <s v="1073170379"/>
    <s v="Luis Alvaro Rivera Santos"/>
    <n v="0"/>
    <n v="1"/>
    <s v="Y"/>
    <x v="0"/>
    <x v="1"/>
    <x v="0"/>
    <x v="0"/>
    <x v="0"/>
    <x v="2"/>
    <x v="0"/>
    <e v="#N/A"/>
  </r>
  <r>
    <s v="AJM01"/>
    <x v="0"/>
    <s v="Preventivo"/>
    <x v="1"/>
    <x v="1"/>
    <x v="2"/>
    <s v="000000003346"/>
    <x v="0"/>
    <x v="0"/>
    <d v="2025-02-07T10:20:39"/>
    <d v="2025-07-25T11:09:00"/>
    <s v="1073170379"/>
    <s v="Luis Alvaro Rivera Santos"/>
    <n v="0"/>
    <n v="1"/>
    <s v="Y"/>
    <x v="0"/>
    <x v="1"/>
    <x v="0"/>
    <x v="0"/>
    <x v="0"/>
    <x v="0"/>
    <x v="0"/>
    <e v="#N/A"/>
  </r>
  <r>
    <s v="AJM01"/>
    <x v="0"/>
    <s v="Preventivo"/>
    <x v="1"/>
    <x v="1"/>
    <x v="3"/>
    <s v="000000003346"/>
    <x v="0"/>
    <x v="0"/>
    <d v="2025-02-07T10:20:39"/>
    <d v="2025-07-25T11:09:00"/>
    <s v="1073170379"/>
    <s v="Luis Alvaro Rivera Santos"/>
    <n v="0"/>
    <n v="1"/>
    <s v="Y"/>
    <x v="0"/>
    <x v="1"/>
    <x v="0"/>
    <x v="0"/>
    <x v="0"/>
    <x v="0"/>
    <x v="0"/>
    <e v="#N/A"/>
  </r>
  <r>
    <s v="AJM01"/>
    <x v="0"/>
    <s v="Preventivo"/>
    <x v="1"/>
    <x v="1"/>
    <x v="4"/>
    <s v="000000003346"/>
    <x v="0"/>
    <x v="0"/>
    <d v="2025-02-07T10:20:39"/>
    <d v="2025-07-25T11:09:00"/>
    <s v="1073170379"/>
    <s v="Luis Alvaro Rivera Santos"/>
    <n v="0"/>
    <n v="1"/>
    <s v="Y"/>
    <x v="0"/>
    <x v="1"/>
    <x v="0"/>
    <x v="0"/>
    <x v="0"/>
    <x v="0"/>
    <x v="0"/>
    <e v="#N/A"/>
  </r>
  <r>
    <s v="AJM01"/>
    <x v="0"/>
    <s v="Preventivo"/>
    <x v="1"/>
    <x v="1"/>
    <x v="5"/>
    <s v="000000003346"/>
    <x v="0"/>
    <x v="0"/>
    <d v="2025-02-07T10:20:39"/>
    <d v="2025-07-25T11:09:00"/>
    <s v="1073170379"/>
    <s v="Luis Alvaro Rivera Santos"/>
    <n v="0"/>
    <n v="1"/>
    <s v="Y"/>
    <x v="0"/>
    <x v="1"/>
    <x v="0"/>
    <x v="0"/>
    <x v="0"/>
    <x v="0"/>
    <x v="0"/>
    <e v="#N/A"/>
  </r>
  <r>
    <s v="AJM01"/>
    <x v="0"/>
    <s v="Preventivo"/>
    <x v="1"/>
    <x v="1"/>
    <x v="6"/>
    <s v="000000003346"/>
    <x v="0"/>
    <x v="0"/>
    <d v="2025-02-07T10:20:39"/>
    <d v="2025-07-25T11:09:00"/>
    <s v="1073170379"/>
    <s v="Luis Alvaro Rivera Santos"/>
    <n v="0"/>
    <n v="1"/>
    <s v="Y"/>
    <x v="0"/>
    <x v="1"/>
    <x v="0"/>
    <x v="0"/>
    <x v="0"/>
    <x v="0"/>
    <x v="0"/>
    <e v="#N/A"/>
  </r>
  <r>
    <s v="AJM01"/>
    <x v="0"/>
    <s v="Preventivo"/>
    <x v="1"/>
    <x v="1"/>
    <x v="7"/>
    <s v="000000003346"/>
    <x v="0"/>
    <x v="0"/>
    <d v="2025-02-07T10:20:39"/>
    <d v="2025-07-25T11:09:00"/>
    <s v="1073170379"/>
    <s v="Luis Alvaro Rivera Santos"/>
    <n v="0"/>
    <n v="1"/>
    <s v="Y"/>
    <x v="0"/>
    <x v="1"/>
    <x v="0"/>
    <x v="0"/>
    <x v="0"/>
    <x v="0"/>
    <x v="0"/>
    <e v="#N/A"/>
  </r>
  <r>
    <s v="AJM01"/>
    <x v="0"/>
    <s v="Preventivo"/>
    <x v="1"/>
    <x v="1"/>
    <x v="8"/>
    <s v="000000003346"/>
    <x v="0"/>
    <x v="0"/>
    <d v="2025-02-07T10:20:39"/>
    <d v="2025-07-25T11:09:00"/>
    <s v="1073170379"/>
    <s v="Luis Alvaro Rivera Santos"/>
    <n v="0"/>
    <n v="1"/>
    <s v="Y"/>
    <x v="0"/>
    <x v="1"/>
    <x v="0"/>
    <x v="0"/>
    <x v="0"/>
    <x v="0"/>
    <x v="0"/>
    <e v="#N/A"/>
  </r>
  <r>
    <s v="AJM01"/>
    <x v="0"/>
    <s v="Preventivo"/>
    <x v="1"/>
    <x v="1"/>
    <x v="2"/>
    <s v="000000003345"/>
    <x v="1"/>
    <x v="1"/>
    <d v="2025-02-07T10:20:39"/>
    <d v="2025-07-25T11:09:00"/>
    <s v="1073170379"/>
    <s v="Luis Alvaro Rivera Santos"/>
    <n v="0"/>
    <n v="1"/>
    <s v="Y"/>
    <x v="0"/>
    <x v="1"/>
    <x v="0"/>
    <x v="0"/>
    <x v="0"/>
    <x v="0"/>
    <x v="0"/>
    <e v="#N/A"/>
  </r>
  <r>
    <s v="AJM01"/>
    <x v="0"/>
    <s v="Preventivo"/>
    <x v="1"/>
    <x v="1"/>
    <x v="3"/>
    <s v="000000003345"/>
    <x v="1"/>
    <x v="1"/>
    <d v="2025-02-07T10:20:39"/>
    <d v="2025-07-25T11:09:00"/>
    <s v="1073170379"/>
    <s v="Luis Alvaro Rivera Santos"/>
    <n v="0"/>
    <n v="1"/>
    <s v="Y"/>
    <x v="0"/>
    <x v="1"/>
    <x v="0"/>
    <x v="0"/>
    <x v="0"/>
    <x v="0"/>
    <x v="0"/>
    <e v="#N/A"/>
  </r>
  <r>
    <s v="AJM01"/>
    <x v="0"/>
    <s v="Preventivo"/>
    <x v="1"/>
    <x v="1"/>
    <x v="4"/>
    <s v="000000003345"/>
    <x v="1"/>
    <x v="1"/>
    <d v="2025-02-07T10:20:39"/>
    <d v="2025-07-25T11:09:00"/>
    <s v="1073170379"/>
    <s v="Luis Alvaro Rivera Santos"/>
    <n v="0"/>
    <n v="1"/>
    <s v="Y"/>
    <x v="0"/>
    <x v="1"/>
    <x v="0"/>
    <x v="0"/>
    <x v="0"/>
    <x v="0"/>
    <x v="0"/>
    <e v="#N/A"/>
  </r>
  <r>
    <s v="AJM01"/>
    <x v="0"/>
    <s v="Preventivo"/>
    <x v="1"/>
    <x v="1"/>
    <x v="5"/>
    <s v="000000003345"/>
    <x v="1"/>
    <x v="1"/>
    <d v="2025-02-07T10:20:39"/>
    <d v="2025-07-25T11:09:00"/>
    <s v="1073170379"/>
    <s v="Luis Alvaro Rivera Santos"/>
    <n v="0"/>
    <n v="1"/>
    <s v="Y"/>
    <x v="0"/>
    <x v="1"/>
    <x v="0"/>
    <x v="0"/>
    <x v="0"/>
    <x v="0"/>
    <x v="0"/>
    <e v="#N/A"/>
  </r>
  <r>
    <s v="AJM01"/>
    <x v="0"/>
    <s v="Preventivo"/>
    <x v="1"/>
    <x v="1"/>
    <x v="6"/>
    <s v="000000003345"/>
    <x v="1"/>
    <x v="1"/>
    <d v="2025-02-07T10:20:39"/>
    <d v="2025-07-25T11:09:00"/>
    <s v="1073170379"/>
    <s v="Luis Alvaro Rivera Santos"/>
    <n v="0"/>
    <n v="1"/>
    <s v="Y"/>
    <x v="0"/>
    <x v="1"/>
    <x v="0"/>
    <x v="0"/>
    <x v="0"/>
    <x v="0"/>
    <x v="0"/>
    <e v="#N/A"/>
  </r>
  <r>
    <s v="AJM01"/>
    <x v="0"/>
    <s v="Preventivo"/>
    <x v="1"/>
    <x v="1"/>
    <x v="7"/>
    <s v="000000003345"/>
    <x v="1"/>
    <x v="1"/>
    <d v="2025-02-07T10:20:39"/>
    <d v="2025-07-25T11:09:00"/>
    <s v="1073170379"/>
    <s v="Luis Alvaro Rivera Santos"/>
    <n v="0"/>
    <n v="1"/>
    <s v="Y"/>
    <x v="0"/>
    <x v="1"/>
    <x v="0"/>
    <x v="0"/>
    <x v="0"/>
    <x v="0"/>
    <x v="0"/>
    <e v="#N/A"/>
  </r>
  <r>
    <s v="AJM01"/>
    <x v="0"/>
    <s v="Preventivo"/>
    <x v="1"/>
    <x v="1"/>
    <x v="8"/>
    <s v="000000003345"/>
    <x v="1"/>
    <x v="1"/>
    <d v="2025-02-07T10:20:39"/>
    <d v="2025-07-25T11:09:00"/>
    <s v="1073170379"/>
    <s v="Luis Alvaro Rivera Santos"/>
    <n v="0"/>
    <n v="1"/>
    <s v="Y"/>
    <x v="0"/>
    <x v="1"/>
    <x v="0"/>
    <x v="0"/>
    <x v="0"/>
    <x v="0"/>
    <x v="0"/>
    <e v="#N/A"/>
  </r>
  <r>
    <s v="AJM01"/>
    <x v="0"/>
    <s v="Preventivo"/>
    <x v="1"/>
    <x v="1"/>
    <x v="2"/>
    <s v="000000003343"/>
    <x v="2"/>
    <x v="2"/>
    <d v="2025-02-07T10:20:40"/>
    <d v="2025-07-25T11:09:00"/>
    <s v="1073170379"/>
    <s v="Luis Alvaro Rivera Santos"/>
    <n v="0"/>
    <n v="1"/>
    <s v="Y"/>
    <x v="0"/>
    <x v="1"/>
    <x v="0"/>
    <x v="0"/>
    <x v="0"/>
    <x v="0"/>
    <x v="0"/>
    <e v="#N/A"/>
  </r>
  <r>
    <s v="AJM01"/>
    <x v="0"/>
    <s v="Preventivo"/>
    <x v="1"/>
    <x v="1"/>
    <x v="3"/>
    <s v="000000003343"/>
    <x v="2"/>
    <x v="2"/>
    <d v="2025-02-07T10:20:40"/>
    <d v="2025-07-25T11:09:00"/>
    <s v="1073170379"/>
    <s v="Luis Alvaro Rivera Santos"/>
    <n v="0"/>
    <n v="1"/>
    <s v="Y"/>
    <x v="0"/>
    <x v="1"/>
    <x v="0"/>
    <x v="0"/>
    <x v="0"/>
    <x v="0"/>
    <x v="0"/>
    <e v="#N/A"/>
  </r>
  <r>
    <s v="AJM01"/>
    <x v="0"/>
    <s v="Preventivo"/>
    <x v="1"/>
    <x v="1"/>
    <x v="4"/>
    <s v="000000003343"/>
    <x v="2"/>
    <x v="2"/>
    <d v="2025-02-07T10:20:40"/>
    <d v="2025-07-25T11:09:00"/>
    <s v="1073170379"/>
    <s v="Luis Alvaro Rivera Santos"/>
    <n v="0"/>
    <n v="1"/>
    <s v="Y"/>
    <x v="0"/>
    <x v="1"/>
    <x v="0"/>
    <x v="0"/>
    <x v="0"/>
    <x v="0"/>
    <x v="0"/>
    <e v="#N/A"/>
  </r>
  <r>
    <s v="AJM01"/>
    <x v="0"/>
    <s v="Preventivo"/>
    <x v="1"/>
    <x v="1"/>
    <x v="5"/>
    <s v="000000003343"/>
    <x v="2"/>
    <x v="2"/>
    <d v="2025-02-07T10:20:40"/>
    <d v="2025-07-25T11:09:00"/>
    <s v="1073170379"/>
    <s v="Luis Alvaro Rivera Santos"/>
    <n v="0"/>
    <n v="1"/>
    <s v="Y"/>
    <x v="0"/>
    <x v="1"/>
    <x v="0"/>
    <x v="0"/>
    <x v="0"/>
    <x v="0"/>
    <x v="0"/>
    <e v="#N/A"/>
  </r>
  <r>
    <s v="AJM01"/>
    <x v="0"/>
    <s v="Preventivo"/>
    <x v="1"/>
    <x v="1"/>
    <x v="6"/>
    <s v="000000003343"/>
    <x v="2"/>
    <x v="2"/>
    <d v="2025-02-07T10:20:40"/>
    <d v="2025-07-25T11:09:00"/>
    <s v="1073170379"/>
    <s v="Luis Alvaro Rivera Santos"/>
    <n v="0"/>
    <n v="1"/>
    <s v="Y"/>
    <x v="0"/>
    <x v="1"/>
    <x v="0"/>
    <x v="0"/>
    <x v="0"/>
    <x v="0"/>
    <x v="0"/>
    <e v="#N/A"/>
  </r>
  <r>
    <s v="AJM01"/>
    <x v="0"/>
    <s v="Preventivo"/>
    <x v="1"/>
    <x v="1"/>
    <x v="7"/>
    <s v="000000003343"/>
    <x v="2"/>
    <x v="2"/>
    <d v="2025-02-07T10:20:40"/>
    <d v="2025-07-25T11:09:00"/>
    <s v="1073170379"/>
    <s v="Luis Alvaro Rivera Santos"/>
    <n v="0"/>
    <n v="1"/>
    <s v="Y"/>
    <x v="0"/>
    <x v="1"/>
    <x v="0"/>
    <x v="0"/>
    <x v="0"/>
    <x v="0"/>
    <x v="0"/>
    <e v="#N/A"/>
  </r>
  <r>
    <s v="AJM01"/>
    <x v="0"/>
    <s v="Preventivo"/>
    <x v="1"/>
    <x v="1"/>
    <x v="8"/>
    <s v="000000003343"/>
    <x v="2"/>
    <x v="2"/>
    <d v="2025-02-07T10:20:40"/>
    <d v="2025-07-25T11:09:00"/>
    <s v="1073170379"/>
    <s v="Luis Alvaro Rivera Santos"/>
    <n v="0"/>
    <n v="1"/>
    <s v="Y"/>
    <x v="0"/>
    <x v="1"/>
    <x v="0"/>
    <x v="0"/>
    <x v="0"/>
    <x v="0"/>
    <x v="0"/>
    <e v="#N/A"/>
  </r>
  <r>
    <s v="AJM01"/>
    <x v="0"/>
    <s v="Preventivo"/>
    <x v="1"/>
    <x v="1"/>
    <x v="2"/>
    <s v="000000003338"/>
    <x v="5"/>
    <x v="5"/>
    <d v="2025-02-07T10:20:41"/>
    <d v="2025-07-25T11:09:00"/>
    <s v="1073170379"/>
    <s v="Luis Alvaro Rivera Santos"/>
    <n v="0"/>
    <n v="1"/>
    <s v="Y"/>
    <x v="0"/>
    <x v="1"/>
    <x v="0"/>
    <x v="0"/>
    <x v="0"/>
    <x v="3"/>
    <x v="0"/>
    <e v="#N/A"/>
  </r>
  <r>
    <s v="AJM01"/>
    <x v="0"/>
    <s v="Preventivo"/>
    <x v="1"/>
    <x v="1"/>
    <x v="3"/>
    <s v="000000003338"/>
    <x v="5"/>
    <x v="5"/>
    <d v="2025-02-07T10:20:41"/>
    <d v="2025-07-25T11:09:00"/>
    <s v="1073170379"/>
    <s v="Luis Alvaro Rivera Santos"/>
    <n v="0"/>
    <n v="1"/>
    <s v="Y"/>
    <x v="0"/>
    <x v="1"/>
    <x v="0"/>
    <x v="0"/>
    <x v="0"/>
    <x v="3"/>
    <x v="0"/>
    <e v="#N/A"/>
  </r>
  <r>
    <s v="AJM01"/>
    <x v="0"/>
    <s v="Preventivo"/>
    <x v="1"/>
    <x v="1"/>
    <x v="4"/>
    <s v="000000003338"/>
    <x v="5"/>
    <x v="5"/>
    <d v="2025-02-07T10:20:41"/>
    <d v="2025-07-25T11:09:00"/>
    <s v="1073170379"/>
    <s v="Luis Alvaro Rivera Santos"/>
    <n v="0"/>
    <n v="1"/>
    <s v="Y"/>
    <x v="0"/>
    <x v="1"/>
    <x v="0"/>
    <x v="0"/>
    <x v="0"/>
    <x v="3"/>
    <x v="0"/>
    <e v="#N/A"/>
  </r>
  <r>
    <s v="AJM01"/>
    <x v="0"/>
    <s v="Preventivo"/>
    <x v="1"/>
    <x v="1"/>
    <x v="5"/>
    <s v="000000003338"/>
    <x v="5"/>
    <x v="5"/>
    <d v="2025-02-07T10:20:41"/>
    <d v="2025-07-25T11:09:00"/>
    <s v="1073170379"/>
    <s v="Luis Alvaro Rivera Santos"/>
    <n v="0"/>
    <n v="1"/>
    <s v="Y"/>
    <x v="0"/>
    <x v="1"/>
    <x v="0"/>
    <x v="0"/>
    <x v="0"/>
    <x v="3"/>
    <x v="0"/>
    <e v="#N/A"/>
  </r>
  <r>
    <s v="AJM01"/>
    <x v="0"/>
    <s v="Preventivo"/>
    <x v="1"/>
    <x v="1"/>
    <x v="6"/>
    <s v="000000003338"/>
    <x v="5"/>
    <x v="5"/>
    <d v="2025-02-07T10:20:41"/>
    <d v="2025-07-25T11:09:00"/>
    <s v="1073170379"/>
    <s v="Luis Alvaro Rivera Santos"/>
    <n v="0"/>
    <n v="1"/>
    <s v="Y"/>
    <x v="0"/>
    <x v="1"/>
    <x v="0"/>
    <x v="0"/>
    <x v="0"/>
    <x v="3"/>
    <x v="0"/>
    <e v="#N/A"/>
  </r>
  <r>
    <s v="AJM01"/>
    <x v="0"/>
    <s v="Preventivo"/>
    <x v="1"/>
    <x v="1"/>
    <x v="7"/>
    <s v="000000003338"/>
    <x v="5"/>
    <x v="5"/>
    <d v="2025-02-07T10:20:41"/>
    <d v="2025-07-25T11:09:00"/>
    <s v="1073170379"/>
    <s v="Luis Alvaro Rivera Santos"/>
    <n v="0"/>
    <n v="1"/>
    <s v="Y"/>
    <x v="0"/>
    <x v="1"/>
    <x v="0"/>
    <x v="0"/>
    <x v="0"/>
    <x v="3"/>
    <x v="0"/>
    <e v="#N/A"/>
  </r>
  <r>
    <s v="AJM01"/>
    <x v="0"/>
    <s v="Preventivo"/>
    <x v="1"/>
    <x v="1"/>
    <x v="8"/>
    <s v="000000003338"/>
    <x v="5"/>
    <x v="5"/>
    <d v="2025-02-07T10:20:41"/>
    <d v="2025-07-25T11:09:00"/>
    <s v="1073170379"/>
    <s v="Luis Alvaro Rivera Santos"/>
    <n v="0"/>
    <n v="1"/>
    <s v="Y"/>
    <x v="0"/>
    <x v="1"/>
    <x v="0"/>
    <x v="0"/>
    <x v="0"/>
    <x v="3"/>
    <x v="0"/>
    <e v="#N/A"/>
  </r>
  <r>
    <s v="AJM01"/>
    <x v="0"/>
    <s v="Preventivo"/>
    <x v="2"/>
    <x v="2"/>
    <x v="9"/>
    <s v="000000003350"/>
    <x v="6"/>
    <x v="6"/>
    <d v="2025-02-07T10:20:35"/>
    <d v="2025-07-25T11:09:00"/>
    <s v="1073170379"/>
    <s v="Luis Alvaro Rivera Santos"/>
    <n v="0"/>
    <n v="1"/>
    <s v="Y"/>
    <x v="0"/>
    <x v="2"/>
    <x v="0"/>
    <x v="0"/>
    <x v="0"/>
    <x v="1"/>
    <x v="0"/>
    <e v="#N/A"/>
  </r>
  <r>
    <s v="AJM01"/>
    <x v="0"/>
    <s v="Preventivo"/>
    <x v="2"/>
    <x v="2"/>
    <x v="10"/>
    <s v="000000003350"/>
    <x v="6"/>
    <x v="6"/>
    <d v="2025-02-07T10:20:35"/>
    <d v="2025-07-25T11:09:00"/>
    <s v="1073170379"/>
    <s v="Luis Alvaro Rivera Santos"/>
    <n v="0"/>
    <n v="1"/>
    <s v="Y"/>
    <x v="0"/>
    <x v="2"/>
    <x v="0"/>
    <x v="0"/>
    <x v="0"/>
    <x v="1"/>
    <x v="0"/>
    <e v="#N/A"/>
  </r>
  <r>
    <s v="AJM01"/>
    <x v="0"/>
    <s v="Preventivo"/>
    <x v="2"/>
    <x v="2"/>
    <x v="11"/>
    <s v="000000003350"/>
    <x v="6"/>
    <x v="6"/>
    <d v="2025-02-07T10:20:35"/>
    <d v="2025-07-25T11:09:00"/>
    <s v="1073170379"/>
    <s v="Luis Alvaro Rivera Santos"/>
    <n v="0"/>
    <n v="1"/>
    <s v="Y"/>
    <x v="0"/>
    <x v="2"/>
    <x v="0"/>
    <x v="0"/>
    <x v="0"/>
    <x v="1"/>
    <x v="0"/>
    <e v="#N/A"/>
  </r>
  <r>
    <s v="AJM01"/>
    <x v="0"/>
    <s v="Preventivo"/>
    <x v="2"/>
    <x v="2"/>
    <x v="12"/>
    <s v="000000003350"/>
    <x v="6"/>
    <x v="6"/>
    <d v="2025-02-07T10:20:35"/>
    <d v="2025-07-25T11:09:00"/>
    <s v="1073170379"/>
    <s v="Luis Alvaro Rivera Santos"/>
    <n v="0"/>
    <n v="1"/>
    <s v="Y"/>
    <x v="0"/>
    <x v="2"/>
    <x v="0"/>
    <x v="0"/>
    <x v="0"/>
    <x v="1"/>
    <x v="0"/>
    <e v="#N/A"/>
  </r>
  <r>
    <s v="AJM01"/>
    <x v="0"/>
    <s v="Preventivo"/>
    <x v="2"/>
    <x v="2"/>
    <x v="13"/>
    <s v="000000003350"/>
    <x v="6"/>
    <x v="6"/>
    <d v="2025-02-07T10:20:35"/>
    <d v="2025-07-25T11:09:00"/>
    <s v="1073170379"/>
    <s v="Luis Alvaro Rivera Santos"/>
    <n v="0"/>
    <n v="1"/>
    <s v="Y"/>
    <x v="0"/>
    <x v="2"/>
    <x v="0"/>
    <x v="0"/>
    <x v="0"/>
    <x v="1"/>
    <x v="0"/>
    <e v="#N/A"/>
  </r>
  <r>
    <s v="AJM01"/>
    <x v="0"/>
    <s v="Preventivo"/>
    <x v="2"/>
    <x v="2"/>
    <x v="14"/>
    <s v="000000003350"/>
    <x v="6"/>
    <x v="6"/>
    <d v="2025-02-07T10:20:35"/>
    <d v="2025-07-25T11:09:00"/>
    <s v="1073170379"/>
    <s v="Luis Alvaro Rivera Santos"/>
    <n v="0"/>
    <n v="1"/>
    <s v="Y"/>
    <x v="0"/>
    <x v="2"/>
    <x v="0"/>
    <x v="0"/>
    <x v="0"/>
    <x v="1"/>
    <x v="0"/>
    <e v="#N/A"/>
  </r>
  <r>
    <s v="AJM01"/>
    <x v="0"/>
    <s v="Preventivo"/>
    <x v="2"/>
    <x v="2"/>
    <x v="15"/>
    <s v="000000003350"/>
    <x v="6"/>
    <x v="6"/>
    <d v="2025-02-07T10:20:35"/>
    <d v="2025-07-25T11:09:00"/>
    <s v="1073170379"/>
    <s v="Luis Alvaro Rivera Santos"/>
    <n v="0"/>
    <n v="1"/>
    <s v="Y"/>
    <x v="0"/>
    <x v="2"/>
    <x v="0"/>
    <x v="0"/>
    <x v="0"/>
    <x v="1"/>
    <x v="0"/>
    <e v="#N/A"/>
  </r>
  <r>
    <s v="AJM01"/>
    <x v="0"/>
    <s v="Preventivo"/>
    <x v="2"/>
    <x v="2"/>
    <x v="16"/>
    <s v="000000003350"/>
    <x v="6"/>
    <x v="6"/>
    <d v="2025-02-07T10:20:35"/>
    <d v="2025-07-25T11:09:00"/>
    <s v="1073170379"/>
    <s v="Luis Alvaro Rivera Santos"/>
    <n v="0"/>
    <n v="1"/>
    <s v="Y"/>
    <x v="0"/>
    <x v="2"/>
    <x v="0"/>
    <x v="0"/>
    <x v="0"/>
    <x v="1"/>
    <x v="0"/>
    <e v="#N/A"/>
  </r>
  <r>
    <s v="AJM01"/>
    <x v="0"/>
    <s v="Preventivo"/>
    <x v="2"/>
    <x v="2"/>
    <x v="17"/>
    <s v="000000003350"/>
    <x v="6"/>
    <x v="6"/>
    <d v="2025-02-07T10:20:35"/>
    <d v="2025-07-25T11:09:00"/>
    <s v="1073170379"/>
    <s v="Luis Alvaro Rivera Santos"/>
    <n v="0"/>
    <n v="1"/>
    <s v="Y"/>
    <x v="0"/>
    <x v="2"/>
    <x v="0"/>
    <x v="0"/>
    <x v="0"/>
    <x v="1"/>
    <x v="0"/>
    <e v="#N/A"/>
  </r>
  <r>
    <s v="AJM01"/>
    <x v="0"/>
    <s v="Preventivo"/>
    <x v="2"/>
    <x v="2"/>
    <x v="18"/>
    <s v="000000003350"/>
    <x v="6"/>
    <x v="6"/>
    <d v="2025-02-07T10:20:35"/>
    <d v="2025-07-25T11:09:00"/>
    <s v="1073170379"/>
    <s v="Luis Alvaro Rivera Santos"/>
    <n v="0"/>
    <n v="1"/>
    <s v="Y"/>
    <x v="0"/>
    <x v="2"/>
    <x v="0"/>
    <x v="0"/>
    <x v="0"/>
    <x v="1"/>
    <x v="0"/>
    <e v="#N/A"/>
  </r>
  <r>
    <s v="AJM01"/>
    <x v="0"/>
    <s v="Preventivo"/>
    <x v="2"/>
    <x v="2"/>
    <x v="9"/>
    <s v="000000004010"/>
    <x v="7"/>
    <x v="7"/>
    <d v="2025-02-07T10:20:40"/>
    <d v="2025-07-25T11:09:00"/>
    <s v="1073170379"/>
    <s v="Luis Alvaro Rivera Santos"/>
    <n v="0"/>
    <n v="1"/>
    <s v="Y"/>
    <x v="0"/>
    <x v="2"/>
    <x v="0"/>
    <x v="0"/>
    <x v="0"/>
    <x v="0"/>
    <x v="0"/>
    <e v="#N/A"/>
  </r>
  <r>
    <s v="AJM01"/>
    <x v="0"/>
    <s v="Preventivo"/>
    <x v="2"/>
    <x v="2"/>
    <x v="10"/>
    <s v="000000004010"/>
    <x v="7"/>
    <x v="7"/>
    <d v="2025-02-07T10:20:40"/>
    <d v="2025-07-25T11:09:00"/>
    <s v="1073170379"/>
    <s v="Luis Alvaro Rivera Santos"/>
    <n v="0"/>
    <n v="1"/>
    <s v="Y"/>
    <x v="0"/>
    <x v="2"/>
    <x v="0"/>
    <x v="0"/>
    <x v="0"/>
    <x v="0"/>
    <x v="0"/>
    <e v="#N/A"/>
  </r>
  <r>
    <s v="AJM01"/>
    <x v="0"/>
    <s v="Preventivo"/>
    <x v="2"/>
    <x v="2"/>
    <x v="11"/>
    <s v="000000004010"/>
    <x v="7"/>
    <x v="7"/>
    <d v="2025-02-07T10:20:40"/>
    <d v="2025-07-25T11:09:00"/>
    <s v="1073170379"/>
    <s v="Luis Alvaro Rivera Santos"/>
    <n v="0"/>
    <n v="1"/>
    <s v="Y"/>
    <x v="0"/>
    <x v="2"/>
    <x v="0"/>
    <x v="0"/>
    <x v="0"/>
    <x v="0"/>
    <x v="0"/>
    <e v="#N/A"/>
  </r>
  <r>
    <s v="AJM01"/>
    <x v="0"/>
    <s v="Preventivo"/>
    <x v="2"/>
    <x v="2"/>
    <x v="12"/>
    <s v="000000004010"/>
    <x v="7"/>
    <x v="7"/>
    <d v="2025-02-07T10:20:40"/>
    <d v="2025-07-25T11:09:00"/>
    <s v="1073170379"/>
    <s v="Luis Alvaro Rivera Santos"/>
    <n v="0"/>
    <n v="1"/>
    <s v="Y"/>
    <x v="0"/>
    <x v="2"/>
    <x v="0"/>
    <x v="0"/>
    <x v="0"/>
    <x v="0"/>
    <x v="0"/>
    <e v="#N/A"/>
  </r>
  <r>
    <s v="AJM01"/>
    <x v="0"/>
    <s v="Preventivo"/>
    <x v="2"/>
    <x v="2"/>
    <x v="13"/>
    <s v="000000004010"/>
    <x v="7"/>
    <x v="7"/>
    <d v="2025-02-07T10:20:40"/>
    <d v="2025-07-25T11:09:00"/>
    <s v="1073170379"/>
    <s v="Luis Alvaro Rivera Santos"/>
    <n v="0"/>
    <n v="1"/>
    <s v="Y"/>
    <x v="0"/>
    <x v="2"/>
    <x v="0"/>
    <x v="0"/>
    <x v="0"/>
    <x v="0"/>
    <x v="0"/>
    <e v="#N/A"/>
  </r>
  <r>
    <s v="AJM01"/>
    <x v="0"/>
    <s v="Preventivo"/>
    <x v="2"/>
    <x v="2"/>
    <x v="14"/>
    <s v="000000004010"/>
    <x v="7"/>
    <x v="7"/>
    <d v="2025-02-07T10:20:40"/>
    <d v="2025-07-25T11:09:00"/>
    <s v="1073170379"/>
    <s v="Luis Alvaro Rivera Santos"/>
    <n v="0"/>
    <n v="1"/>
    <s v="Y"/>
    <x v="0"/>
    <x v="2"/>
    <x v="0"/>
    <x v="0"/>
    <x v="0"/>
    <x v="0"/>
    <x v="0"/>
    <e v="#N/A"/>
  </r>
  <r>
    <s v="AJM01"/>
    <x v="0"/>
    <s v="Preventivo"/>
    <x v="2"/>
    <x v="2"/>
    <x v="15"/>
    <s v="000000004010"/>
    <x v="7"/>
    <x v="7"/>
    <d v="2025-02-07T10:20:40"/>
    <d v="2025-07-25T11:09:00"/>
    <s v="1073170379"/>
    <s v="Luis Alvaro Rivera Santos"/>
    <n v="0"/>
    <n v="1"/>
    <s v="Y"/>
    <x v="0"/>
    <x v="2"/>
    <x v="0"/>
    <x v="0"/>
    <x v="0"/>
    <x v="0"/>
    <x v="0"/>
    <e v="#N/A"/>
  </r>
  <r>
    <s v="AJM01"/>
    <x v="0"/>
    <s v="Preventivo"/>
    <x v="2"/>
    <x v="2"/>
    <x v="16"/>
    <s v="000000004010"/>
    <x v="7"/>
    <x v="7"/>
    <d v="2025-02-07T10:20:40"/>
    <d v="2025-07-25T11:09:00"/>
    <s v="1073170379"/>
    <s v="Luis Alvaro Rivera Santos"/>
    <n v="0"/>
    <n v="1"/>
    <s v="Y"/>
    <x v="0"/>
    <x v="2"/>
    <x v="0"/>
    <x v="0"/>
    <x v="0"/>
    <x v="0"/>
    <x v="0"/>
    <e v="#N/A"/>
  </r>
  <r>
    <s v="AJM01"/>
    <x v="0"/>
    <s v="Preventivo"/>
    <x v="2"/>
    <x v="2"/>
    <x v="17"/>
    <s v="000000004010"/>
    <x v="7"/>
    <x v="7"/>
    <d v="2025-02-07T10:20:40"/>
    <d v="2025-07-25T11:09:00"/>
    <s v="1073170379"/>
    <s v="Luis Alvaro Rivera Santos"/>
    <n v="0"/>
    <n v="1"/>
    <s v="Y"/>
    <x v="0"/>
    <x v="2"/>
    <x v="0"/>
    <x v="0"/>
    <x v="0"/>
    <x v="0"/>
    <x v="0"/>
    <e v="#N/A"/>
  </r>
  <r>
    <s v="AJM01"/>
    <x v="0"/>
    <s v="Preventivo"/>
    <x v="2"/>
    <x v="2"/>
    <x v="18"/>
    <s v="000000004010"/>
    <x v="7"/>
    <x v="7"/>
    <d v="2025-02-07T10:20:40"/>
    <d v="2025-07-25T11:09:00"/>
    <s v="1073170379"/>
    <s v="Luis Alvaro Rivera Santos"/>
    <n v="0"/>
    <n v="1"/>
    <s v="Y"/>
    <x v="0"/>
    <x v="2"/>
    <x v="0"/>
    <x v="0"/>
    <x v="0"/>
    <x v="0"/>
    <x v="0"/>
    <e v="#N/A"/>
  </r>
  <r>
    <s v="AJM01"/>
    <x v="0"/>
    <s v="Preventivo"/>
    <x v="2"/>
    <x v="2"/>
    <x v="9"/>
    <s v="000000004031"/>
    <x v="8"/>
    <x v="8"/>
    <d v="2025-02-07T10:20:41"/>
    <d v="2025-07-25T11:09:00"/>
    <s v="1073170379"/>
    <s v="Luis Alvaro Rivera Santos"/>
    <n v="0"/>
    <n v="1"/>
    <s v="Y"/>
    <x v="0"/>
    <x v="2"/>
    <x v="0"/>
    <x v="0"/>
    <x v="0"/>
    <x v="0"/>
    <x v="0"/>
    <e v="#N/A"/>
  </r>
  <r>
    <s v="AJM01"/>
    <x v="0"/>
    <s v="Preventivo"/>
    <x v="2"/>
    <x v="2"/>
    <x v="10"/>
    <s v="000000004031"/>
    <x v="8"/>
    <x v="8"/>
    <d v="2025-02-07T10:20:41"/>
    <d v="2025-07-25T11:09:00"/>
    <s v="1073170379"/>
    <s v="Luis Alvaro Rivera Santos"/>
    <n v="0"/>
    <n v="1"/>
    <s v="Y"/>
    <x v="0"/>
    <x v="2"/>
    <x v="0"/>
    <x v="0"/>
    <x v="0"/>
    <x v="0"/>
    <x v="0"/>
    <e v="#N/A"/>
  </r>
  <r>
    <s v="AJM01"/>
    <x v="0"/>
    <s v="Preventivo"/>
    <x v="2"/>
    <x v="2"/>
    <x v="11"/>
    <s v="000000004031"/>
    <x v="8"/>
    <x v="8"/>
    <d v="2025-02-07T10:20:41"/>
    <d v="2025-07-25T11:09:00"/>
    <s v="1073170379"/>
    <s v="Luis Alvaro Rivera Santos"/>
    <n v="0"/>
    <n v="1"/>
    <s v="Y"/>
    <x v="0"/>
    <x v="2"/>
    <x v="0"/>
    <x v="0"/>
    <x v="0"/>
    <x v="0"/>
    <x v="0"/>
    <e v="#N/A"/>
  </r>
  <r>
    <s v="AJM01"/>
    <x v="0"/>
    <s v="Preventivo"/>
    <x v="2"/>
    <x v="2"/>
    <x v="12"/>
    <s v="000000004031"/>
    <x v="8"/>
    <x v="8"/>
    <d v="2025-02-07T10:20:41"/>
    <d v="2025-07-25T11:09:00"/>
    <s v="1073170379"/>
    <s v="Luis Alvaro Rivera Santos"/>
    <n v="0"/>
    <n v="1"/>
    <s v="Y"/>
    <x v="0"/>
    <x v="2"/>
    <x v="0"/>
    <x v="0"/>
    <x v="0"/>
    <x v="0"/>
    <x v="0"/>
    <e v="#N/A"/>
  </r>
  <r>
    <s v="AJM01"/>
    <x v="0"/>
    <s v="Preventivo"/>
    <x v="2"/>
    <x v="2"/>
    <x v="13"/>
    <s v="000000004031"/>
    <x v="8"/>
    <x v="8"/>
    <d v="2025-02-07T10:20:41"/>
    <d v="2025-07-25T11:09:00"/>
    <s v="1073170379"/>
    <s v="Luis Alvaro Rivera Santos"/>
    <n v="0"/>
    <n v="1"/>
    <s v="Y"/>
    <x v="0"/>
    <x v="2"/>
    <x v="0"/>
    <x v="0"/>
    <x v="0"/>
    <x v="0"/>
    <x v="0"/>
    <e v="#N/A"/>
  </r>
  <r>
    <s v="AJM01"/>
    <x v="0"/>
    <s v="Preventivo"/>
    <x v="2"/>
    <x v="2"/>
    <x v="14"/>
    <s v="000000004031"/>
    <x v="8"/>
    <x v="8"/>
    <d v="2025-02-07T10:20:41"/>
    <d v="2025-07-25T11:09:00"/>
    <s v="1073170379"/>
    <s v="Luis Alvaro Rivera Santos"/>
    <n v="0"/>
    <n v="1"/>
    <s v="Y"/>
    <x v="0"/>
    <x v="2"/>
    <x v="0"/>
    <x v="0"/>
    <x v="0"/>
    <x v="0"/>
    <x v="0"/>
    <e v="#N/A"/>
  </r>
  <r>
    <s v="AJM01"/>
    <x v="0"/>
    <s v="Preventivo"/>
    <x v="2"/>
    <x v="2"/>
    <x v="15"/>
    <s v="000000004031"/>
    <x v="8"/>
    <x v="8"/>
    <d v="2025-02-07T10:20:41"/>
    <d v="2025-07-25T11:09:00"/>
    <s v="1073170379"/>
    <s v="Luis Alvaro Rivera Santos"/>
    <n v="0"/>
    <n v="1"/>
    <s v="Y"/>
    <x v="0"/>
    <x v="2"/>
    <x v="0"/>
    <x v="0"/>
    <x v="0"/>
    <x v="0"/>
    <x v="0"/>
    <e v="#N/A"/>
  </r>
  <r>
    <s v="AJM01"/>
    <x v="0"/>
    <s v="Preventivo"/>
    <x v="2"/>
    <x v="2"/>
    <x v="16"/>
    <s v="000000004031"/>
    <x v="8"/>
    <x v="8"/>
    <d v="2025-02-07T10:20:41"/>
    <d v="2025-07-25T11:09:00"/>
    <s v="1073170379"/>
    <s v="Luis Alvaro Rivera Santos"/>
    <n v="0"/>
    <n v="1"/>
    <s v="Y"/>
    <x v="0"/>
    <x v="2"/>
    <x v="0"/>
    <x v="0"/>
    <x v="0"/>
    <x v="0"/>
    <x v="0"/>
    <e v="#N/A"/>
  </r>
  <r>
    <s v="AJM01"/>
    <x v="0"/>
    <s v="Preventivo"/>
    <x v="2"/>
    <x v="2"/>
    <x v="17"/>
    <s v="000000004031"/>
    <x v="8"/>
    <x v="8"/>
    <d v="2025-02-07T10:20:41"/>
    <d v="2025-07-25T11:09:00"/>
    <s v="1073170379"/>
    <s v="Luis Alvaro Rivera Santos"/>
    <n v="0"/>
    <n v="1"/>
    <s v="Y"/>
    <x v="0"/>
    <x v="2"/>
    <x v="0"/>
    <x v="0"/>
    <x v="0"/>
    <x v="0"/>
    <x v="0"/>
    <e v="#N/A"/>
  </r>
  <r>
    <s v="AJM01"/>
    <x v="0"/>
    <s v="Preventivo"/>
    <x v="2"/>
    <x v="2"/>
    <x v="18"/>
    <s v="000000004031"/>
    <x v="8"/>
    <x v="8"/>
    <d v="2025-02-07T10:20:41"/>
    <d v="2025-07-25T11:09:00"/>
    <s v="1073170379"/>
    <s v="Luis Alvaro Rivera Santos"/>
    <n v="0"/>
    <n v="1"/>
    <s v="Y"/>
    <x v="0"/>
    <x v="2"/>
    <x v="0"/>
    <x v="0"/>
    <x v="0"/>
    <x v="0"/>
    <x v="0"/>
    <e v="#N/A"/>
  </r>
  <r>
    <s v="AJM01"/>
    <x v="0"/>
    <s v="Preventivo"/>
    <x v="2"/>
    <x v="2"/>
    <x v="9"/>
    <s v="000000003337"/>
    <x v="9"/>
    <x v="9"/>
    <d v="2025-02-07T10:20:42"/>
    <d v="2025-07-25T11:09:00"/>
    <s v="1073170379"/>
    <s v="Luis Alvaro Rivera Santos"/>
    <n v="0"/>
    <n v="1"/>
    <s v="Y"/>
    <x v="0"/>
    <x v="2"/>
    <x v="0"/>
    <x v="0"/>
    <x v="0"/>
    <x v="3"/>
    <x v="0"/>
    <e v="#N/A"/>
  </r>
  <r>
    <s v="AJM01"/>
    <x v="0"/>
    <s v="Preventivo"/>
    <x v="2"/>
    <x v="2"/>
    <x v="10"/>
    <s v="000000003337"/>
    <x v="9"/>
    <x v="9"/>
    <d v="2025-02-07T10:20:42"/>
    <d v="2025-07-25T11:09:00"/>
    <s v="1073170379"/>
    <s v="Luis Alvaro Rivera Santos"/>
    <n v="0"/>
    <n v="1"/>
    <s v="Y"/>
    <x v="0"/>
    <x v="2"/>
    <x v="0"/>
    <x v="0"/>
    <x v="0"/>
    <x v="3"/>
    <x v="0"/>
    <e v="#N/A"/>
  </r>
  <r>
    <s v="AJM01"/>
    <x v="0"/>
    <s v="Preventivo"/>
    <x v="2"/>
    <x v="2"/>
    <x v="11"/>
    <s v="000000003337"/>
    <x v="9"/>
    <x v="9"/>
    <d v="2025-02-07T10:20:42"/>
    <d v="2025-07-25T11:09:00"/>
    <s v="1073170379"/>
    <s v="Luis Alvaro Rivera Santos"/>
    <n v="0"/>
    <n v="1"/>
    <s v="Y"/>
    <x v="0"/>
    <x v="2"/>
    <x v="0"/>
    <x v="0"/>
    <x v="0"/>
    <x v="3"/>
    <x v="0"/>
    <e v="#N/A"/>
  </r>
  <r>
    <s v="AJM01"/>
    <x v="0"/>
    <s v="Preventivo"/>
    <x v="2"/>
    <x v="2"/>
    <x v="12"/>
    <s v="000000003337"/>
    <x v="9"/>
    <x v="9"/>
    <d v="2025-02-07T10:20:42"/>
    <d v="2025-07-25T11:09:00"/>
    <s v="1073170379"/>
    <s v="Luis Alvaro Rivera Santos"/>
    <n v="0"/>
    <n v="1"/>
    <s v="Y"/>
    <x v="0"/>
    <x v="2"/>
    <x v="0"/>
    <x v="0"/>
    <x v="0"/>
    <x v="3"/>
    <x v="0"/>
    <e v="#N/A"/>
  </r>
  <r>
    <s v="AJM01"/>
    <x v="0"/>
    <s v="Preventivo"/>
    <x v="2"/>
    <x v="2"/>
    <x v="13"/>
    <s v="000000003337"/>
    <x v="9"/>
    <x v="9"/>
    <d v="2025-02-07T10:20:42"/>
    <d v="2025-07-25T11:09:00"/>
    <s v="1073170379"/>
    <s v="Luis Alvaro Rivera Santos"/>
    <n v="0"/>
    <n v="1"/>
    <s v="Y"/>
    <x v="0"/>
    <x v="2"/>
    <x v="0"/>
    <x v="0"/>
    <x v="0"/>
    <x v="3"/>
    <x v="0"/>
    <e v="#N/A"/>
  </r>
  <r>
    <s v="AJM01"/>
    <x v="0"/>
    <s v="Preventivo"/>
    <x v="2"/>
    <x v="2"/>
    <x v="14"/>
    <s v="000000003337"/>
    <x v="9"/>
    <x v="9"/>
    <d v="2025-02-07T10:20:42"/>
    <d v="2025-07-25T11:09:00"/>
    <s v="1073170379"/>
    <s v="Luis Alvaro Rivera Santos"/>
    <n v="0"/>
    <n v="1"/>
    <s v="Y"/>
    <x v="0"/>
    <x v="2"/>
    <x v="0"/>
    <x v="0"/>
    <x v="0"/>
    <x v="3"/>
    <x v="0"/>
    <e v="#N/A"/>
  </r>
  <r>
    <s v="AJM01"/>
    <x v="0"/>
    <s v="Preventivo"/>
    <x v="2"/>
    <x v="2"/>
    <x v="15"/>
    <s v="000000003337"/>
    <x v="9"/>
    <x v="9"/>
    <d v="2025-02-07T10:20:42"/>
    <d v="2025-07-25T11:09:00"/>
    <s v="1073170379"/>
    <s v="Luis Alvaro Rivera Santos"/>
    <n v="0"/>
    <n v="1"/>
    <s v="Y"/>
    <x v="0"/>
    <x v="2"/>
    <x v="0"/>
    <x v="0"/>
    <x v="0"/>
    <x v="3"/>
    <x v="0"/>
    <e v="#N/A"/>
  </r>
  <r>
    <s v="AJM01"/>
    <x v="0"/>
    <s v="Preventivo"/>
    <x v="2"/>
    <x v="2"/>
    <x v="16"/>
    <s v="000000003337"/>
    <x v="9"/>
    <x v="9"/>
    <d v="2025-02-07T10:20:42"/>
    <d v="2025-07-25T11:09:00"/>
    <s v="1073170379"/>
    <s v="Luis Alvaro Rivera Santos"/>
    <n v="0"/>
    <n v="1"/>
    <s v="Y"/>
    <x v="0"/>
    <x v="2"/>
    <x v="0"/>
    <x v="0"/>
    <x v="0"/>
    <x v="3"/>
    <x v="0"/>
    <e v="#N/A"/>
  </r>
  <r>
    <s v="AJM01"/>
    <x v="0"/>
    <s v="Preventivo"/>
    <x v="2"/>
    <x v="2"/>
    <x v="17"/>
    <s v="000000003337"/>
    <x v="9"/>
    <x v="9"/>
    <d v="2025-02-07T10:20:42"/>
    <d v="2025-07-25T11:09:00"/>
    <s v="1073170379"/>
    <s v="Luis Alvaro Rivera Santos"/>
    <n v="0"/>
    <n v="1"/>
    <s v="Y"/>
    <x v="0"/>
    <x v="2"/>
    <x v="0"/>
    <x v="0"/>
    <x v="0"/>
    <x v="3"/>
    <x v="0"/>
    <e v="#N/A"/>
  </r>
  <r>
    <s v="AJM01"/>
    <x v="0"/>
    <s v="Preventivo"/>
    <x v="2"/>
    <x v="2"/>
    <x v="18"/>
    <s v="000000003337"/>
    <x v="9"/>
    <x v="9"/>
    <d v="2025-02-07T10:20:42"/>
    <d v="2025-07-25T11:09:00"/>
    <s v="1073170379"/>
    <s v="Luis Alvaro Rivera Santos"/>
    <n v="0"/>
    <n v="1"/>
    <s v="Y"/>
    <x v="0"/>
    <x v="2"/>
    <x v="0"/>
    <x v="0"/>
    <x v="0"/>
    <x v="3"/>
    <x v="0"/>
    <e v="#N/A"/>
  </r>
  <r>
    <s v="AJM01"/>
    <x v="0"/>
    <s v="Preventivo"/>
    <x v="2"/>
    <x v="2"/>
    <x v="9"/>
    <s v="000000003987"/>
    <x v="10"/>
    <x v="10"/>
    <d v="2025-02-07T10:20:43"/>
    <d v="2025-07-25T11:09:00"/>
    <s v="1073170379"/>
    <s v="Luis Alvaro Rivera Santos"/>
    <n v="0"/>
    <n v="1"/>
    <s v="Y"/>
    <x v="0"/>
    <x v="2"/>
    <x v="0"/>
    <x v="0"/>
    <x v="0"/>
    <x v="3"/>
    <x v="0"/>
    <e v="#N/A"/>
  </r>
  <r>
    <s v="AJM01"/>
    <x v="0"/>
    <s v="Preventivo"/>
    <x v="2"/>
    <x v="2"/>
    <x v="10"/>
    <s v="000000003987"/>
    <x v="10"/>
    <x v="10"/>
    <d v="2025-02-07T10:20:43"/>
    <d v="2025-07-25T11:09:00"/>
    <s v="1073170379"/>
    <s v="Luis Alvaro Rivera Santos"/>
    <n v="0"/>
    <n v="1"/>
    <s v="Y"/>
    <x v="0"/>
    <x v="2"/>
    <x v="0"/>
    <x v="0"/>
    <x v="0"/>
    <x v="3"/>
    <x v="0"/>
    <e v="#N/A"/>
  </r>
  <r>
    <s v="AJM01"/>
    <x v="0"/>
    <s v="Preventivo"/>
    <x v="2"/>
    <x v="2"/>
    <x v="11"/>
    <s v="000000003987"/>
    <x v="10"/>
    <x v="10"/>
    <d v="2025-02-07T10:20:43"/>
    <d v="2025-07-25T11:09:00"/>
    <s v="1073170379"/>
    <s v="Luis Alvaro Rivera Santos"/>
    <n v="0"/>
    <n v="1"/>
    <s v="Y"/>
    <x v="0"/>
    <x v="2"/>
    <x v="0"/>
    <x v="0"/>
    <x v="0"/>
    <x v="3"/>
    <x v="0"/>
    <e v="#N/A"/>
  </r>
  <r>
    <s v="AJM01"/>
    <x v="0"/>
    <s v="Preventivo"/>
    <x v="2"/>
    <x v="2"/>
    <x v="12"/>
    <s v="000000003987"/>
    <x v="10"/>
    <x v="10"/>
    <d v="2025-02-07T10:20:43"/>
    <d v="2025-07-25T11:09:00"/>
    <s v="1073170379"/>
    <s v="Luis Alvaro Rivera Santos"/>
    <n v="0"/>
    <n v="1"/>
    <s v="Y"/>
    <x v="0"/>
    <x v="2"/>
    <x v="0"/>
    <x v="0"/>
    <x v="0"/>
    <x v="3"/>
    <x v="0"/>
    <e v="#N/A"/>
  </r>
  <r>
    <s v="AJM01"/>
    <x v="0"/>
    <s v="Preventivo"/>
    <x v="2"/>
    <x v="2"/>
    <x v="13"/>
    <s v="000000003987"/>
    <x v="10"/>
    <x v="10"/>
    <d v="2025-02-07T10:20:43"/>
    <d v="2025-07-25T11:09:00"/>
    <s v="1073170379"/>
    <s v="Luis Alvaro Rivera Santos"/>
    <n v="0"/>
    <n v="1"/>
    <s v="Y"/>
    <x v="0"/>
    <x v="2"/>
    <x v="0"/>
    <x v="0"/>
    <x v="0"/>
    <x v="3"/>
    <x v="0"/>
    <e v="#N/A"/>
  </r>
  <r>
    <s v="AJM01"/>
    <x v="0"/>
    <s v="Preventivo"/>
    <x v="2"/>
    <x v="2"/>
    <x v="14"/>
    <s v="000000003987"/>
    <x v="10"/>
    <x v="10"/>
    <d v="2025-02-07T10:20:43"/>
    <d v="2025-07-25T11:09:00"/>
    <s v="1073170379"/>
    <s v="Luis Alvaro Rivera Santos"/>
    <n v="0"/>
    <n v="1"/>
    <s v="Y"/>
    <x v="0"/>
    <x v="2"/>
    <x v="0"/>
    <x v="0"/>
    <x v="0"/>
    <x v="3"/>
    <x v="0"/>
    <e v="#N/A"/>
  </r>
  <r>
    <s v="AJM01"/>
    <x v="0"/>
    <s v="Preventivo"/>
    <x v="2"/>
    <x v="2"/>
    <x v="15"/>
    <s v="000000003987"/>
    <x v="10"/>
    <x v="10"/>
    <d v="2025-02-07T10:20:43"/>
    <d v="2025-07-25T11:09:00"/>
    <s v="1073170379"/>
    <s v="Luis Alvaro Rivera Santos"/>
    <n v="0"/>
    <n v="1"/>
    <s v="Y"/>
    <x v="0"/>
    <x v="2"/>
    <x v="0"/>
    <x v="0"/>
    <x v="0"/>
    <x v="3"/>
    <x v="0"/>
    <e v="#N/A"/>
  </r>
  <r>
    <s v="AJM01"/>
    <x v="0"/>
    <s v="Preventivo"/>
    <x v="2"/>
    <x v="2"/>
    <x v="16"/>
    <s v="000000003987"/>
    <x v="10"/>
    <x v="10"/>
    <d v="2025-02-07T10:20:43"/>
    <d v="2025-07-25T11:09:00"/>
    <s v="1073170379"/>
    <s v="Luis Alvaro Rivera Santos"/>
    <n v="0"/>
    <n v="1"/>
    <s v="Y"/>
    <x v="0"/>
    <x v="2"/>
    <x v="0"/>
    <x v="0"/>
    <x v="0"/>
    <x v="3"/>
    <x v="0"/>
    <e v="#N/A"/>
  </r>
  <r>
    <s v="AJM01"/>
    <x v="0"/>
    <s v="Preventivo"/>
    <x v="2"/>
    <x v="2"/>
    <x v="17"/>
    <s v="000000003987"/>
    <x v="10"/>
    <x v="10"/>
    <d v="2025-02-07T10:20:43"/>
    <d v="2025-07-25T11:09:00"/>
    <s v="1073170379"/>
    <s v="Luis Alvaro Rivera Santos"/>
    <n v="0"/>
    <n v="1"/>
    <s v="Y"/>
    <x v="0"/>
    <x v="2"/>
    <x v="0"/>
    <x v="0"/>
    <x v="0"/>
    <x v="3"/>
    <x v="0"/>
    <e v="#N/A"/>
  </r>
  <r>
    <s v="AJM01"/>
    <x v="0"/>
    <s v="Preventivo"/>
    <x v="2"/>
    <x v="2"/>
    <x v="18"/>
    <s v="000000003987"/>
    <x v="10"/>
    <x v="10"/>
    <d v="2025-02-07T10:20:43"/>
    <d v="2025-07-25T11:09:00"/>
    <s v="1073170379"/>
    <s v="Luis Alvaro Rivera Santos"/>
    <n v="0"/>
    <n v="1"/>
    <s v="Y"/>
    <x v="0"/>
    <x v="2"/>
    <x v="0"/>
    <x v="0"/>
    <x v="0"/>
    <x v="3"/>
    <x v="0"/>
    <e v="#N/A"/>
  </r>
  <r>
    <s v="AJM01"/>
    <x v="0"/>
    <s v="Preventivo"/>
    <x v="2"/>
    <x v="2"/>
    <x v="9"/>
    <s v="000000003341"/>
    <x v="11"/>
    <x v="11"/>
    <d v="2025-02-07T10:20:43"/>
    <d v="2025-07-25T11:09:00"/>
    <s v="1073170379"/>
    <s v="Luis Alvaro Rivera Santos"/>
    <n v="0"/>
    <n v="1"/>
    <s v="Y"/>
    <x v="0"/>
    <x v="2"/>
    <x v="0"/>
    <x v="0"/>
    <x v="0"/>
    <x v="4"/>
    <x v="0"/>
    <e v="#N/A"/>
  </r>
  <r>
    <s v="AJM01"/>
    <x v="0"/>
    <s v="Preventivo"/>
    <x v="2"/>
    <x v="2"/>
    <x v="10"/>
    <s v="000000003341"/>
    <x v="11"/>
    <x v="11"/>
    <d v="2025-02-07T10:20:43"/>
    <d v="2025-07-25T11:09:00"/>
    <s v="1073170379"/>
    <s v="Luis Alvaro Rivera Santos"/>
    <n v="0"/>
    <n v="1"/>
    <s v="Y"/>
    <x v="0"/>
    <x v="2"/>
    <x v="0"/>
    <x v="0"/>
    <x v="0"/>
    <x v="4"/>
    <x v="0"/>
    <e v="#N/A"/>
  </r>
  <r>
    <s v="AJM01"/>
    <x v="0"/>
    <s v="Preventivo"/>
    <x v="2"/>
    <x v="2"/>
    <x v="11"/>
    <s v="000000003341"/>
    <x v="11"/>
    <x v="11"/>
    <d v="2025-02-07T10:20:43"/>
    <d v="2025-07-25T11:09:00"/>
    <s v="1073170379"/>
    <s v="Luis Alvaro Rivera Santos"/>
    <n v="0"/>
    <n v="1"/>
    <s v="Y"/>
    <x v="0"/>
    <x v="2"/>
    <x v="0"/>
    <x v="0"/>
    <x v="0"/>
    <x v="4"/>
    <x v="0"/>
    <e v="#N/A"/>
  </r>
  <r>
    <s v="AJM01"/>
    <x v="0"/>
    <s v="Preventivo"/>
    <x v="2"/>
    <x v="2"/>
    <x v="12"/>
    <s v="000000003341"/>
    <x v="11"/>
    <x v="11"/>
    <d v="2025-02-07T10:20:43"/>
    <d v="2025-07-25T11:09:00"/>
    <s v="1073170379"/>
    <s v="Luis Alvaro Rivera Santos"/>
    <n v="0"/>
    <n v="1"/>
    <s v="Y"/>
    <x v="0"/>
    <x v="2"/>
    <x v="0"/>
    <x v="0"/>
    <x v="0"/>
    <x v="4"/>
    <x v="0"/>
    <e v="#N/A"/>
  </r>
  <r>
    <s v="AJM01"/>
    <x v="0"/>
    <s v="Preventivo"/>
    <x v="2"/>
    <x v="2"/>
    <x v="13"/>
    <s v="000000003341"/>
    <x v="11"/>
    <x v="11"/>
    <d v="2025-02-07T10:20:43"/>
    <d v="2025-07-25T11:09:00"/>
    <s v="1073170379"/>
    <s v="Luis Alvaro Rivera Santos"/>
    <n v="0"/>
    <n v="1"/>
    <s v="Y"/>
    <x v="0"/>
    <x v="2"/>
    <x v="0"/>
    <x v="0"/>
    <x v="0"/>
    <x v="4"/>
    <x v="0"/>
    <e v="#N/A"/>
  </r>
  <r>
    <s v="AJM01"/>
    <x v="0"/>
    <s v="Preventivo"/>
    <x v="2"/>
    <x v="2"/>
    <x v="14"/>
    <s v="000000003341"/>
    <x v="11"/>
    <x v="11"/>
    <d v="2025-02-07T10:20:43"/>
    <d v="2025-07-25T11:09:00"/>
    <s v="1073170379"/>
    <s v="Luis Alvaro Rivera Santos"/>
    <n v="0"/>
    <n v="1"/>
    <s v="Y"/>
    <x v="0"/>
    <x v="2"/>
    <x v="0"/>
    <x v="0"/>
    <x v="0"/>
    <x v="4"/>
    <x v="0"/>
    <e v="#N/A"/>
  </r>
  <r>
    <s v="AJM01"/>
    <x v="0"/>
    <s v="Preventivo"/>
    <x v="2"/>
    <x v="2"/>
    <x v="15"/>
    <s v="000000003341"/>
    <x v="11"/>
    <x v="11"/>
    <d v="2025-02-07T10:20:43"/>
    <d v="2025-07-25T11:09:00"/>
    <s v="1073170379"/>
    <s v="Luis Alvaro Rivera Santos"/>
    <n v="0"/>
    <n v="1"/>
    <s v="Y"/>
    <x v="0"/>
    <x v="2"/>
    <x v="0"/>
    <x v="0"/>
    <x v="0"/>
    <x v="4"/>
    <x v="0"/>
    <e v="#N/A"/>
  </r>
  <r>
    <s v="AJM01"/>
    <x v="0"/>
    <s v="Preventivo"/>
    <x v="2"/>
    <x v="2"/>
    <x v="16"/>
    <s v="000000003341"/>
    <x v="11"/>
    <x v="11"/>
    <d v="2025-02-07T10:20:43"/>
    <d v="2025-07-25T11:09:00"/>
    <s v="1073170379"/>
    <s v="Luis Alvaro Rivera Santos"/>
    <n v="0"/>
    <n v="1"/>
    <s v="Y"/>
    <x v="0"/>
    <x v="2"/>
    <x v="0"/>
    <x v="0"/>
    <x v="0"/>
    <x v="4"/>
    <x v="0"/>
    <e v="#N/A"/>
  </r>
  <r>
    <s v="AJM01"/>
    <x v="0"/>
    <s v="Preventivo"/>
    <x v="2"/>
    <x v="2"/>
    <x v="17"/>
    <s v="000000003341"/>
    <x v="11"/>
    <x v="11"/>
    <d v="2025-02-07T10:20:43"/>
    <d v="2025-07-25T11:09:00"/>
    <s v="1073170379"/>
    <s v="Luis Alvaro Rivera Santos"/>
    <n v="0"/>
    <n v="1"/>
    <s v="Y"/>
    <x v="0"/>
    <x v="2"/>
    <x v="0"/>
    <x v="0"/>
    <x v="0"/>
    <x v="4"/>
    <x v="0"/>
    <e v="#N/A"/>
  </r>
  <r>
    <s v="AJM01"/>
    <x v="0"/>
    <s v="Preventivo"/>
    <x v="2"/>
    <x v="2"/>
    <x v="18"/>
    <s v="000000003341"/>
    <x v="11"/>
    <x v="11"/>
    <d v="2025-02-07T10:20:43"/>
    <d v="2025-07-25T11:09:00"/>
    <s v="1073170379"/>
    <s v="Luis Alvaro Rivera Santos"/>
    <n v="0"/>
    <n v="1"/>
    <s v="Y"/>
    <x v="0"/>
    <x v="2"/>
    <x v="0"/>
    <x v="0"/>
    <x v="0"/>
    <x v="4"/>
    <x v="0"/>
    <e v="#N/A"/>
  </r>
  <r>
    <s v="AJM01"/>
    <x v="0"/>
    <s v="Preventivo"/>
    <x v="2"/>
    <x v="2"/>
    <x v="9"/>
    <s v="000000003342"/>
    <x v="12"/>
    <x v="12"/>
    <d v="2025-02-07T10:20:44"/>
    <d v="2025-07-25T11:09:00"/>
    <s v="1073170379"/>
    <s v="Luis Alvaro Rivera Santos"/>
    <n v="0"/>
    <n v="1"/>
    <s v="Y"/>
    <x v="0"/>
    <x v="2"/>
    <x v="0"/>
    <x v="0"/>
    <x v="0"/>
    <x v="5"/>
    <x v="0"/>
    <e v="#N/A"/>
  </r>
  <r>
    <s v="AJM01"/>
    <x v="0"/>
    <s v="Preventivo"/>
    <x v="2"/>
    <x v="2"/>
    <x v="10"/>
    <s v="000000003342"/>
    <x v="12"/>
    <x v="12"/>
    <d v="2025-02-07T10:20:44"/>
    <d v="2025-07-25T11:09:00"/>
    <s v="1073170379"/>
    <s v="Luis Alvaro Rivera Santos"/>
    <n v="0"/>
    <n v="1"/>
    <s v="Y"/>
    <x v="0"/>
    <x v="2"/>
    <x v="0"/>
    <x v="0"/>
    <x v="0"/>
    <x v="5"/>
    <x v="0"/>
    <e v="#N/A"/>
  </r>
  <r>
    <s v="AJM01"/>
    <x v="0"/>
    <s v="Preventivo"/>
    <x v="2"/>
    <x v="2"/>
    <x v="11"/>
    <s v="000000003342"/>
    <x v="12"/>
    <x v="12"/>
    <d v="2025-02-07T10:20:44"/>
    <d v="2025-07-25T11:09:00"/>
    <s v="1073170379"/>
    <s v="Luis Alvaro Rivera Santos"/>
    <n v="0"/>
    <n v="1"/>
    <s v="Y"/>
    <x v="0"/>
    <x v="2"/>
    <x v="0"/>
    <x v="0"/>
    <x v="0"/>
    <x v="5"/>
    <x v="0"/>
    <e v="#N/A"/>
  </r>
  <r>
    <s v="AJM01"/>
    <x v="0"/>
    <s v="Preventivo"/>
    <x v="2"/>
    <x v="2"/>
    <x v="12"/>
    <s v="000000003342"/>
    <x v="12"/>
    <x v="12"/>
    <d v="2025-02-07T10:20:44"/>
    <d v="2025-07-25T11:09:00"/>
    <s v="1073170379"/>
    <s v="Luis Alvaro Rivera Santos"/>
    <n v="0"/>
    <n v="1"/>
    <s v="Y"/>
    <x v="0"/>
    <x v="2"/>
    <x v="0"/>
    <x v="0"/>
    <x v="0"/>
    <x v="5"/>
    <x v="0"/>
    <e v="#N/A"/>
  </r>
  <r>
    <s v="AJM01"/>
    <x v="0"/>
    <s v="Preventivo"/>
    <x v="2"/>
    <x v="2"/>
    <x v="13"/>
    <s v="000000003342"/>
    <x v="12"/>
    <x v="12"/>
    <d v="2025-02-07T10:20:44"/>
    <d v="2025-07-25T11:09:00"/>
    <s v="1073170379"/>
    <s v="Luis Alvaro Rivera Santos"/>
    <n v="0"/>
    <n v="1"/>
    <s v="Y"/>
    <x v="0"/>
    <x v="2"/>
    <x v="0"/>
    <x v="0"/>
    <x v="0"/>
    <x v="5"/>
    <x v="0"/>
    <e v="#N/A"/>
  </r>
  <r>
    <s v="AJM01"/>
    <x v="0"/>
    <s v="Preventivo"/>
    <x v="2"/>
    <x v="2"/>
    <x v="14"/>
    <s v="000000003342"/>
    <x v="12"/>
    <x v="12"/>
    <d v="2025-02-07T10:20:44"/>
    <d v="2025-07-25T11:09:00"/>
    <s v="1073170379"/>
    <s v="Luis Alvaro Rivera Santos"/>
    <n v="0"/>
    <n v="1"/>
    <s v="Y"/>
    <x v="0"/>
    <x v="2"/>
    <x v="0"/>
    <x v="0"/>
    <x v="0"/>
    <x v="5"/>
    <x v="0"/>
    <e v="#N/A"/>
  </r>
  <r>
    <s v="AJM01"/>
    <x v="0"/>
    <s v="Preventivo"/>
    <x v="2"/>
    <x v="2"/>
    <x v="15"/>
    <s v="000000003342"/>
    <x v="12"/>
    <x v="12"/>
    <d v="2025-02-07T10:20:44"/>
    <d v="2025-07-25T11:09:00"/>
    <s v="1073170379"/>
    <s v="Luis Alvaro Rivera Santos"/>
    <n v="0"/>
    <n v="1"/>
    <s v="Y"/>
    <x v="0"/>
    <x v="2"/>
    <x v="0"/>
    <x v="0"/>
    <x v="0"/>
    <x v="5"/>
    <x v="0"/>
    <e v="#N/A"/>
  </r>
  <r>
    <s v="AJM01"/>
    <x v="0"/>
    <s v="Preventivo"/>
    <x v="2"/>
    <x v="2"/>
    <x v="16"/>
    <s v="000000003342"/>
    <x v="12"/>
    <x v="12"/>
    <d v="2025-02-07T10:20:44"/>
    <d v="2025-07-25T11:09:00"/>
    <s v="1073170379"/>
    <s v="Luis Alvaro Rivera Santos"/>
    <n v="0"/>
    <n v="1"/>
    <s v="Y"/>
    <x v="0"/>
    <x v="2"/>
    <x v="0"/>
    <x v="0"/>
    <x v="0"/>
    <x v="5"/>
    <x v="0"/>
    <e v="#N/A"/>
  </r>
  <r>
    <s v="AJM01"/>
    <x v="0"/>
    <s v="Preventivo"/>
    <x v="2"/>
    <x v="2"/>
    <x v="17"/>
    <s v="000000003342"/>
    <x v="12"/>
    <x v="12"/>
    <d v="2025-02-07T10:20:44"/>
    <d v="2025-07-25T11:09:00"/>
    <s v="1073170379"/>
    <s v="Luis Alvaro Rivera Santos"/>
    <n v="0"/>
    <n v="1"/>
    <s v="Y"/>
    <x v="0"/>
    <x v="2"/>
    <x v="0"/>
    <x v="0"/>
    <x v="0"/>
    <x v="5"/>
    <x v="0"/>
    <e v="#N/A"/>
  </r>
  <r>
    <s v="AJM01"/>
    <x v="0"/>
    <s v="Preventivo"/>
    <x v="2"/>
    <x v="2"/>
    <x v="18"/>
    <s v="000000003342"/>
    <x v="12"/>
    <x v="12"/>
    <d v="2025-02-07T10:20:44"/>
    <d v="2025-07-25T11:09:00"/>
    <s v="1073170379"/>
    <s v="Luis Alvaro Rivera Santos"/>
    <n v="0"/>
    <n v="1"/>
    <s v="Y"/>
    <x v="0"/>
    <x v="2"/>
    <x v="0"/>
    <x v="0"/>
    <x v="0"/>
    <x v="5"/>
    <x v="0"/>
    <e v="#N/A"/>
  </r>
  <r>
    <s v="AJM01"/>
    <x v="0"/>
    <s v="Preventivo"/>
    <x v="3"/>
    <x v="3"/>
    <x v="19"/>
    <s v="000000003350"/>
    <x v="6"/>
    <x v="6"/>
    <d v="2025-02-07T10:20:35"/>
    <d v="2025-07-25T11:09:00"/>
    <s v="1073170379"/>
    <s v="Luis Alvaro Rivera Santos"/>
    <n v="0"/>
    <n v="1"/>
    <s v="Y"/>
    <x v="0"/>
    <x v="3"/>
    <x v="0"/>
    <x v="0"/>
    <x v="0"/>
    <x v="1"/>
    <x v="0"/>
    <e v="#N/A"/>
  </r>
  <r>
    <s v="AJM01"/>
    <x v="0"/>
    <s v="Preventivo"/>
    <x v="3"/>
    <x v="3"/>
    <x v="19"/>
    <s v="000000003337"/>
    <x v="9"/>
    <x v="9"/>
    <d v="2025-02-07T10:20:42"/>
    <d v="2025-07-25T11:09:00"/>
    <s v="1073170379"/>
    <s v="Luis Alvaro Rivera Santos"/>
    <n v="0"/>
    <n v="1"/>
    <s v="Y"/>
    <x v="0"/>
    <x v="3"/>
    <x v="0"/>
    <x v="0"/>
    <x v="0"/>
    <x v="3"/>
    <x v="0"/>
    <e v="#N/A"/>
  </r>
  <r>
    <s v="AJM01"/>
    <x v="0"/>
    <s v="Preventivo"/>
    <x v="3"/>
    <x v="3"/>
    <x v="19"/>
    <s v="000000003341"/>
    <x v="11"/>
    <x v="11"/>
    <d v="2025-02-07T10:20:44"/>
    <d v="2025-07-25T11:09:00"/>
    <s v="1073170379"/>
    <s v="Luis Alvaro Rivera Santos"/>
    <n v="0"/>
    <n v="1"/>
    <s v="Y"/>
    <x v="0"/>
    <x v="3"/>
    <x v="0"/>
    <x v="0"/>
    <x v="0"/>
    <x v="4"/>
    <x v="0"/>
    <e v="#N/A"/>
  </r>
  <r>
    <s v="AJM01"/>
    <x v="0"/>
    <s v="Preventivo"/>
    <x v="3"/>
    <x v="3"/>
    <x v="19"/>
    <s v="000000003342"/>
    <x v="12"/>
    <x v="12"/>
    <d v="2025-02-07T10:20:44"/>
    <d v="2025-07-25T11:09:00"/>
    <s v="1073170379"/>
    <s v="Luis Alvaro Rivera Santos"/>
    <n v="0"/>
    <n v="1"/>
    <s v="Y"/>
    <x v="0"/>
    <x v="3"/>
    <x v="0"/>
    <x v="0"/>
    <x v="0"/>
    <x v="5"/>
    <x v="0"/>
    <e v="#N/A"/>
  </r>
  <r>
    <s v="AJM01"/>
    <x v="0"/>
    <s v="Preventivo"/>
    <x v="4"/>
    <x v="4"/>
    <x v="20"/>
    <s v="000000003337"/>
    <x v="9"/>
    <x v="9"/>
    <d v="2025-02-07T10:20:42"/>
    <d v="2025-07-25T11:09:00"/>
    <s v="1073170379"/>
    <s v="Luis Alvaro Rivera Santos"/>
    <n v="0"/>
    <n v="1"/>
    <s v="Y"/>
    <x v="0"/>
    <x v="4"/>
    <x v="0"/>
    <x v="0"/>
    <x v="0"/>
    <x v="3"/>
    <x v="0"/>
    <e v="#N/A"/>
  </r>
  <r>
    <s v="AJM01"/>
    <x v="0"/>
    <s v="Preventivo"/>
    <x v="4"/>
    <x v="4"/>
    <x v="21"/>
    <s v="000000003337"/>
    <x v="9"/>
    <x v="9"/>
    <d v="2025-02-07T10:20:42"/>
    <d v="2025-07-25T11:09:00"/>
    <s v="1073170379"/>
    <s v="Luis Alvaro Rivera Santos"/>
    <n v="0"/>
    <n v="1"/>
    <s v="Y"/>
    <x v="0"/>
    <x v="4"/>
    <x v="0"/>
    <x v="0"/>
    <x v="0"/>
    <x v="3"/>
    <x v="0"/>
    <e v="#N/A"/>
  </r>
  <r>
    <s v="AJM01"/>
    <x v="0"/>
    <s v="Preventivo"/>
    <x v="5"/>
    <x v="5"/>
    <x v="22"/>
    <s v="000000004010"/>
    <x v="7"/>
    <x v="7"/>
    <d v="2025-02-07T10:20:40"/>
    <d v="2025-07-25T11:09:00"/>
    <s v="1073170379"/>
    <s v="Luis Alvaro Rivera Santos"/>
    <n v="0"/>
    <n v="1"/>
    <s v="Y"/>
    <x v="0"/>
    <x v="5"/>
    <x v="0"/>
    <x v="0"/>
    <x v="0"/>
    <x v="0"/>
    <x v="0"/>
    <e v="#N/A"/>
  </r>
  <r>
    <s v="AJM01"/>
    <x v="0"/>
    <s v="Preventivo"/>
    <x v="5"/>
    <x v="5"/>
    <x v="23"/>
    <s v="000000004010"/>
    <x v="7"/>
    <x v="7"/>
    <d v="2025-02-07T10:20:40"/>
    <d v="2025-07-25T11:09:00"/>
    <s v="1073170379"/>
    <s v="Luis Alvaro Rivera Santos"/>
    <n v="0"/>
    <n v="1"/>
    <s v="Y"/>
    <x v="0"/>
    <x v="5"/>
    <x v="0"/>
    <x v="0"/>
    <x v="0"/>
    <x v="0"/>
    <x v="0"/>
    <e v="#N/A"/>
  </r>
  <r>
    <s v="AJM01"/>
    <x v="0"/>
    <s v="Preventivo"/>
    <x v="5"/>
    <x v="5"/>
    <x v="22"/>
    <s v="000000004031"/>
    <x v="8"/>
    <x v="8"/>
    <d v="2025-02-07T10:20:41"/>
    <d v="2025-07-25T11:09:00"/>
    <s v="1073170379"/>
    <s v="Luis Alvaro Rivera Santos"/>
    <n v="0"/>
    <n v="1"/>
    <s v="Y"/>
    <x v="0"/>
    <x v="5"/>
    <x v="0"/>
    <x v="0"/>
    <x v="0"/>
    <x v="0"/>
    <x v="0"/>
    <e v="#N/A"/>
  </r>
  <r>
    <s v="AJM01"/>
    <x v="0"/>
    <s v="Preventivo"/>
    <x v="5"/>
    <x v="5"/>
    <x v="23"/>
    <s v="000000004031"/>
    <x v="8"/>
    <x v="8"/>
    <d v="2025-02-07T10:20:41"/>
    <d v="2025-07-25T11:09:00"/>
    <s v="1073170379"/>
    <s v="Luis Alvaro Rivera Santos"/>
    <n v="0"/>
    <n v="1"/>
    <s v="Y"/>
    <x v="0"/>
    <x v="5"/>
    <x v="0"/>
    <x v="0"/>
    <x v="0"/>
    <x v="0"/>
    <x v="0"/>
    <e v="#N/A"/>
  </r>
  <r>
    <s v="AJM01"/>
    <x v="0"/>
    <s v="Preventivo"/>
    <x v="5"/>
    <x v="5"/>
    <x v="22"/>
    <s v="000000003337"/>
    <x v="9"/>
    <x v="9"/>
    <d v="2025-02-07T10:20:42"/>
    <d v="2025-07-25T11:09:00"/>
    <s v="1073170379"/>
    <s v="Luis Alvaro Rivera Santos"/>
    <n v="0"/>
    <n v="1"/>
    <s v="Y"/>
    <x v="0"/>
    <x v="5"/>
    <x v="0"/>
    <x v="0"/>
    <x v="0"/>
    <x v="3"/>
    <x v="0"/>
    <e v="#N/A"/>
  </r>
  <r>
    <s v="AJM01"/>
    <x v="0"/>
    <s v="Preventivo"/>
    <x v="5"/>
    <x v="5"/>
    <x v="23"/>
    <s v="000000003337"/>
    <x v="9"/>
    <x v="9"/>
    <d v="2025-02-07T10:20:42"/>
    <d v="2025-07-25T11:09:00"/>
    <s v="1073170379"/>
    <s v="Luis Alvaro Rivera Santos"/>
    <n v="0"/>
    <n v="1"/>
    <s v="Y"/>
    <x v="0"/>
    <x v="5"/>
    <x v="0"/>
    <x v="0"/>
    <x v="0"/>
    <x v="3"/>
    <x v="0"/>
    <e v="#N/A"/>
  </r>
  <r>
    <s v="AJM01"/>
    <x v="0"/>
    <s v="Preventivo"/>
    <x v="5"/>
    <x v="5"/>
    <x v="22"/>
    <s v="000000003987"/>
    <x v="10"/>
    <x v="10"/>
    <d v="2025-02-07T10:20:43"/>
    <d v="2025-07-25T11:09:00"/>
    <s v="1073170379"/>
    <s v="Luis Alvaro Rivera Santos"/>
    <n v="0"/>
    <n v="1"/>
    <s v="Y"/>
    <x v="0"/>
    <x v="5"/>
    <x v="0"/>
    <x v="0"/>
    <x v="0"/>
    <x v="3"/>
    <x v="0"/>
    <e v="#N/A"/>
  </r>
  <r>
    <s v="AJM01"/>
    <x v="0"/>
    <s v="Preventivo"/>
    <x v="5"/>
    <x v="5"/>
    <x v="23"/>
    <s v="000000003987"/>
    <x v="10"/>
    <x v="10"/>
    <d v="2025-02-07T10:20:43"/>
    <d v="2025-07-25T11:09:00"/>
    <s v="1073170379"/>
    <s v="Luis Alvaro Rivera Santos"/>
    <n v="0"/>
    <n v="1"/>
    <s v="Y"/>
    <x v="0"/>
    <x v="5"/>
    <x v="0"/>
    <x v="0"/>
    <x v="0"/>
    <x v="3"/>
    <x v="0"/>
    <e v="#N/A"/>
  </r>
  <r>
    <s v="AJM01"/>
    <x v="0"/>
    <s v="Preventivo"/>
    <x v="5"/>
    <x v="5"/>
    <x v="22"/>
    <s v="000000003342"/>
    <x v="12"/>
    <x v="12"/>
    <d v="2025-02-07T10:20:44"/>
    <d v="2025-07-25T11:09:00"/>
    <s v="1073170379"/>
    <s v="Luis Alvaro Rivera Santos"/>
    <n v="0"/>
    <n v="1"/>
    <s v="Y"/>
    <x v="0"/>
    <x v="5"/>
    <x v="0"/>
    <x v="0"/>
    <x v="0"/>
    <x v="5"/>
    <x v="0"/>
    <e v="#N/A"/>
  </r>
  <r>
    <s v="AJM01"/>
    <x v="0"/>
    <s v="Preventivo"/>
    <x v="5"/>
    <x v="5"/>
    <x v="23"/>
    <s v="000000003342"/>
    <x v="12"/>
    <x v="12"/>
    <d v="2025-02-07T10:20:44"/>
    <d v="2025-07-25T11:09:00"/>
    <s v="1073170379"/>
    <s v="Luis Alvaro Rivera Santos"/>
    <n v="0"/>
    <n v="1"/>
    <s v="Y"/>
    <x v="0"/>
    <x v="5"/>
    <x v="0"/>
    <x v="0"/>
    <x v="0"/>
    <x v="5"/>
    <x v="0"/>
    <e v="#N/A"/>
  </r>
  <r>
    <s v="AJM01"/>
    <x v="0"/>
    <s v="Preventivo"/>
    <x v="6"/>
    <x v="6"/>
    <x v="9"/>
    <s v="000000003350"/>
    <x v="6"/>
    <x v="6"/>
    <d v="2025-02-07T10:20:35"/>
    <d v="2025-07-25T11:09:00"/>
    <s v="1073170379"/>
    <s v="Luis Alvaro Rivera Santos"/>
    <n v="0"/>
    <n v="1"/>
    <s v="Y"/>
    <x v="0"/>
    <x v="6"/>
    <x v="0"/>
    <x v="0"/>
    <x v="0"/>
    <x v="1"/>
    <x v="0"/>
    <e v="#N/A"/>
  </r>
  <r>
    <s v="AJM01"/>
    <x v="0"/>
    <s v="Preventivo"/>
    <x v="6"/>
    <x v="6"/>
    <x v="24"/>
    <s v="000000003350"/>
    <x v="6"/>
    <x v="6"/>
    <d v="2025-02-07T10:20:35"/>
    <d v="2025-07-25T11:09:00"/>
    <s v="1073170379"/>
    <s v="Luis Alvaro Rivera Santos"/>
    <n v="0"/>
    <n v="1"/>
    <s v="Y"/>
    <x v="0"/>
    <x v="6"/>
    <x v="0"/>
    <x v="0"/>
    <x v="0"/>
    <x v="1"/>
    <x v="0"/>
    <e v="#N/A"/>
  </r>
  <r>
    <s v="AJM01"/>
    <x v="0"/>
    <s v="Preventivo"/>
    <x v="6"/>
    <x v="6"/>
    <x v="9"/>
    <s v="000000003341"/>
    <x v="11"/>
    <x v="11"/>
    <d v="2025-02-07T10:20:44"/>
    <d v="2025-07-25T11:09:00"/>
    <s v="1073170379"/>
    <s v="Luis Alvaro Rivera Santos"/>
    <n v="0"/>
    <n v="1"/>
    <s v="Y"/>
    <x v="0"/>
    <x v="7"/>
    <x v="0"/>
    <x v="0"/>
    <x v="0"/>
    <x v="4"/>
    <x v="0"/>
    <e v="#N/A"/>
  </r>
  <r>
    <s v="AJM01"/>
    <x v="0"/>
    <s v="Preventivo"/>
    <x v="6"/>
    <x v="6"/>
    <x v="24"/>
    <s v="000000003341"/>
    <x v="11"/>
    <x v="11"/>
    <d v="2025-02-07T10:20:44"/>
    <d v="2025-07-25T11:09:00"/>
    <s v="1073170379"/>
    <s v="Luis Alvaro Rivera Santos"/>
    <n v="0"/>
    <n v="1"/>
    <s v="Y"/>
    <x v="0"/>
    <x v="7"/>
    <x v="0"/>
    <x v="0"/>
    <x v="0"/>
    <x v="4"/>
    <x v="0"/>
    <e v="#N/A"/>
  </r>
  <r>
    <s v="AJM01"/>
    <x v="0"/>
    <s v="Preventivo"/>
    <x v="6"/>
    <x v="6"/>
    <x v="9"/>
    <s v="000000003342"/>
    <x v="12"/>
    <x v="12"/>
    <d v="2025-02-07T10:20:44"/>
    <d v="2025-07-25T11:09:00"/>
    <s v="1073170379"/>
    <s v="Luis Alvaro Rivera Santos"/>
    <n v="0"/>
    <n v="1"/>
    <s v="Y"/>
    <x v="0"/>
    <x v="7"/>
    <x v="0"/>
    <x v="0"/>
    <x v="0"/>
    <x v="5"/>
    <x v="0"/>
    <e v="#N/A"/>
  </r>
  <r>
    <s v="AJM01"/>
    <x v="0"/>
    <s v="Preventivo"/>
    <x v="6"/>
    <x v="6"/>
    <x v="24"/>
    <s v="000000003342"/>
    <x v="12"/>
    <x v="12"/>
    <d v="2025-02-07T10:20:44"/>
    <d v="2025-07-25T11:09:00"/>
    <s v="1073170379"/>
    <s v="Luis Alvaro Rivera Santos"/>
    <n v="0"/>
    <n v="1"/>
    <s v="Y"/>
    <x v="0"/>
    <x v="7"/>
    <x v="0"/>
    <x v="0"/>
    <x v="0"/>
    <x v="5"/>
    <x v="0"/>
    <e v="#N/A"/>
  </r>
  <r>
    <s v="AJM01"/>
    <x v="0"/>
    <s v="Preventivo"/>
    <x v="7"/>
    <x v="7"/>
    <x v="9"/>
    <s v="000000003342"/>
    <x v="12"/>
    <x v="12"/>
    <d v="2025-02-07T10:20:44"/>
    <d v="2025-07-25T11:09:00"/>
    <s v="1073170379"/>
    <s v="Luis Alvaro Rivera Santos"/>
    <n v="0"/>
    <n v="1"/>
    <s v="Y"/>
    <x v="0"/>
    <x v="8"/>
    <x v="0"/>
    <x v="0"/>
    <x v="0"/>
    <x v="5"/>
    <x v="0"/>
    <e v="#N/A"/>
  </r>
  <r>
    <s v="AJM01"/>
    <x v="0"/>
    <s v="Preventivo"/>
    <x v="7"/>
    <x v="7"/>
    <x v="25"/>
    <s v="000000003342"/>
    <x v="12"/>
    <x v="12"/>
    <d v="2025-02-07T10:20:44"/>
    <d v="2025-07-25T11:09:00"/>
    <s v="1073170379"/>
    <s v="Luis Alvaro Rivera Santos"/>
    <n v="0"/>
    <n v="1"/>
    <s v="Y"/>
    <x v="0"/>
    <x v="8"/>
    <x v="0"/>
    <x v="0"/>
    <x v="0"/>
    <x v="5"/>
    <x v="0"/>
    <e v="#N/A"/>
  </r>
  <r>
    <s v="AJM01"/>
    <x v="0"/>
    <s v="Preventivo"/>
    <x v="7"/>
    <x v="7"/>
    <x v="26"/>
    <s v="000000003342"/>
    <x v="12"/>
    <x v="12"/>
    <d v="2025-02-07T10:20:44"/>
    <d v="2025-07-25T11:09:00"/>
    <s v="1073170379"/>
    <s v="Luis Alvaro Rivera Santos"/>
    <n v="0"/>
    <n v="1"/>
    <s v="Y"/>
    <x v="0"/>
    <x v="8"/>
    <x v="0"/>
    <x v="0"/>
    <x v="0"/>
    <x v="5"/>
    <x v="0"/>
    <e v="#N/A"/>
  </r>
  <r>
    <s v="AJM01"/>
    <x v="0"/>
    <s v="Preventivo"/>
    <x v="8"/>
    <x v="8"/>
    <x v="27"/>
    <s v="000000003350"/>
    <x v="6"/>
    <x v="6"/>
    <d v="2025-02-07T10:20:35"/>
    <d v="2025-07-25T11:09:00"/>
    <s v="1073170379"/>
    <s v="Luis Alvaro Rivera Santos"/>
    <n v="0"/>
    <n v="1"/>
    <s v="Y"/>
    <x v="0"/>
    <x v="9"/>
    <x v="0"/>
    <x v="0"/>
    <x v="0"/>
    <x v="1"/>
    <x v="0"/>
    <e v="#N/A"/>
  </r>
  <r>
    <s v="AJM01"/>
    <x v="0"/>
    <s v="Preventivo"/>
    <x v="8"/>
    <x v="8"/>
    <x v="28"/>
    <s v="000000003350"/>
    <x v="6"/>
    <x v="6"/>
    <d v="2025-02-07T10:20:35"/>
    <d v="2025-07-25T11:09:00"/>
    <s v="1073170379"/>
    <s v="Luis Alvaro Rivera Santos"/>
    <n v="0"/>
    <n v="1"/>
    <s v="Y"/>
    <x v="0"/>
    <x v="9"/>
    <x v="0"/>
    <x v="0"/>
    <x v="0"/>
    <x v="1"/>
    <x v="0"/>
    <e v="#N/A"/>
  </r>
  <r>
    <s v="AJM01"/>
    <x v="0"/>
    <s v="Preventivo"/>
    <x v="8"/>
    <x v="8"/>
    <x v="29"/>
    <s v="000000003350"/>
    <x v="6"/>
    <x v="6"/>
    <d v="2025-02-07T10:20:35"/>
    <d v="2025-07-25T11:09:00"/>
    <s v="1073170379"/>
    <s v="Luis Alvaro Rivera Santos"/>
    <n v="0"/>
    <n v="1"/>
    <s v="Y"/>
    <x v="0"/>
    <x v="9"/>
    <x v="0"/>
    <x v="0"/>
    <x v="0"/>
    <x v="1"/>
    <x v="0"/>
    <e v="#N/A"/>
  </r>
  <r>
    <s v="AJM01"/>
    <x v="0"/>
    <s v="Preventivo"/>
    <x v="8"/>
    <x v="8"/>
    <x v="30"/>
    <s v="000000003350"/>
    <x v="6"/>
    <x v="6"/>
    <d v="2025-02-07T10:20:35"/>
    <d v="2025-07-25T11:09:00"/>
    <s v="1073170379"/>
    <s v="Luis Alvaro Rivera Santos"/>
    <n v="0"/>
    <n v="1"/>
    <s v="Y"/>
    <x v="0"/>
    <x v="9"/>
    <x v="0"/>
    <x v="0"/>
    <x v="0"/>
    <x v="1"/>
    <x v="0"/>
    <e v="#N/A"/>
  </r>
  <r>
    <s v="AJM01"/>
    <x v="0"/>
    <s v="Preventivo"/>
    <x v="8"/>
    <x v="8"/>
    <x v="31"/>
    <s v="000000003350"/>
    <x v="6"/>
    <x v="6"/>
    <d v="2025-02-07T10:20:35"/>
    <d v="2025-07-25T11:09:00"/>
    <s v="1073170379"/>
    <s v="Luis Alvaro Rivera Santos"/>
    <n v="0"/>
    <n v="1"/>
    <s v="Y"/>
    <x v="0"/>
    <x v="9"/>
    <x v="0"/>
    <x v="0"/>
    <x v="0"/>
    <x v="1"/>
    <x v="0"/>
    <e v="#N/A"/>
  </r>
  <r>
    <s v="AJM01"/>
    <x v="0"/>
    <s v="Preventivo"/>
    <x v="8"/>
    <x v="8"/>
    <x v="32"/>
    <s v="000000003350"/>
    <x v="6"/>
    <x v="6"/>
    <d v="2025-02-07T10:20:35"/>
    <d v="2025-07-25T11:09:00"/>
    <s v="1073170379"/>
    <s v="Luis Alvaro Rivera Santos"/>
    <n v="0"/>
    <n v="1"/>
    <s v="Y"/>
    <x v="0"/>
    <x v="9"/>
    <x v="0"/>
    <x v="0"/>
    <x v="0"/>
    <x v="1"/>
    <x v="0"/>
    <e v="#N/A"/>
  </r>
  <r>
    <s v="AJM01"/>
    <x v="0"/>
    <s v="Preventivo"/>
    <x v="8"/>
    <x v="8"/>
    <x v="27"/>
    <s v="000000003337"/>
    <x v="9"/>
    <x v="9"/>
    <d v="2025-02-07T10:20:42"/>
    <d v="2025-07-25T11:09:00"/>
    <s v="1073170379"/>
    <s v="Luis Alvaro Rivera Santos"/>
    <n v="0"/>
    <n v="1"/>
    <s v="Y"/>
    <x v="0"/>
    <x v="9"/>
    <x v="0"/>
    <x v="0"/>
    <x v="0"/>
    <x v="3"/>
    <x v="0"/>
    <e v="#N/A"/>
  </r>
  <r>
    <s v="AJM01"/>
    <x v="0"/>
    <s v="Preventivo"/>
    <x v="8"/>
    <x v="8"/>
    <x v="28"/>
    <s v="000000003337"/>
    <x v="9"/>
    <x v="9"/>
    <d v="2025-02-07T10:20:42"/>
    <d v="2025-07-25T11:09:00"/>
    <s v="1073170379"/>
    <s v="Luis Alvaro Rivera Santos"/>
    <n v="0"/>
    <n v="1"/>
    <s v="Y"/>
    <x v="0"/>
    <x v="9"/>
    <x v="0"/>
    <x v="0"/>
    <x v="0"/>
    <x v="3"/>
    <x v="0"/>
    <e v="#N/A"/>
  </r>
  <r>
    <s v="AJM01"/>
    <x v="0"/>
    <s v="Preventivo"/>
    <x v="8"/>
    <x v="8"/>
    <x v="29"/>
    <s v="000000003337"/>
    <x v="9"/>
    <x v="9"/>
    <d v="2025-02-07T10:20:42"/>
    <d v="2025-07-25T11:09:00"/>
    <s v="1073170379"/>
    <s v="Luis Alvaro Rivera Santos"/>
    <n v="0"/>
    <n v="1"/>
    <s v="Y"/>
    <x v="0"/>
    <x v="9"/>
    <x v="0"/>
    <x v="0"/>
    <x v="0"/>
    <x v="3"/>
    <x v="0"/>
    <e v="#N/A"/>
  </r>
  <r>
    <s v="AJM01"/>
    <x v="0"/>
    <s v="Preventivo"/>
    <x v="8"/>
    <x v="8"/>
    <x v="30"/>
    <s v="000000003337"/>
    <x v="9"/>
    <x v="9"/>
    <d v="2025-02-07T10:20:42"/>
    <d v="2025-07-25T11:09:00"/>
    <s v="1073170379"/>
    <s v="Luis Alvaro Rivera Santos"/>
    <n v="0"/>
    <n v="1"/>
    <s v="Y"/>
    <x v="0"/>
    <x v="9"/>
    <x v="0"/>
    <x v="0"/>
    <x v="0"/>
    <x v="3"/>
    <x v="0"/>
    <e v="#N/A"/>
  </r>
  <r>
    <s v="AJM01"/>
    <x v="0"/>
    <s v="Preventivo"/>
    <x v="8"/>
    <x v="8"/>
    <x v="31"/>
    <s v="000000003337"/>
    <x v="9"/>
    <x v="9"/>
    <d v="2025-02-07T10:20:42"/>
    <d v="2025-07-25T11:09:00"/>
    <s v="1073170379"/>
    <s v="Luis Alvaro Rivera Santos"/>
    <n v="0"/>
    <n v="1"/>
    <s v="Y"/>
    <x v="0"/>
    <x v="9"/>
    <x v="0"/>
    <x v="0"/>
    <x v="0"/>
    <x v="3"/>
    <x v="0"/>
    <e v="#N/A"/>
  </r>
  <r>
    <s v="AJM01"/>
    <x v="0"/>
    <s v="Preventivo"/>
    <x v="8"/>
    <x v="8"/>
    <x v="32"/>
    <s v="000000003337"/>
    <x v="9"/>
    <x v="9"/>
    <d v="2025-02-07T10:20:42"/>
    <d v="2025-07-25T11:09:00"/>
    <s v="1073170379"/>
    <s v="Luis Alvaro Rivera Santos"/>
    <n v="0"/>
    <n v="1"/>
    <s v="Y"/>
    <x v="0"/>
    <x v="9"/>
    <x v="0"/>
    <x v="0"/>
    <x v="0"/>
    <x v="3"/>
    <x v="0"/>
    <e v="#N/A"/>
  </r>
  <r>
    <s v="AJM01"/>
    <x v="0"/>
    <s v="Preventivo"/>
    <x v="8"/>
    <x v="8"/>
    <x v="27"/>
    <s v="000000003342"/>
    <x v="12"/>
    <x v="12"/>
    <d v="2025-02-07T10:20:45"/>
    <d v="2025-07-25T11:09:00"/>
    <s v="1073170379"/>
    <s v="Luis Alvaro Rivera Santos"/>
    <n v="0"/>
    <n v="1"/>
    <s v="Y"/>
    <x v="0"/>
    <x v="9"/>
    <x v="0"/>
    <x v="0"/>
    <x v="0"/>
    <x v="5"/>
    <x v="0"/>
    <e v="#N/A"/>
  </r>
  <r>
    <s v="AJM01"/>
    <x v="0"/>
    <s v="Preventivo"/>
    <x v="8"/>
    <x v="8"/>
    <x v="28"/>
    <s v="000000003342"/>
    <x v="12"/>
    <x v="12"/>
    <d v="2025-02-07T10:20:45"/>
    <d v="2025-07-25T11:09:00"/>
    <s v="1073170379"/>
    <s v="Luis Alvaro Rivera Santos"/>
    <n v="0"/>
    <n v="1"/>
    <s v="Y"/>
    <x v="0"/>
    <x v="9"/>
    <x v="0"/>
    <x v="0"/>
    <x v="0"/>
    <x v="5"/>
    <x v="0"/>
    <e v="#N/A"/>
  </r>
  <r>
    <s v="AJM01"/>
    <x v="0"/>
    <s v="Preventivo"/>
    <x v="8"/>
    <x v="8"/>
    <x v="29"/>
    <s v="000000003342"/>
    <x v="12"/>
    <x v="12"/>
    <d v="2025-02-07T10:20:45"/>
    <d v="2025-07-25T11:09:00"/>
    <s v="1073170379"/>
    <s v="Luis Alvaro Rivera Santos"/>
    <n v="0"/>
    <n v="1"/>
    <s v="Y"/>
    <x v="0"/>
    <x v="9"/>
    <x v="0"/>
    <x v="0"/>
    <x v="0"/>
    <x v="5"/>
    <x v="0"/>
    <e v="#N/A"/>
  </r>
  <r>
    <s v="AJM01"/>
    <x v="0"/>
    <s v="Preventivo"/>
    <x v="8"/>
    <x v="8"/>
    <x v="30"/>
    <s v="000000003342"/>
    <x v="12"/>
    <x v="12"/>
    <d v="2025-02-07T10:20:45"/>
    <d v="2025-07-25T11:09:00"/>
    <s v="1073170379"/>
    <s v="Luis Alvaro Rivera Santos"/>
    <n v="0"/>
    <n v="1"/>
    <s v="Y"/>
    <x v="0"/>
    <x v="9"/>
    <x v="0"/>
    <x v="0"/>
    <x v="0"/>
    <x v="5"/>
    <x v="0"/>
    <e v="#N/A"/>
  </r>
  <r>
    <s v="AJM01"/>
    <x v="0"/>
    <s v="Preventivo"/>
    <x v="8"/>
    <x v="8"/>
    <x v="31"/>
    <s v="000000003342"/>
    <x v="12"/>
    <x v="12"/>
    <d v="2025-02-07T10:20:45"/>
    <d v="2025-07-25T11:09:00"/>
    <s v="1073170379"/>
    <s v="Luis Alvaro Rivera Santos"/>
    <n v="0"/>
    <n v="1"/>
    <s v="Y"/>
    <x v="0"/>
    <x v="9"/>
    <x v="0"/>
    <x v="0"/>
    <x v="0"/>
    <x v="5"/>
    <x v="0"/>
    <e v="#N/A"/>
  </r>
  <r>
    <s v="AJM01"/>
    <x v="0"/>
    <s v="Preventivo"/>
    <x v="8"/>
    <x v="8"/>
    <x v="32"/>
    <s v="000000003342"/>
    <x v="12"/>
    <x v="12"/>
    <d v="2025-02-07T10:20:45"/>
    <d v="2025-07-25T11:09:00"/>
    <s v="1073170379"/>
    <s v="Luis Alvaro Rivera Santos"/>
    <n v="0"/>
    <n v="1"/>
    <s v="Y"/>
    <x v="0"/>
    <x v="9"/>
    <x v="0"/>
    <x v="0"/>
    <x v="0"/>
    <x v="5"/>
    <x v="0"/>
    <e v="#N/A"/>
  </r>
  <r>
    <s v="AJM01"/>
    <x v="0"/>
    <s v="Preventivo"/>
    <x v="9"/>
    <x v="9"/>
    <x v="33"/>
    <s v="000000003350"/>
    <x v="6"/>
    <x v="6"/>
    <d v="2025-02-07T10:20:35"/>
    <d v="2025-07-25T11:09:00"/>
    <s v="1073170379"/>
    <s v="Luis Alvaro Rivera Santos"/>
    <n v="0"/>
    <n v="1"/>
    <s v="Y"/>
    <x v="0"/>
    <x v="10"/>
    <x v="0"/>
    <x v="0"/>
    <x v="0"/>
    <x v="1"/>
    <x v="0"/>
    <e v="#N/A"/>
  </r>
  <r>
    <s v="AJM01"/>
    <x v="0"/>
    <s v="Preventivo"/>
    <x v="9"/>
    <x v="9"/>
    <x v="34"/>
    <s v="000000003350"/>
    <x v="6"/>
    <x v="6"/>
    <d v="2025-02-07T10:20:35"/>
    <d v="2025-07-25T11:09:00"/>
    <s v="1073170379"/>
    <s v="Luis Alvaro Rivera Santos"/>
    <n v="0"/>
    <n v="1"/>
    <s v="Y"/>
    <x v="0"/>
    <x v="10"/>
    <x v="0"/>
    <x v="0"/>
    <x v="0"/>
    <x v="1"/>
    <x v="0"/>
    <e v="#N/A"/>
  </r>
  <r>
    <s v="AJM01"/>
    <x v="0"/>
    <s v="Preventivo"/>
    <x v="10"/>
    <x v="10"/>
    <x v="35"/>
    <s v="000000003350"/>
    <x v="6"/>
    <x v="6"/>
    <d v="2025-02-07T10:20:35"/>
    <d v="2025-07-25T11:09:00"/>
    <s v="1073170379"/>
    <s v="Luis Alvaro Rivera Santos"/>
    <n v="0"/>
    <n v="1"/>
    <s v="Y"/>
    <x v="0"/>
    <x v="11"/>
    <x v="0"/>
    <x v="0"/>
    <x v="0"/>
    <x v="1"/>
    <x v="0"/>
    <e v="#N/A"/>
  </r>
  <r>
    <s v="AJM01"/>
    <x v="0"/>
    <s v="Preventivo"/>
    <x v="10"/>
    <x v="10"/>
    <x v="36"/>
    <s v="000000003350"/>
    <x v="6"/>
    <x v="6"/>
    <d v="2025-02-07T10:20:35"/>
    <d v="2025-07-25T11:09:00"/>
    <s v="1073170379"/>
    <s v="Luis Alvaro Rivera Santos"/>
    <n v="0"/>
    <n v="1"/>
    <s v="Y"/>
    <x v="0"/>
    <x v="11"/>
    <x v="0"/>
    <x v="0"/>
    <x v="0"/>
    <x v="1"/>
    <x v="0"/>
    <e v="#N/A"/>
  </r>
  <r>
    <s v="AJM01"/>
    <x v="0"/>
    <s v="Preventivo"/>
    <x v="10"/>
    <x v="10"/>
    <x v="35"/>
    <s v="000000003337"/>
    <x v="9"/>
    <x v="9"/>
    <d v="2025-02-07T10:20:42"/>
    <d v="2025-07-25T11:09:00"/>
    <s v="1073170379"/>
    <s v="Luis Alvaro Rivera Santos"/>
    <n v="0"/>
    <n v="1"/>
    <s v="Y"/>
    <x v="0"/>
    <x v="11"/>
    <x v="0"/>
    <x v="0"/>
    <x v="0"/>
    <x v="3"/>
    <x v="0"/>
    <e v="#N/A"/>
  </r>
  <r>
    <s v="AJM01"/>
    <x v="0"/>
    <s v="Preventivo"/>
    <x v="10"/>
    <x v="10"/>
    <x v="36"/>
    <s v="000000003337"/>
    <x v="9"/>
    <x v="9"/>
    <d v="2025-02-07T10:20:42"/>
    <d v="2025-07-25T11:09:00"/>
    <s v="1073170379"/>
    <s v="Luis Alvaro Rivera Santos"/>
    <n v="0"/>
    <n v="1"/>
    <s v="Y"/>
    <x v="0"/>
    <x v="11"/>
    <x v="0"/>
    <x v="0"/>
    <x v="0"/>
    <x v="3"/>
    <x v="0"/>
    <e v="#N/A"/>
  </r>
  <r>
    <s v="AJM01"/>
    <x v="0"/>
    <s v="Preventivo"/>
    <x v="10"/>
    <x v="10"/>
    <x v="35"/>
    <s v="000000003341"/>
    <x v="11"/>
    <x v="11"/>
    <d v="2025-02-07T10:20:44"/>
    <d v="2025-07-25T11:09:00"/>
    <s v="1073170379"/>
    <s v="Luis Alvaro Rivera Santos"/>
    <n v="0"/>
    <n v="1"/>
    <s v="Y"/>
    <x v="0"/>
    <x v="11"/>
    <x v="0"/>
    <x v="0"/>
    <x v="0"/>
    <x v="4"/>
    <x v="0"/>
    <e v="#N/A"/>
  </r>
  <r>
    <s v="AJM01"/>
    <x v="0"/>
    <s v="Preventivo"/>
    <x v="10"/>
    <x v="10"/>
    <x v="36"/>
    <s v="000000003341"/>
    <x v="11"/>
    <x v="11"/>
    <d v="2025-02-07T10:20:44"/>
    <d v="2025-07-25T11:09:00"/>
    <s v="1073170379"/>
    <s v="Luis Alvaro Rivera Santos"/>
    <n v="0"/>
    <n v="1"/>
    <s v="Y"/>
    <x v="0"/>
    <x v="11"/>
    <x v="0"/>
    <x v="0"/>
    <x v="0"/>
    <x v="4"/>
    <x v="0"/>
    <e v="#N/A"/>
  </r>
  <r>
    <s v="AJM01"/>
    <x v="0"/>
    <s v="Preventivo"/>
    <x v="10"/>
    <x v="10"/>
    <x v="35"/>
    <s v="000000003342"/>
    <x v="12"/>
    <x v="12"/>
    <d v="2025-02-07T10:20:45"/>
    <d v="2025-07-25T11:09:00"/>
    <s v="1073170379"/>
    <s v="Luis Alvaro Rivera Santos"/>
    <n v="0"/>
    <n v="1"/>
    <s v="Y"/>
    <x v="0"/>
    <x v="11"/>
    <x v="0"/>
    <x v="0"/>
    <x v="0"/>
    <x v="5"/>
    <x v="0"/>
    <e v="#N/A"/>
  </r>
  <r>
    <s v="AJM01"/>
    <x v="0"/>
    <s v="Preventivo"/>
    <x v="10"/>
    <x v="10"/>
    <x v="36"/>
    <s v="000000003342"/>
    <x v="12"/>
    <x v="12"/>
    <d v="2025-02-07T10:20:45"/>
    <d v="2025-07-25T11:09:00"/>
    <s v="1073170379"/>
    <s v="Luis Alvaro Rivera Santos"/>
    <n v="0"/>
    <n v="1"/>
    <s v="Y"/>
    <x v="0"/>
    <x v="11"/>
    <x v="0"/>
    <x v="0"/>
    <x v="0"/>
    <x v="5"/>
    <x v="0"/>
    <e v="#N/A"/>
  </r>
  <r>
    <s v="AJM01"/>
    <x v="0"/>
    <s v="Preventivo"/>
    <x v="11"/>
    <x v="11"/>
    <x v="37"/>
    <s v="000000003350"/>
    <x v="6"/>
    <x v="6"/>
    <d v="2025-02-07T10:20:35"/>
    <d v="2025-07-25T11:09:00"/>
    <s v="1073170379"/>
    <s v="Luis Alvaro Rivera Santos"/>
    <n v="0"/>
    <n v="1"/>
    <s v="Y"/>
    <x v="0"/>
    <x v="12"/>
    <x v="0"/>
    <x v="0"/>
    <x v="0"/>
    <x v="1"/>
    <x v="0"/>
    <e v="#N/A"/>
  </r>
  <r>
    <s v="AJM01"/>
    <x v="0"/>
    <s v="Preventivo"/>
    <x v="11"/>
    <x v="11"/>
    <x v="38"/>
    <s v="000000003350"/>
    <x v="6"/>
    <x v="6"/>
    <d v="2025-02-07T10:20:35"/>
    <d v="2025-07-25T11:09:00"/>
    <s v="1073170379"/>
    <s v="Luis Alvaro Rivera Santos"/>
    <n v="0"/>
    <n v="1"/>
    <s v="Y"/>
    <x v="0"/>
    <x v="12"/>
    <x v="0"/>
    <x v="0"/>
    <x v="0"/>
    <x v="1"/>
    <x v="0"/>
    <e v="#N/A"/>
  </r>
  <r>
    <s v="AJM01"/>
    <x v="0"/>
    <s v="Preventivo"/>
    <x v="12"/>
    <x v="12"/>
    <x v="39"/>
    <s v="000000004143"/>
    <x v="13"/>
    <x v="13"/>
    <d v="2025-02-07T10:20:44"/>
    <d v="2025-07-25T11:09:00"/>
    <s v="1073170379"/>
    <s v="Luis Alvaro Rivera Santos"/>
    <n v="0"/>
    <n v="1"/>
    <s v="Y"/>
    <x v="0"/>
    <x v="13"/>
    <x v="0"/>
    <x v="0"/>
    <x v="0"/>
    <x v="6"/>
    <x v="0"/>
    <e v="#N/A"/>
  </r>
  <r>
    <s v="AJM01"/>
    <x v="0"/>
    <s v="Preventivo"/>
    <x v="13"/>
    <x v="13"/>
    <x v="9"/>
    <s v="000000004227"/>
    <x v="14"/>
    <x v="14"/>
    <d v="2025-02-07T10:20:45"/>
    <d v="2025-07-25T11:09:00"/>
    <s v="1073170379"/>
    <s v="Luis Alvaro Rivera Santos"/>
    <n v="0"/>
    <n v="1"/>
    <s v="Y"/>
    <x v="0"/>
    <x v="14"/>
    <x v="0"/>
    <x v="0"/>
    <x v="0"/>
    <x v="7"/>
    <x v="0"/>
    <e v="#N/A"/>
  </r>
  <r>
    <s v="AJM01"/>
    <x v="0"/>
    <s v="Preventivo"/>
    <x v="13"/>
    <x v="13"/>
    <x v="24"/>
    <s v="000000004227"/>
    <x v="14"/>
    <x v="14"/>
    <d v="2025-02-07T10:20:45"/>
    <d v="2025-07-25T11:09:00"/>
    <s v="1073170379"/>
    <s v="Luis Alvaro Rivera Santos"/>
    <n v="0"/>
    <n v="1"/>
    <s v="Y"/>
    <x v="0"/>
    <x v="14"/>
    <x v="0"/>
    <x v="0"/>
    <x v="0"/>
    <x v="7"/>
    <x v="0"/>
    <e v="#N/A"/>
  </r>
  <r>
    <s v="AJM01"/>
    <x v="0"/>
    <s v="Preventivo"/>
    <x v="13"/>
    <x v="13"/>
    <x v="40"/>
    <s v="000000004227"/>
    <x v="14"/>
    <x v="14"/>
    <d v="2025-02-07T10:20:45"/>
    <d v="2025-07-25T11:09:00"/>
    <s v="1073170379"/>
    <s v="Luis Alvaro Rivera Santos"/>
    <n v="0"/>
    <n v="1"/>
    <s v="Y"/>
    <x v="0"/>
    <x v="14"/>
    <x v="0"/>
    <x v="0"/>
    <x v="0"/>
    <x v="7"/>
    <x v="0"/>
    <e v="#N/A"/>
  </r>
  <r>
    <s v="AJM01"/>
    <x v="0"/>
    <s v="Preventivo"/>
    <x v="13"/>
    <x v="13"/>
    <x v="41"/>
    <s v="000000004227"/>
    <x v="14"/>
    <x v="14"/>
    <d v="2025-02-07T10:20:45"/>
    <d v="2025-07-25T11:09:00"/>
    <s v="1073170379"/>
    <s v="Luis Alvaro Rivera Santos"/>
    <n v="0"/>
    <n v="1"/>
    <s v="Y"/>
    <x v="0"/>
    <x v="14"/>
    <x v="0"/>
    <x v="0"/>
    <x v="0"/>
    <x v="7"/>
    <x v="0"/>
    <e v="#N/A"/>
  </r>
  <r>
    <s v="AJM01"/>
    <x v="0"/>
    <s v="Preventivo"/>
    <x v="13"/>
    <x v="13"/>
    <x v="42"/>
    <s v="000000004227"/>
    <x v="14"/>
    <x v="14"/>
    <d v="2025-02-07T10:20:45"/>
    <d v="2025-07-25T11:09:00"/>
    <s v="1073170379"/>
    <s v="Luis Alvaro Rivera Santos"/>
    <n v="0"/>
    <n v="1"/>
    <s v="Y"/>
    <x v="0"/>
    <x v="14"/>
    <x v="0"/>
    <x v="0"/>
    <x v="0"/>
    <x v="7"/>
    <x v="0"/>
    <e v="#N/A"/>
  </r>
  <r>
    <s v="AJM01"/>
    <x v="0"/>
    <s v="Preventivo"/>
    <x v="14"/>
    <x v="14"/>
    <x v="43"/>
    <s v="000000004207"/>
    <x v="15"/>
    <x v="15"/>
    <d v="2025-02-07T10:20:44"/>
    <d v="2025-07-25T11:09:00"/>
    <s v="1073170379"/>
    <s v="Luis Alvaro Rivera Santos"/>
    <n v="0"/>
    <n v="1"/>
    <s v="Y"/>
    <x v="0"/>
    <x v="15"/>
    <x v="0"/>
    <x v="0"/>
    <x v="0"/>
    <x v="8"/>
    <x v="0"/>
    <e v="#N/A"/>
  </r>
  <r>
    <s v="AJM01"/>
    <x v="0"/>
    <s v="Preventivo"/>
    <x v="14"/>
    <x v="14"/>
    <x v="44"/>
    <s v="000000004207"/>
    <x v="15"/>
    <x v="15"/>
    <d v="2025-02-07T10:20:44"/>
    <d v="2025-07-25T11:09:00"/>
    <s v="1073170379"/>
    <s v="Luis Alvaro Rivera Santos"/>
    <n v="0"/>
    <n v="1"/>
    <s v="Y"/>
    <x v="0"/>
    <x v="15"/>
    <x v="0"/>
    <x v="0"/>
    <x v="0"/>
    <x v="8"/>
    <x v="0"/>
    <e v="#N/A"/>
  </r>
  <r>
    <s v="AJM01"/>
    <x v="0"/>
    <s v="Preventivo"/>
    <x v="14"/>
    <x v="14"/>
    <x v="45"/>
    <s v="000000004207"/>
    <x v="15"/>
    <x v="15"/>
    <d v="2025-02-07T10:20:44"/>
    <d v="2025-07-25T11:09:00"/>
    <s v="1073170379"/>
    <s v="Luis Alvaro Rivera Santos"/>
    <n v="0"/>
    <n v="1"/>
    <s v="Y"/>
    <x v="0"/>
    <x v="15"/>
    <x v="0"/>
    <x v="0"/>
    <x v="0"/>
    <x v="8"/>
    <x v="0"/>
    <e v="#N/A"/>
  </r>
  <r>
    <s v="AJM01"/>
    <x v="0"/>
    <s v="Preventivo"/>
    <x v="14"/>
    <x v="14"/>
    <x v="46"/>
    <s v="000000004207"/>
    <x v="15"/>
    <x v="15"/>
    <d v="2025-02-07T10:20:44"/>
    <d v="2025-07-25T11:09:00"/>
    <s v="1073170379"/>
    <s v="Luis Alvaro Rivera Santos"/>
    <n v="0"/>
    <n v="1"/>
    <s v="Y"/>
    <x v="0"/>
    <x v="15"/>
    <x v="0"/>
    <x v="0"/>
    <x v="0"/>
    <x v="8"/>
    <x v="0"/>
    <e v="#N/A"/>
  </r>
  <r>
    <s v="AJM01"/>
    <x v="0"/>
    <s v="Preventivo"/>
    <x v="15"/>
    <x v="15"/>
    <x v="9"/>
    <s v="000000003960"/>
    <x v="16"/>
    <x v="16"/>
    <d v="2025-02-07T10:20:43"/>
    <d v="2025-07-25T11:09:00"/>
    <s v="1073170379"/>
    <s v="Luis Alvaro Rivera Santos"/>
    <n v="0"/>
    <n v="1"/>
    <s v="Y"/>
    <x v="0"/>
    <x v="16"/>
    <x v="0"/>
    <x v="0"/>
    <x v="0"/>
    <x v="3"/>
    <x v="0"/>
    <e v="#N/A"/>
  </r>
  <r>
    <s v="AJM01"/>
    <x v="0"/>
    <s v="Preventivo"/>
    <x v="15"/>
    <x v="15"/>
    <x v="47"/>
    <s v="000000003960"/>
    <x v="16"/>
    <x v="16"/>
    <d v="2025-02-07T10:20:43"/>
    <d v="2025-07-25T11:09:00"/>
    <s v="1073170379"/>
    <s v="Luis Alvaro Rivera Santos"/>
    <n v="0"/>
    <n v="1"/>
    <s v="Y"/>
    <x v="0"/>
    <x v="16"/>
    <x v="0"/>
    <x v="0"/>
    <x v="0"/>
    <x v="3"/>
    <x v="0"/>
    <e v="#N/A"/>
  </r>
  <r>
    <s v="AJM01"/>
    <x v="0"/>
    <s v="Preventivo"/>
    <x v="15"/>
    <x v="15"/>
    <x v="25"/>
    <s v="000000003960"/>
    <x v="16"/>
    <x v="16"/>
    <d v="2025-02-07T10:20:43"/>
    <d v="2025-07-25T11:09:00"/>
    <s v="1073170379"/>
    <s v="Luis Alvaro Rivera Santos"/>
    <n v="0"/>
    <n v="1"/>
    <s v="Y"/>
    <x v="0"/>
    <x v="16"/>
    <x v="0"/>
    <x v="0"/>
    <x v="0"/>
    <x v="3"/>
    <x v="0"/>
    <e v="#N/A"/>
  </r>
  <r>
    <s v="AJM01"/>
    <x v="0"/>
    <s v="Preventivo"/>
    <x v="15"/>
    <x v="15"/>
    <x v="48"/>
    <s v="000000003960"/>
    <x v="16"/>
    <x v="16"/>
    <d v="2025-02-07T10:20:43"/>
    <d v="2025-07-25T11:09:00"/>
    <s v="1073170379"/>
    <s v="Luis Alvaro Rivera Santos"/>
    <n v="0"/>
    <n v="1"/>
    <s v="Y"/>
    <x v="0"/>
    <x v="16"/>
    <x v="0"/>
    <x v="0"/>
    <x v="0"/>
    <x v="3"/>
    <x v="0"/>
    <e v="#N/A"/>
  </r>
  <r>
    <s v="AJM01"/>
    <x v="0"/>
    <s v="Preventivo"/>
    <x v="15"/>
    <x v="15"/>
    <x v="49"/>
    <s v="000000003960"/>
    <x v="16"/>
    <x v="16"/>
    <d v="2025-02-07T10:20:43"/>
    <d v="2025-07-25T11:09:00"/>
    <s v="1073170379"/>
    <s v="Luis Alvaro Rivera Santos"/>
    <n v="0"/>
    <n v="1"/>
    <s v="Y"/>
    <x v="0"/>
    <x v="16"/>
    <x v="0"/>
    <x v="0"/>
    <x v="0"/>
    <x v="3"/>
    <x v="0"/>
    <e v="#N/A"/>
  </r>
  <r>
    <s v="AJM01"/>
    <x v="0"/>
    <s v="Preventivo"/>
    <x v="15"/>
    <x v="15"/>
    <x v="9"/>
    <s v="000000003949"/>
    <x v="17"/>
    <x v="17"/>
    <d v="2025-02-07T10:20:45"/>
    <d v="2025-07-25T11:09:00"/>
    <s v="1073170379"/>
    <s v="Luis Alvaro Rivera Santos"/>
    <n v="0"/>
    <n v="1"/>
    <s v="Y"/>
    <x v="0"/>
    <x v="16"/>
    <x v="0"/>
    <x v="0"/>
    <x v="0"/>
    <x v="5"/>
    <x v="0"/>
    <e v="#N/A"/>
  </r>
  <r>
    <s v="AJM01"/>
    <x v="0"/>
    <s v="Preventivo"/>
    <x v="15"/>
    <x v="15"/>
    <x v="47"/>
    <s v="000000003949"/>
    <x v="17"/>
    <x v="17"/>
    <d v="2025-02-07T10:20:45"/>
    <d v="2025-07-25T11:09:00"/>
    <s v="1073170379"/>
    <s v="Luis Alvaro Rivera Santos"/>
    <n v="0"/>
    <n v="1"/>
    <s v="Y"/>
    <x v="0"/>
    <x v="16"/>
    <x v="0"/>
    <x v="0"/>
    <x v="0"/>
    <x v="5"/>
    <x v="0"/>
    <e v="#N/A"/>
  </r>
  <r>
    <s v="AJM01"/>
    <x v="0"/>
    <s v="Preventivo"/>
    <x v="15"/>
    <x v="15"/>
    <x v="25"/>
    <s v="000000003949"/>
    <x v="17"/>
    <x v="17"/>
    <d v="2025-02-07T10:20:45"/>
    <d v="2025-07-25T11:09:00"/>
    <s v="1073170379"/>
    <s v="Luis Alvaro Rivera Santos"/>
    <n v="0"/>
    <n v="1"/>
    <s v="Y"/>
    <x v="0"/>
    <x v="16"/>
    <x v="0"/>
    <x v="0"/>
    <x v="0"/>
    <x v="5"/>
    <x v="0"/>
    <e v="#N/A"/>
  </r>
  <r>
    <s v="AJM01"/>
    <x v="0"/>
    <s v="Preventivo"/>
    <x v="15"/>
    <x v="15"/>
    <x v="48"/>
    <s v="000000003949"/>
    <x v="17"/>
    <x v="17"/>
    <d v="2025-02-07T10:20:45"/>
    <d v="2025-07-25T11:09:00"/>
    <s v="1073170379"/>
    <s v="Luis Alvaro Rivera Santos"/>
    <n v="0"/>
    <n v="1"/>
    <s v="Y"/>
    <x v="0"/>
    <x v="16"/>
    <x v="0"/>
    <x v="0"/>
    <x v="0"/>
    <x v="5"/>
    <x v="0"/>
    <e v="#N/A"/>
  </r>
  <r>
    <s v="AJM01"/>
    <x v="0"/>
    <s v="Preventivo"/>
    <x v="15"/>
    <x v="15"/>
    <x v="49"/>
    <s v="000000003949"/>
    <x v="17"/>
    <x v="17"/>
    <d v="2025-02-07T10:20:45"/>
    <d v="2025-07-25T11:09:00"/>
    <s v="1073170379"/>
    <s v="Luis Alvaro Rivera Santos"/>
    <n v="0"/>
    <n v="1"/>
    <s v="Y"/>
    <x v="0"/>
    <x v="16"/>
    <x v="0"/>
    <x v="0"/>
    <x v="0"/>
    <x v="5"/>
    <x v="0"/>
    <e v="#N/A"/>
  </r>
  <r>
    <s v="AJM01"/>
    <x v="0"/>
    <s v="Preventivo"/>
    <x v="16"/>
    <x v="16"/>
    <x v="9"/>
    <s v="000000003340"/>
    <x v="18"/>
    <x v="18"/>
    <d v="2025-02-07T10:20:43"/>
    <d v="2025-07-25T11:09:00"/>
    <s v="1073170379"/>
    <s v="Luis Alvaro Rivera Santos"/>
    <n v="0"/>
    <n v="1"/>
    <s v="Y"/>
    <x v="0"/>
    <x v="17"/>
    <x v="0"/>
    <x v="0"/>
    <x v="0"/>
    <x v="4"/>
    <x v="0"/>
    <e v="#N/A"/>
  </r>
  <r>
    <s v="AJM01"/>
    <x v="0"/>
    <s v="Preventivo"/>
    <x v="16"/>
    <x v="16"/>
    <x v="50"/>
    <s v="000000003340"/>
    <x v="18"/>
    <x v="18"/>
    <d v="2025-02-07T10:20:43"/>
    <d v="2025-07-25T11:09:00"/>
    <s v="1073170379"/>
    <s v="Luis Alvaro Rivera Santos"/>
    <n v="0"/>
    <n v="1"/>
    <s v="Y"/>
    <x v="0"/>
    <x v="17"/>
    <x v="0"/>
    <x v="0"/>
    <x v="0"/>
    <x v="4"/>
    <x v="0"/>
    <e v="#N/A"/>
  </r>
  <r>
    <s v="AJM01"/>
    <x v="0"/>
    <s v="Preventivo"/>
    <x v="16"/>
    <x v="16"/>
    <x v="51"/>
    <s v="000000003340"/>
    <x v="18"/>
    <x v="18"/>
    <d v="2025-02-07T10:20:43"/>
    <d v="2025-07-25T11:09:00"/>
    <s v="1073170379"/>
    <s v="Luis Alvaro Rivera Santos"/>
    <n v="0"/>
    <n v="1"/>
    <s v="Y"/>
    <x v="0"/>
    <x v="17"/>
    <x v="0"/>
    <x v="0"/>
    <x v="0"/>
    <x v="4"/>
    <x v="0"/>
    <e v="#N/A"/>
  </r>
  <r>
    <s v="AJM01"/>
    <x v="0"/>
    <s v="Preventivo"/>
    <x v="16"/>
    <x v="16"/>
    <x v="52"/>
    <s v="000000003340"/>
    <x v="18"/>
    <x v="18"/>
    <d v="2025-02-07T10:20:43"/>
    <d v="2025-07-25T11:09:00"/>
    <s v="1073170379"/>
    <s v="Luis Alvaro Rivera Santos"/>
    <n v="0"/>
    <n v="1"/>
    <s v="Y"/>
    <x v="0"/>
    <x v="17"/>
    <x v="0"/>
    <x v="0"/>
    <x v="0"/>
    <x v="4"/>
    <x v="0"/>
    <e v="#N/A"/>
  </r>
  <r>
    <s v="AJM01"/>
    <x v="0"/>
    <s v="Preventivo"/>
    <x v="16"/>
    <x v="16"/>
    <x v="53"/>
    <s v="000000003340"/>
    <x v="18"/>
    <x v="18"/>
    <d v="2025-02-07T10:20:43"/>
    <d v="2025-07-25T11:09:00"/>
    <s v="1073170379"/>
    <s v="Luis Alvaro Rivera Santos"/>
    <n v="0"/>
    <n v="1"/>
    <s v="Y"/>
    <x v="0"/>
    <x v="17"/>
    <x v="0"/>
    <x v="0"/>
    <x v="0"/>
    <x v="4"/>
    <x v="0"/>
    <e v="#N/A"/>
  </r>
  <r>
    <s v="AJM01"/>
    <x v="0"/>
    <s v="Preventivo"/>
    <x v="16"/>
    <x v="16"/>
    <x v="54"/>
    <s v="000000003340"/>
    <x v="18"/>
    <x v="18"/>
    <d v="2025-02-07T10:20:43"/>
    <d v="2025-07-25T11:09:00"/>
    <s v="1073170379"/>
    <s v="Luis Alvaro Rivera Santos"/>
    <n v="0"/>
    <n v="1"/>
    <s v="Y"/>
    <x v="0"/>
    <x v="17"/>
    <x v="0"/>
    <x v="0"/>
    <x v="0"/>
    <x v="4"/>
    <x v="0"/>
    <e v="#N/A"/>
  </r>
  <r>
    <s v="AJM01"/>
    <x v="0"/>
    <s v="Preventivo"/>
    <x v="16"/>
    <x v="16"/>
    <x v="55"/>
    <s v="000000003340"/>
    <x v="18"/>
    <x v="18"/>
    <d v="2025-02-07T10:20:43"/>
    <d v="2025-07-25T11:09:00"/>
    <s v="1073170379"/>
    <s v="Luis Alvaro Rivera Santos"/>
    <n v="0"/>
    <n v="1"/>
    <s v="Y"/>
    <x v="0"/>
    <x v="17"/>
    <x v="0"/>
    <x v="0"/>
    <x v="0"/>
    <x v="4"/>
    <x v="0"/>
    <e v="#N/A"/>
  </r>
  <r>
    <s v="AJM01"/>
    <x v="0"/>
    <s v="Preventivo"/>
    <x v="16"/>
    <x v="16"/>
    <x v="56"/>
    <s v="000000003340"/>
    <x v="18"/>
    <x v="18"/>
    <d v="2025-02-07T10:20:43"/>
    <d v="2025-07-25T11:09:00"/>
    <s v="1073170379"/>
    <s v="Luis Alvaro Rivera Santos"/>
    <n v="0"/>
    <n v="1"/>
    <s v="Y"/>
    <x v="0"/>
    <x v="17"/>
    <x v="0"/>
    <x v="0"/>
    <x v="0"/>
    <x v="4"/>
    <x v="0"/>
    <e v="#N/A"/>
  </r>
  <r>
    <s v="AJM01"/>
    <x v="0"/>
    <s v="Preventivo"/>
    <x v="16"/>
    <x v="16"/>
    <x v="57"/>
    <s v="000000003340"/>
    <x v="18"/>
    <x v="18"/>
    <d v="2025-02-07T10:20:43"/>
    <d v="2025-07-25T11:09:00"/>
    <s v="1073170379"/>
    <s v="Luis Alvaro Rivera Santos"/>
    <n v="0"/>
    <n v="1"/>
    <s v="Y"/>
    <x v="0"/>
    <x v="17"/>
    <x v="0"/>
    <x v="0"/>
    <x v="0"/>
    <x v="4"/>
    <x v="0"/>
    <e v="#N/A"/>
  </r>
  <r>
    <s v="AJM01"/>
    <x v="0"/>
    <s v="Preventivo"/>
    <x v="16"/>
    <x v="16"/>
    <x v="58"/>
    <s v="000000003340"/>
    <x v="18"/>
    <x v="18"/>
    <d v="2025-02-07T10:20:43"/>
    <d v="2025-07-25T11:09:00"/>
    <s v="1073170379"/>
    <s v="Luis Alvaro Rivera Santos"/>
    <n v="0"/>
    <n v="1"/>
    <s v="Y"/>
    <x v="0"/>
    <x v="17"/>
    <x v="0"/>
    <x v="0"/>
    <x v="0"/>
    <x v="4"/>
    <x v="0"/>
    <e v="#N/A"/>
  </r>
  <r>
    <s v="AJM01"/>
    <x v="0"/>
    <s v="Preventivo"/>
    <x v="16"/>
    <x v="16"/>
    <x v="59"/>
    <s v="000000003340"/>
    <x v="18"/>
    <x v="18"/>
    <d v="2025-02-07T10:20:43"/>
    <d v="2025-07-25T11:09:00"/>
    <s v="1073170379"/>
    <s v="Luis Alvaro Rivera Santos"/>
    <n v="0"/>
    <n v="1"/>
    <s v="Y"/>
    <x v="0"/>
    <x v="17"/>
    <x v="0"/>
    <x v="0"/>
    <x v="0"/>
    <x v="4"/>
    <x v="0"/>
    <e v="#N/A"/>
  </r>
  <r>
    <s v="AJM01"/>
    <x v="0"/>
    <s v="Preventivo"/>
    <x v="16"/>
    <x v="16"/>
    <x v="60"/>
    <s v="000000003340"/>
    <x v="18"/>
    <x v="18"/>
    <d v="2025-02-07T10:20:43"/>
    <d v="2025-07-25T11:09:00"/>
    <s v="1073170379"/>
    <s v="Luis Alvaro Rivera Santos"/>
    <n v="0"/>
    <n v="1"/>
    <s v="Y"/>
    <x v="0"/>
    <x v="17"/>
    <x v="0"/>
    <x v="0"/>
    <x v="0"/>
    <x v="4"/>
    <x v="0"/>
    <e v="#N/A"/>
  </r>
  <r>
    <s v="AJM01"/>
    <x v="0"/>
    <s v="Preventivo"/>
    <x v="16"/>
    <x v="16"/>
    <x v="61"/>
    <s v="000000003340"/>
    <x v="18"/>
    <x v="18"/>
    <d v="2025-02-07T10:20:43"/>
    <d v="2025-07-25T11:09:00"/>
    <s v="1073170379"/>
    <s v="Luis Alvaro Rivera Santos"/>
    <n v="0"/>
    <n v="1"/>
    <s v="Y"/>
    <x v="0"/>
    <x v="17"/>
    <x v="0"/>
    <x v="0"/>
    <x v="0"/>
    <x v="4"/>
    <x v="0"/>
    <e v="#N/A"/>
  </r>
  <r>
    <s v="AJM01"/>
    <x v="0"/>
    <s v="Preventivo"/>
    <x v="16"/>
    <x v="16"/>
    <x v="62"/>
    <s v="000000003340"/>
    <x v="18"/>
    <x v="18"/>
    <d v="2025-02-07T10:20:43"/>
    <d v="2025-07-25T11:09:00"/>
    <s v="1073170379"/>
    <s v="Luis Alvaro Rivera Santos"/>
    <n v="0"/>
    <n v="1"/>
    <s v="Y"/>
    <x v="0"/>
    <x v="17"/>
    <x v="0"/>
    <x v="0"/>
    <x v="0"/>
    <x v="4"/>
    <x v="0"/>
    <e v="#N/A"/>
  </r>
  <r>
    <s v="AJM01"/>
    <x v="0"/>
    <s v="Preventivo"/>
    <x v="17"/>
    <x v="17"/>
    <x v="63"/>
    <s v="000000004160"/>
    <x v="19"/>
    <x v="19"/>
    <d v="2025-02-07T10:20:44"/>
    <d v="2025-07-25T11:09:00"/>
    <s v="1073170379"/>
    <s v="Luis Alvaro Rivera Santos"/>
    <n v="0"/>
    <n v="1"/>
    <s v="Y"/>
    <x v="0"/>
    <x v="18"/>
    <x v="0"/>
    <x v="0"/>
    <x v="0"/>
    <x v="9"/>
    <x v="0"/>
    <e v="#N/A"/>
  </r>
  <r>
    <s v="AJM01"/>
    <x v="0"/>
    <s v="Preventivo"/>
    <x v="17"/>
    <x v="17"/>
    <x v="64"/>
    <s v="000000004160"/>
    <x v="19"/>
    <x v="19"/>
    <d v="2025-02-07T10:20:44"/>
    <d v="2025-07-25T11:09:00"/>
    <s v="1073170379"/>
    <s v="Luis Alvaro Rivera Santos"/>
    <n v="0"/>
    <n v="1"/>
    <s v="Y"/>
    <x v="0"/>
    <x v="18"/>
    <x v="0"/>
    <x v="0"/>
    <x v="0"/>
    <x v="9"/>
    <x v="0"/>
    <e v="#N/A"/>
  </r>
  <r>
    <s v="AJM01"/>
    <x v="0"/>
    <s v="Preventivo"/>
    <x v="17"/>
    <x v="17"/>
    <x v="65"/>
    <s v="000000004160"/>
    <x v="19"/>
    <x v="19"/>
    <d v="2025-02-07T10:20:44"/>
    <d v="2025-07-25T11:09:00"/>
    <s v="1073170379"/>
    <s v="Luis Alvaro Rivera Santos"/>
    <n v="0"/>
    <n v="1"/>
    <s v="Y"/>
    <x v="0"/>
    <x v="18"/>
    <x v="0"/>
    <x v="0"/>
    <x v="0"/>
    <x v="9"/>
    <x v="0"/>
    <e v="#N/A"/>
  </r>
  <r>
    <s v="AJM01"/>
    <x v="0"/>
    <s v="Preventivo"/>
    <x v="17"/>
    <x v="17"/>
    <x v="66"/>
    <s v="000000004160"/>
    <x v="19"/>
    <x v="19"/>
    <d v="2025-02-07T10:20:44"/>
    <d v="2025-07-25T11:09:00"/>
    <s v="1073170379"/>
    <s v="Luis Alvaro Rivera Santos"/>
    <n v="0"/>
    <n v="1"/>
    <s v="Y"/>
    <x v="0"/>
    <x v="18"/>
    <x v="0"/>
    <x v="0"/>
    <x v="0"/>
    <x v="9"/>
    <x v="0"/>
    <e v="#N/A"/>
  </r>
  <r>
    <s v="AJM01"/>
    <x v="0"/>
    <s v="Preventivo"/>
    <x v="17"/>
    <x v="17"/>
    <x v="67"/>
    <s v="000000004160"/>
    <x v="19"/>
    <x v="19"/>
    <d v="2025-02-07T10:20:44"/>
    <d v="2025-07-25T11:09:00"/>
    <s v="1073170379"/>
    <s v="Luis Alvaro Rivera Santos"/>
    <n v="0"/>
    <n v="1"/>
    <s v="Y"/>
    <x v="0"/>
    <x v="18"/>
    <x v="0"/>
    <x v="0"/>
    <x v="0"/>
    <x v="9"/>
    <x v="0"/>
    <e v="#N/A"/>
  </r>
  <r>
    <s v="AJM01"/>
    <x v="0"/>
    <s v="Preventivo"/>
    <x v="17"/>
    <x v="17"/>
    <x v="68"/>
    <s v="000000004160"/>
    <x v="19"/>
    <x v="19"/>
    <d v="2025-02-07T10:20:44"/>
    <d v="2025-07-25T11:09:00"/>
    <s v="1073170379"/>
    <s v="Luis Alvaro Rivera Santos"/>
    <n v="0"/>
    <n v="1"/>
    <s v="Y"/>
    <x v="0"/>
    <x v="18"/>
    <x v="0"/>
    <x v="0"/>
    <x v="0"/>
    <x v="9"/>
    <x v="0"/>
    <e v="#N/A"/>
  </r>
  <r>
    <s v="AJM01"/>
    <x v="0"/>
    <s v="Preventivo"/>
    <x v="18"/>
    <x v="18"/>
    <x v="69"/>
    <s v="000000003960"/>
    <x v="16"/>
    <x v="16"/>
    <d v="2025-02-07T10:20:43"/>
    <d v="2025-07-25T11:09:00"/>
    <s v="1073170379"/>
    <s v="Luis Alvaro Rivera Santos"/>
    <n v="0"/>
    <n v="1"/>
    <s v="Y"/>
    <x v="0"/>
    <x v="19"/>
    <x v="0"/>
    <x v="0"/>
    <x v="0"/>
    <x v="3"/>
    <x v="0"/>
    <e v="#N/A"/>
  </r>
  <r>
    <s v="AJM01"/>
    <x v="0"/>
    <s v="Preventivo"/>
    <x v="18"/>
    <x v="18"/>
    <x v="70"/>
    <s v="000000003960"/>
    <x v="16"/>
    <x v="16"/>
    <d v="2025-02-07T10:20:43"/>
    <d v="2025-07-25T11:09:00"/>
    <s v="1073170379"/>
    <s v="Luis Alvaro Rivera Santos"/>
    <n v="0"/>
    <n v="1"/>
    <s v="Y"/>
    <x v="0"/>
    <x v="19"/>
    <x v="0"/>
    <x v="0"/>
    <x v="0"/>
    <x v="3"/>
    <x v="0"/>
    <e v="#N/A"/>
  </r>
  <r>
    <s v="AJM01"/>
    <x v="0"/>
    <s v="Preventivo"/>
    <x v="18"/>
    <x v="18"/>
    <x v="71"/>
    <s v="000000003960"/>
    <x v="16"/>
    <x v="16"/>
    <d v="2025-02-07T10:20:43"/>
    <d v="2025-07-25T11:09:00"/>
    <s v="1073170379"/>
    <s v="Luis Alvaro Rivera Santos"/>
    <n v="0"/>
    <n v="1"/>
    <s v="Y"/>
    <x v="0"/>
    <x v="19"/>
    <x v="0"/>
    <x v="0"/>
    <x v="0"/>
    <x v="3"/>
    <x v="0"/>
    <e v="#N/A"/>
  </r>
  <r>
    <s v="AJM01"/>
    <x v="0"/>
    <s v="Preventivo"/>
    <x v="18"/>
    <x v="18"/>
    <x v="69"/>
    <s v="000000003949"/>
    <x v="17"/>
    <x v="17"/>
    <d v="2025-02-07T10:20:45"/>
    <d v="2025-07-25T11:09:00"/>
    <s v="1073170379"/>
    <s v="Luis Alvaro Rivera Santos"/>
    <n v="0"/>
    <n v="1"/>
    <s v="Y"/>
    <x v="0"/>
    <x v="19"/>
    <x v="0"/>
    <x v="0"/>
    <x v="0"/>
    <x v="5"/>
    <x v="0"/>
    <e v="#N/A"/>
  </r>
  <r>
    <s v="AJM01"/>
    <x v="0"/>
    <s v="Preventivo"/>
    <x v="18"/>
    <x v="18"/>
    <x v="70"/>
    <s v="000000003949"/>
    <x v="17"/>
    <x v="17"/>
    <d v="2025-02-07T10:20:45"/>
    <d v="2025-07-25T11:09:00"/>
    <s v="1073170379"/>
    <s v="Luis Alvaro Rivera Santos"/>
    <n v="0"/>
    <n v="1"/>
    <s v="Y"/>
    <x v="0"/>
    <x v="19"/>
    <x v="0"/>
    <x v="0"/>
    <x v="0"/>
    <x v="5"/>
    <x v="0"/>
    <e v="#N/A"/>
  </r>
  <r>
    <s v="AJM01"/>
    <x v="0"/>
    <s v="Preventivo"/>
    <x v="18"/>
    <x v="18"/>
    <x v="71"/>
    <s v="000000003949"/>
    <x v="17"/>
    <x v="17"/>
    <d v="2025-02-07T10:20:45"/>
    <d v="2025-07-25T11:09:00"/>
    <s v="1073170379"/>
    <s v="Luis Alvaro Rivera Santos"/>
    <n v="0"/>
    <n v="1"/>
    <s v="Y"/>
    <x v="0"/>
    <x v="19"/>
    <x v="0"/>
    <x v="0"/>
    <x v="0"/>
    <x v="5"/>
    <x v="0"/>
    <e v="#N/A"/>
  </r>
  <r>
    <s v="AJM01"/>
    <x v="0"/>
    <s v="Preventivo"/>
    <x v="19"/>
    <x v="19"/>
    <x v="72"/>
    <s v="000000003334"/>
    <x v="20"/>
    <x v="20"/>
    <d v="2025-02-07T10:20:36"/>
    <d v="2025-07-25T11:09:00"/>
    <s v="1073170379"/>
    <s v="Luis Alvaro Rivera Santos"/>
    <n v="0"/>
    <n v="1"/>
    <s v="Y"/>
    <x v="0"/>
    <x v="20"/>
    <x v="0"/>
    <x v="0"/>
    <x v="0"/>
    <x v="2"/>
    <x v="0"/>
    <e v="#N/A"/>
  </r>
  <r>
    <s v="AJM01"/>
    <x v="0"/>
    <s v="Preventivo"/>
    <x v="20"/>
    <x v="20"/>
    <x v="73"/>
    <s v="000000003340"/>
    <x v="18"/>
    <x v="18"/>
    <d v="2025-02-07T10:20:43"/>
    <d v="2025-07-25T11:09:00"/>
    <s v="1073170379"/>
    <s v="Luis Alvaro Rivera Santos"/>
    <n v="0"/>
    <n v="1"/>
    <s v="Y"/>
    <x v="0"/>
    <x v="21"/>
    <x v="0"/>
    <x v="0"/>
    <x v="0"/>
    <x v="4"/>
    <x v="0"/>
    <e v="#N/A"/>
  </r>
  <r>
    <s v="AJM01"/>
    <x v="0"/>
    <s v="Preventivo"/>
    <x v="20"/>
    <x v="20"/>
    <x v="74"/>
    <s v="000000003340"/>
    <x v="18"/>
    <x v="18"/>
    <d v="2025-02-07T10:20:43"/>
    <d v="2025-07-25T11:09:00"/>
    <s v="1073170379"/>
    <s v="Luis Alvaro Rivera Santos"/>
    <n v="0"/>
    <n v="1"/>
    <s v="Y"/>
    <x v="0"/>
    <x v="21"/>
    <x v="0"/>
    <x v="0"/>
    <x v="0"/>
    <x v="4"/>
    <x v="0"/>
    <e v="#N/A"/>
  </r>
  <r>
    <s v="AJM01"/>
    <x v="0"/>
    <s v="Preventivo"/>
    <x v="21"/>
    <x v="21"/>
    <x v="75"/>
    <s v="000000003336"/>
    <x v="21"/>
    <x v="21"/>
    <d v="2025-02-07T10:20:41"/>
    <d v="2025-07-25T11:09:00"/>
    <s v="1073170379"/>
    <s v="Luis Alvaro Rivera Santos"/>
    <n v="0"/>
    <n v="1"/>
    <s v="Y"/>
    <x v="0"/>
    <x v="22"/>
    <x v="0"/>
    <x v="0"/>
    <x v="0"/>
    <x v="3"/>
    <x v="0"/>
    <e v="#N/A"/>
  </r>
  <r>
    <s v="AJM01"/>
    <x v="0"/>
    <s v="Preventivo"/>
    <x v="21"/>
    <x v="21"/>
    <x v="76"/>
    <s v="000000003336"/>
    <x v="21"/>
    <x v="21"/>
    <d v="2025-02-07T10:20:41"/>
    <d v="2025-07-25T11:09:00"/>
    <s v="1073170379"/>
    <s v="Luis Alvaro Rivera Santos"/>
    <n v="0"/>
    <n v="1"/>
    <s v="Y"/>
    <x v="0"/>
    <x v="22"/>
    <x v="0"/>
    <x v="0"/>
    <x v="0"/>
    <x v="3"/>
    <x v="0"/>
    <e v="#N/A"/>
  </r>
  <r>
    <s v="AJM01"/>
    <x v="0"/>
    <s v="Preventivo"/>
    <x v="22"/>
    <x v="22"/>
    <x v="9"/>
    <s v="000000003336"/>
    <x v="21"/>
    <x v="21"/>
    <d v="2025-02-07T10:20:41"/>
    <d v="2025-07-25T11:09:00"/>
    <s v="1073170379"/>
    <s v="Luis Alvaro Rivera Santos"/>
    <n v="0"/>
    <n v="1"/>
    <s v="Y"/>
    <x v="0"/>
    <x v="23"/>
    <x v="0"/>
    <x v="0"/>
    <x v="0"/>
    <x v="3"/>
    <x v="0"/>
    <e v="#N/A"/>
  </r>
  <r>
    <s v="AJM01"/>
    <x v="0"/>
    <s v="Preventivo"/>
    <x v="22"/>
    <x v="22"/>
    <x v="50"/>
    <s v="000000003336"/>
    <x v="21"/>
    <x v="21"/>
    <d v="2025-02-07T10:20:41"/>
    <d v="2025-07-25T11:09:00"/>
    <s v="1073170379"/>
    <s v="Luis Alvaro Rivera Santos"/>
    <n v="0"/>
    <n v="1"/>
    <s v="Y"/>
    <x v="0"/>
    <x v="23"/>
    <x v="0"/>
    <x v="0"/>
    <x v="0"/>
    <x v="3"/>
    <x v="0"/>
    <e v="#N/A"/>
  </r>
  <r>
    <s v="AJM01"/>
    <x v="0"/>
    <s v="Preventivo"/>
    <x v="22"/>
    <x v="22"/>
    <x v="52"/>
    <s v="000000003336"/>
    <x v="21"/>
    <x v="21"/>
    <d v="2025-02-07T10:20:41"/>
    <d v="2025-07-25T11:09:00"/>
    <s v="1073170379"/>
    <s v="Luis Alvaro Rivera Santos"/>
    <n v="0"/>
    <n v="1"/>
    <s v="Y"/>
    <x v="0"/>
    <x v="23"/>
    <x v="0"/>
    <x v="0"/>
    <x v="0"/>
    <x v="3"/>
    <x v="0"/>
    <e v="#N/A"/>
  </r>
  <r>
    <s v="AJM01"/>
    <x v="0"/>
    <s v="Preventivo"/>
    <x v="22"/>
    <x v="22"/>
    <x v="53"/>
    <s v="000000003336"/>
    <x v="21"/>
    <x v="21"/>
    <d v="2025-02-07T10:20:41"/>
    <d v="2025-07-25T11:09:00"/>
    <s v="1073170379"/>
    <s v="Luis Alvaro Rivera Santos"/>
    <n v="0"/>
    <n v="1"/>
    <s v="Y"/>
    <x v="0"/>
    <x v="23"/>
    <x v="0"/>
    <x v="0"/>
    <x v="0"/>
    <x v="3"/>
    <x v="0"/>
    <e v="#N/A"/>
  </r>
  <r>
    <s v="AJM01"/>
    <x v="0"/>
    <s v="Preventivo"/>
    <x v="22"/>
    <x v="22"/>
    <x v="55"/>
    <s v="000000003336"/>
    <x v="21"/>
    <x v="21"/>
    <d v="2025-02-07T10:20:41"/>
    <d v="2025-07-25T11:09:00"/>
    <s v="1073170379"/>
    <s v="Luis Alvaro Rivera Santos"/>
    <n v="0"/>
    <n v="1"/>
    <s v="Y"/>
    <x v="0"/>
    <x v="23"/>
    <x v="0"/>
    <x v="0"/>
    <x v="0"/>
    <x v="3"/>
    <x v="0"/>
    <e v="#N/A"/>
  </r>
  <r>
    <s v="AJM01"/>
    <x v="0"/>
    <s v="Preventivo"/>
    <x v="22"/>
    <x v="22"/>
    <x v="56"/>
    <s v="000000003336"/>
    <x v="21"/>
    <x v="21"/>
    <d v="2025-02-07T10:20:41"/>
    <d v="2025-07-25T11:09:00"/>
    <s v="1073170379"/>
    <s v="Luis Alvaro Rivera Santos"/>
    <n v="0"/>
    <n v="1"/>
    <s v="Y"/>
    <x v="0"/>
    <x v="23"/>
    <x v="0"/>
    <x v="0"/>
    <x v="0"/>
    <x v="3"/>
    <x v="0"/>
    <e v="#N/A"/>
  </r>
  <r>
    <s v="AJM01"/>
    <x v="0"/>
    <s v="Preventivo"/>
    <x v="22"/>
    <x v="22"/>
    <x v="57"/>
    <s v="000000003336"/>
    <x v="21"/>
    <x v="21"/>
    <d v="2025-02-07T10:20:41"/>
    <d v="2025-07-25T11:09:00"/>
    <s v="1073170379"/>
    <s v="Luis Alvaro Rivera Santos"/>
    <n v="0"/>
    <n v="1"/>
    <s v="Y"/>
    <x v="0"/>
    <x v="23"/>
    <x v="0"/>
    <x v="0"/>
    <x v="0"/>
    <x v="3"/>
    <x v="0"/>
    <e v="#N/A"/>
  </r>
  <r>
    <s v="AJM01"/>
    <x v="0"/>
    <s v="Preventivo"/>
    <x v="22"/>
    <x v="22"/>
    <x v="59"/>
    <s v="000000003336"/>
    <x v="21"/>
    <x v="21"/>
    <d v="2025-02-07T10:20:41"/>
    <d v="2025-07-25T11:09:00"/>
    <s v="1073170379"/>
    <s v="Luis Alvaro Rivera Santos"/>
    <n v="0"/>
    <n v="1"/>
    <s v="Y"/>
    <x v="0"/>
    <x v="23"/>
    <x v="0"/>
    <x v="0"/>
    <x v="0"/>
    <x v="3"/>
    <x v="0"/>
    <e v="#N/A"/>
  </r>
  <r>
    <s v="AJM01"/>
    <x v="0"/>
    <s v="Preventivo"/>
    <x v="22"/>
    <x v="22"/>
    <x v="61"/>
    <s v="000000003336"/>
    <x v="21"/>
    <x v="21"/>
    <d v="2025-02-07T10:20:41"/>
    <d v="2025-07-25T11:09:00"/>
    <s v="1073170379"/>
    <s v="Luis Alvaro Rivera Santos"/>
    <n v="0"/>
    <n v="1"/>
    <s v="Y"/>
    <x v="0"/>
    <x v="23"/>
    <x v="0"/>
    <x v="0"/>
    <x v="0"/>
    <x v="3"/>
    <x v="0"/>
    <e v="#N/A"/>
  </r>
  <r>
    <s v="AJM01"/>
    <x v="0"/>
    <s v="Preventivo"/>
    <x v="22"/>
    <x v="22"/>
    <x v="62"/>
    <s v="000000003336"/>
    <x v="21"/>
    <x v="21"/>
    <d v="2025-02-07T10:20:41"/>
    <d v="2025-07-25T11:09:00"/>
    <s v="1073170379"/>
    <s v="Luis Alvaro Rivera Santos"/>
    <n v="0"/>
    <n v="1"/>
    <s v="Y"/>
    <x v="0"/>
    <x v="23"/>
    <x v="0"/>
    <x v="0"/>
    <x v="0"/>
    <x v="3"/>
    <x v="0"/>
    <e v="#N/A"/>
  </r>
  <r>
    <s v="AJM01"/>
    <x v="0"/>
    <s v="Preventivo"/>
    <x v="23"/>
    <x v="23"/>
    <x v="77"/>
    <s v="000000003339"/>
    <x v="22"/>
    <x v="22"/>
    <d v="2025-02-07T10:20:38"/>
    <d v="2025-07-25T11:09:00"/>
    <s v="1073170379"/>
    <s v="Luis Alvaro Rivera Santos"/>
    <n v="0"/>
    <n v="1"/>
    <s v="Y"/>
    <x v="0"/>
    <x v="24"/>
    <x v="0"/>
    <x v="0"/>
    <x v="0"/>
    <x v="0"/>
    <x v="0"/>
    <e v="#N/A"/>
  </r>
  <r>
    <s v="AJM01"/>
    <x v="0"/>
    <s v="Preventivo"/>
    <x v="23"/>
    <x v="23"/>
    <x v="78"/>
    <s v="000000003339"/>
    <x v="22"/>
    <x v="22"/>
    <d v="2025-02-07T10:20:38"/>
    <d v="2025-07-25T11:09:00"/>
    <s v="1073170379"/>
    <s v="Luis Alvaro Rivera Santos"/>
    <n v="0"/>
    <n v="1"/>
    <s v="Y"/>
    <x v="0"/>
    <x v="24"/>
    <x v="0"/>
    <x v="0"/>
    <x v="0"/>
    <x v="0"/>
    <x v="0"/>
    <e v="#N/A"/>
  </r>
  <r>
    <s v="AJM01"/>
    <x v="0"/>
    <s v="Preventivo"/>
    <x v="23"/>
    <x v="23"/>
    <x v="79"/>
    <s v="000000003339"/>
    <x v="22"/>
    <x v="22"/>
    <d v="2025-02-07T10:20:38"/>
    <d v="2025-07-25T11:09:00"/>
    <s v="1073170379"/>
    <s v="Luis Alvaro Rivera Santos"/>
    <n v="0"/>
    <n v="1"/>
    <s v="Y"/>
    <x v="0"/>
    <x v="24"/>
    <x v="0"/>
    <x v="0"/>
    <x v="0"/>
    <x v="0"/>
    <x v="0"/>
    <e v="#N/A"/>
  </r>
  <r>
    <s v="AJM01"/>
    <x v="0"/>
    <s v="Preventivo"/>
    <x v="24"/>
    <x v="24"/>
    <x v="80"/>
    <s v="000000003339"/>
    <x v="22"/>
    <x v="22"/>
    <d v="2025-02-07T10:20:38"/>
    <d v="2025-07-25T11:09:00"/>
    <s v="1073170379"/>
    <s v="Luis Alvaro Rivera Santos"/>
    <n v="0"/>
    <n v="1"/>
    <s v="Y"/>
    <x v="0"/>
    <x v="25"/>
    <x v="0"/>
    <x v="0"/>
    <x v="0"/>
    <x v="0"/>
    <x v="0"/>
    <e v="#N/A"/>
  </r>
  <r>
    <s v="AJM01"/>
    <x v="0"/>
    <s v="Preventivo"/>
    <x v="24"/>
    <x v="24"/>
    <x v="81"/>
    <s v="000000003339"/>
    <x v="22"/>
    <x v="22"/>
    <d v="2025-02-07T10:20:38"/>
    <d v="2025-07-25T11:09:00"/>
    <s v="1073170379"/>
    <s v="Luis Alvaro Rivera Santos"/>
    <n v="0"/>
    <n v="1"/>
    <s v="Y"/>
    <x v="0"/>
    <x v="25"/>
    <x v="0"/>
    <x v="0"/>
    <x v="0"/>
    <x v="0"/>
    <x v="0"/>
    <e v="#N/A"/>
  </r>
  <r>
    <s v="AJM01"/>
    <x v="0"/>
    <s v="Preventivo"/>
    <x v="24"/>
    <x v="24"/>
    <x v="79"/>
    <s v="000000003339"/>
    <x v="22"/>
    <x v="22"/>
    <d v="2025-02-07T10:20:38"/>
    <d v="2025-07-25T11:09:00"/>
    <s v="1073170379"/>
    <s v="Luis Alvaro Rivera Santos"/>
    <n v="0"/>
    <n v="1"/>
    <s v="Y"/>
    <x v="0"/>
    <x v="25"/>
    <x v="0"/>
    <x v="0"/>
    <x v="0"/>
    <x v="0"/>
    <x v="0"/>
    <e v="#N/A"/>
  </r>
  <r>
    <s v="AJM01"/>
    <x v="0"/>
    <s v="Preventivo"/>
    <x v="25"/>
    <x v="25"/>
    <x v="82"/>
    <s v="000000003348"/>
    <x v="23"/>
    <x v="23"/>
    <d v="2025-02-07T10:20:32"/>
    <d v="2025-07-25T11:09:00"/>
    <s v="1073170379"/>
    <s v="Luis Alvaro Rivera Santos"/>
    <n v="0"/>
    <n v="1"/>
    <s v="Y"/>
    <x v="0"/>
    <x v="26"/>
    <x v="0"/>
    <x v="0"/>
    <x v="0"/>
    <x v="1"/>
    <x v="0"/>
    <e v="#N/A"/>
  </r>
  <r>
    <s v="AJM01"/>
    <x v="0"/>
    <s v="Preventivo"/>
    <x v="26"/>
    <x v="26"/>
    <x v="83"/>
    <s v="000000003334"/>
    <x v="20"/>
    <x v="20"/>
    <d v="2025-02-07T10:20:36"/>
    <d v="2025-07-25T11:09:00"/>
    <s v="1073170379"/>
    <s v="Luis Alvaro Rivera Santos"/>
    <n v="0"/>
    <n v="1"/>
    <s v="Y"/>
    <x v="0"/>
    <x v="27"/>
    <x v="0"/>
    <x v="0"/>
    <x v="0"/>
    <x v="2"/>
    <x v="0"/>
    <e v="#N/A"/>
  </r>
  <r>
    <s v="AJM01"/>
    <x v="0"/>
    <s v="Preventivo"/>
    <x v="27"/>
    <x v="27"/>
    <x v="84"/>
    <s v="000000003346"/>
    <x v="0"/>
    <x v="0"/>
    <d v="2025-02-07T10:20:39"/>
    <d v="2025-07-25T11:09:00"/>
    <s v="1073170379"/>
    <s v="Luis Alvaro Rivera Santos"/>
    <n v="0"/>
    <n v="1"/>
    <s v="Y"/>
    <x v="0"/>
    <x v="28"/>
    <x v="0"/>
    <x v="0"/>
    <x v="0"/>
    <x v="0"/>
    <x v="0"/>
    <e v="#N/A"/>
  </r>
  <r>
    <s v="AJM01"/>
    <x v="0"/>
    <s v="Preventivo"/>
    <x v="27"/>
    <x v="27"/>
    <x v="84"/>
    <s v="000000003345"/>
    <x v="1"/>
    <x v="1"/>
    <d v="2025-02-07T10:20:39"/>
    <d v="2025-07-25T11:09:00"/>
    <s v="1073170379"/>
    <s v="Luis Alvaro Rivera Santos"/>
    <n v="0"/>
    <n v="1"/>
    <s v="Y"/>
    <x v="0"/>
    <x v="28"/>
    <x v="0"/>
    <x v="0"/>
    <x v="0"/>
    <x v="0"/>
    <x v="0"/>
    <e v="#N/A"/>
  </r>
  <r>
    <s v="AJM01"/>
    <x v="0"/>
    <s v="Preventivo"/>
    <x v="27"/>
    <x v="27"/>
    <x v="84"/>
    <s v="000000003343"/>
    <x v="2"/>
    <x v="2"/>
    <d v="2025-02-07T10:20:40"/>
    <d v="2025-07-25T11:09:00"/>
    <s v="1073170379"/>
    <s v="Luis Alvaro Rivera Santos"/>
    <n v="0"/>
    <n v="1"/>
    <s v="Y"/>
    <x v="0"/>
    <x v="28"/>
    <x v="0"/>
    <x v="0"/>
    <x v="0"/>
    <x v="0"/>
    <x v="0"/>
    <e v="#N/A"/>
  </r>
  <r>
    <s v="AJM01"/>
    <x v="0"/>
    <s v="Preventivo"/>
    <x v="28"/>
    <x v="28"/>
    <x v="85"/>
    <s v="000000004064"/>
    <x v="3"/>
    <x v="3"/>
    <d v="2025-02-07T10:20:34"/>
    <d v="2025-07-25T11:09:00"/>
    <s v="1073170379"/>
    <s v="Luis Alvaro Rivera Santos"/>
    <n v="0"/>
    <n v="1"/>
    <s v="Y"/>
    <x v="0"/>
    <x v="29"/>
    <x v="0"/>
    <x v="0"/>
    <x v="0"/>
    <x v="1"/>
    <x v="0"/>
    <e v="#N/A"/>
  </r>
  <r>
    <s v="AJM01"/>
    <x v="0"/>
    <s v="Preventivo"/>
    <x v="28"/>
    <x v="28"/>
    <x v="86"/>
    <s v="000000004064"/>
    <x v="3"/>
    <x v="3"/>
    <d v="2025-02-07T10:20:34"/>
    <d v="2025-07-25T11:09:00"/>
    <s v="1073170379"/>
    <s v="Luis Alvaro Rivera Santos"/>
    <n v="0"/>
    <n v="1"/>
    <s v="Y"/>
    <x v="0"/>
    <x v="29"/>
    <x v="0"/>
    <x v="0"/>
    <x v="0"/>
    <x v="1"/>
    <x v="0"/>
    <e v="#N/A"/>
  </r>
  <r>
    <s v="AJM01"/>
    <x v="0"/>
    <s v="Preventivo"/>
    <x v="28"/>
    <x v="28"/>
    <x v="85"/>
    <s v="000000003335"/>
    <x v="4"/>
    <x v="4"/>
    <d v="2025-02-07T10:20:36"/>
    <d v="2025-07-25T11:09:00"/>
    <s v="1073170379"/>
    <s v="Luis Alvaro Rivera Santos"/>
    <n v="0"/>
    <n v="1"/>
    <s v="Y"/>
    <x v="0"/>
    <x v="29"/>
    <x v="0"/>
    <x v="0"/>
    <x v="0"/>
    <x v="2"/>
    <x v="0"/>
    <e v="#N/A"/>
  </r>
  <r>
    <s v="AJM01"/>
    <x v="0"/>
    <s v="Preventivo"/>
    <x v="28"/>
    <x v="28"/>
    <x v="86"/>
    <s v="000000003335"/>
    <x v="4"/>
    <x v="4"/>
    <d v="2025-02-07T10:20:36"/>
    <d v="2025-07-25T11:09:00"/>
    <s v="1073170379"/>
    <s v="Luis Alvaro Rivera Santos"/>
    <n v="0"/>
    <n v="1"/>
    <s v="Y"/>
    <x v="0"/>
    <x v="29"/>
    <x v="0"/>
    <x v="0"/>
    <x v="0"/>
    <x v="2"/>
    <x v="0"/>
    <e v="#N/A"/>
  </r>
  <r>
    <s v="AJM01"/>
    <x v="0"/>
    <s v="Preventivo"/>
    <x v="28"/>
    <x v="28"/>
    <x v="85"/>
    <s v="000000003338"/>
    <x v="5"/>
    <x v="5"/>
    <d v="2025-02-07T10:20:42"/>
    <d v="2025-07-25T11:09:00"/>
    <s v="1073170379"/>
    <s v="Luis Alvaro Rivera Santos"/>
    <n v="0"/>
    <n v="1"/>
    <s v="Y"/>
    <x v="0"/>
    <x v="29"/>
    <x v="0"/>
    <x v="0"/>
    <x v="0"/>
    <x v="3"/>
    <x v="0"/>
    <e v="#N/A"/>
  </r>
  <r>
    <s v="AJM01"/>
    <x v="0"/>
    <s v="Preventivo"/>
    <x v="28"/>
    <x v="28"/>
    <x v="86"/>
    <s v="000000003338"/>
    <x v="5"/>
    <x v="5"/>
    <d v="2025-02-07T10:20:42"/>
    <d v="2025-07-25T11:09:00"/>
    <s v="1073170379"/>
    <s v="Luis Alvaro Rivera Santos"/>
    <n v="0"/>
    <n v="1"/>
    <s v="Y"/>
    <x v="0"/>
    <x v="29"/>
    <x v="0"/>
    <x v="0"/>
    <x v="0"/>
    <x v="3"/>
    <x v="0"/>
    <e v="#N/A"/>
  </r>
  <r>
    <s v="AJM01"/>
    <x v="1"/>
    <s v="Preventivo"/>
    <x v="29"/>
    <x v="29"/>
    <x v="87"/>
    <s v="000000003349"/>
    <x v="24"/>
    <x v="24"/>
    <d v="2025-02-07T10:20:34"/>
    <d v="2025-07-25T11:09:00"/>
    <s v="80428442"/>
    <s v="Wilson Abdon Quevedo Pastor"/>
    <n v="0"/>
    <n v="1"/>
    <s v="Y"/>
    <x v="0"/>
    <x v="30"/>
    <x v="0"/>
    <x v="0"/>
    <x v="0"/>
    <x v="1"/>
    <x v="1"/>
    <e v="#N/A"/>
  </r>
  <r>
    <s v="AJM01"/>
    <x v="1"/>
    <s v="Preventivo"/>
    <x v="29"/>
    <x v="29"/>
    <x v="71"/>
    <s v="000000003349"/>
    <x v="24"/>
    <x v="24"/>
    <d v="2025-02-07T10:20:34"/>
    <d v="2025-07-25T11:09:00"/>
    <s v="80428442"/>
    <s v="Wilson Abdon Quevedo Pastor"/>
    <n v="0"/>
    <n v="1"/>
    <s v="Y"/>
    <x v="0"/>
    <x v="30"/>
    <x v="0"/>
    <x v="0"/>
    <x v="0"/>
    <x v="1"/>
    <x v="1"/>
    <e v="#N/A"/>
  </r>
  <r>
    <s v="AJM01"/>
    <x v="1"/>
    <s v="Preventivo"/>
    <x v="29"/>
    <x v="29"/>
    <x v="88"/>
    <s v="000000003349"/>
    <x v="24"/>
    <x v="24"/>
    <d v="2025-02-07T10:20:34"/>
    <d v="2025-07-25T11:09:00"/>
    <s v="80428442"/>
    <s v="Wilson Abdon Quevedo Pastor"/>
    <n v="0"/>
    <n v="1"/>
    <s v="Y"/>
    <x v="0"/>
    <x v="30"/>
    <x v="0"/>
    <x v="0"/>
    <x v="0"/>
    <x v="1"/>
    <x v="1"/>
    <e v="#N/A"/>
  </r>
  <r>
    <s v="AJM01"/>
    <x v="1"/>
    <s v="Preventivo"/>
    <x v="29"/>
    <x v="29"/>
    <x v="87"/>
    <s v="000000004113"/>
    <x v="25"/>
    <x v="25"/>
    <d v="2025-02-07T10:20:37"/>
    <d v="2025-07-25T11:09:00"/>
    <s v="80428442"/>
    <s v="Wilson Abdon Quevedo Pastor"/>
    <n v="0"/>
    <n v="1"/>
    <s v="Y"/>
    <x v="0"/>
    <x v="30"/>
    <x v="0"/>
    <x v="0"/>
    <x v="0"/>
    <x v="10"/>
    <x v="1"/>
    <e v="#N/A"/>
  </r>
  <r>
    <s v="AJM01"/>
    <x v="1"/>
    <s v="Preventivo"/>
    <x v="29"/>
    <x v="29"/>
    <x v="71"/>
    <s v="000000004113"/>
    <x v="25"/>
    <x v="25"/>
    <d v="2025-02-07T10:20:37"/>
    <d v="2025-07-25T11:09:00"/>
    <s v="80428442"/>
    <s v="Wilson Abdon Quevedo Pastor"/>
    <n v="0"/>
    <n v="1"/>
    <s v="Y"/>
    <x v="0"/>
    <x v="30"/>
    <x v="0"/>
    <x v="0"/>
    <x v="0"/>
    <x v="10"/>
    <x v="1"/>
    <e v="#N/A"/>
  </r>
  <r>
    <s v="AJM01"/>
    <x v="1"/>
    <s v="Preventivo"/>
    <x v="29"/>
    <x v="29"/>
    <x v="88"/>
    <s v="000000004113"/>
    <x v="25"/>
    <x v="25"/>
    <d v="2025-02-07T10:20:37"/>
    <d v="2025-07-25T11:09:00"/>
    <s v="80428442"/>
    <s v="Wilson Abdon Quevedo Pastor"/>
    <n v="0"/>
    <n v="1"/>
    <s v="Y"/>
    <x v="0"/>
    <x v="30"/>
    <x v="0"/>
    <x v="0"/>
    <x v="0"/>
    <x v="10"/>
    <x v="1"/>
    <e v="#N/A"/>
  </r>
  <r>
    <s v="AJM01"/>
    <x v="1"/>
    <s v="Preventivo"/>
    <x v="29"/>
    <x v="29"/>
    <x v="87"/>
    <s v="000000004124"/>
    <x v="26"/>
    <x v="26"/>
    <d v="2025-02-07T10:20:40"/>
    <d v="2025-07-25T11:09:00"/>
    <s v="80428442"/>
    <s v="Wilson Abdon Quevedo Pastor"/>
    <n v="0"/>
    <n v="1"/>
    <s v="Y"/>
    <x v="0"/>
    <x v="30"/>
    <x v="0"/>
    <x v="0"/>
    <x v="0"/>
    <x v="0"/>
    <x v="1"/>
    <e v="#N/A"/>
  </r>
  <r>
    <s v="AJM01"/>
    <x v="1"/>
    <s v="Preventivo"/>
    <x v="29"/>
    <x v="29"/>
    <x v="71"/>
    <s v="000000004124"/>
    <x v="26"/>
    <x v="26"/>
    <d v="2025-02-07T10:20:40"/>
    <d v="2025-07-25T11:09:00"/>
    <s v="80428442"/>
    <s v="Wilson Abdon Quevedo Pastor"/>
    <n v="0"/>
    <n v="1"/>
    <s v="Y"/>
    <x v="0"/>
    <x v="30"/>
    <x v="0"/>
    <x v="0"/>
    <x v="0"/>
    <x v="0"/>
    <x v="1"/>
    <e v="#N/A"/>
  </r>
  <r>
    <s v="AJM01"/>
    <x v="1"/>
    <s v="Preventivo"/>
    <x v="29"/>
    <x v="29"/>
    <x v="88"/>
    <s v="000000004124"/>
    <x v="26"/>
    <x v="26"/>
    <d v="2025-02-07T10:20:40"/>
    <d v="2025-07-25T11:09:00"/>
    <s v="80428442"/>
    <s v="Wilson Abdon Quevedo Pastor"/>
    <n v="0"/>
    <n v="1"/>
    <s v="Y"/>
    <x v="0"/>
    <x v="30"/>
    <x v="0"/>
    <x v="0"/>
    <x v="0"/>
    <x v="0"/>
    <x v="1"/>
    <e v="#N/A"/>
  </r>
  <r>
    <s v="AJM01"/>
    <x v="1"/>
    <s v="Preventivo"/>
    <x v="29"/>
    <x v="29"/>
    <x v="87"/>
    <s v="000000004134"/>
    <x v="27"/>
    <x v="27"/>
    <d v="2025-02-07T10:20:42"/>
    <d v="2025-07-25T11:09:00"/>
    <s v="80428442"/>
    <s v="Wilson Abdon Quevedo Pastor"/>
    <n v="0"/>
    <n v="1"/>
    <s v="Y"/>
    <x v="0"/>
    <x v="30"/>
    <x v="0"/>
    <x v="0"/>
    <x v="0"/>
    <x v="3"/>
    <x v="1"/>
    <e v="#N/A"/>
  </r>
  <r>
    <s v="AJM01"/>
    <x v="1"/>
    <s v="Preventivo"/>
    <x v="29"/>
    <x v="29"/>
    <x v="71"/>
    <s v="000000004134"/>
    <x v="27"/>
    <x v="27"/>
    <d v="2025-02-07T10:20:42"/>
    <d v="2025-07-25T11:09:00"/>
    <s v="80428442"/>
    <s v="Wilson Abdon Quevedo Pastor"/>
    <n v="0"/>
    <n v="1"/>
    <s v="Y"/>
    <x v="0"/>
    <x v="30"/>
    <x v="0"/>
    <x v="0"/>
    <x v="0"/>
    <x v="3"/>
    <x v="1"/>
    <e v="#N/A"/>
  </r>
  <r>
    <s v="AJM01"/>
    <x v="1"/>
    <s v="Preventivo"/>
    <x v="29"/>
    <x v="29"/>
    <x v="88"/>
    <s v="000000004134"/>
    <x v="27"/>
    <x v="27"/>
    <d v="2025-02-07T10:20:42"/>
    <d v="2025-07-25T11:09:00"/>
    <s v="80428442"/>
    <s v="Wilson Abdon Quevedo Pastor"/>
    <n v="0"/>
    <n v="1"/>
    <s v="Y"/>
    <x v="0"/>
    <x v="30"/>
    <x v="0"/>
    <x v="0"/>
    <x v="0"/>
    <x v="3"/>
    <x v="1"/>
    <e v="#N/A"/>
  </r>
  <r>
    <s v="AJM01"/>
    <x v="1"/>
    <s v="Preventivo"/>
    <x v="30"/>
    <x v="30"/>
    <x v="89"/>
    <s v="000000003346"/>
    <x v="0"/>
    <x v="0"/>
    <d v="2025-02-07T10:20:39"/>
    <d v="2025-07-25T11:09:00"/>
    <s v="80428442"/>
    <s v="Wilson Abdon Quevedo Pastor"/>
    <n v="0"/>
    <n v="1"/>
    <s v="Y"/>
    <x v="0"/>
    <x v="31"/>
    <x v="0"/>
    <x v="0"/>
    <x v="0"/>
    <x v="0"/>
    <x v="1"/>
    <e v="#N/A"/>
  </r>
  <r>
    <s v="AJM01"/>
    <x v="1"/>
    <s v="Preventivo"/>
    <x v="30"/>
    <x v="30"/>
    <x v="90"/>
    <s v="000000003346"/>
    <x v="0"/>
    <x v="0"/>
    <d v="2025-02-07T10:20:39"/>
    <d v="2025-07-25T11:09:00"/>
    <s v="80428442"/>
    <s v="Wilson Abdon Quevedo Pastor"/>
    <n v="0"/>
    <n v="1"/>
    <s v="Y"/>
    <x v="0"/>
    <x v="31"/>
    <x v="0"/>
    <x v="0"/>
    <x v="0"/>
    <x v="0"/>
    <x v="1"/>
    <e v="#N/A"/>
  </r>
  <r>
    <s v="AJM01"/>
    <x v="1"/>
    <s v="Preventivo"/>
    <x v="30"/>
    <x v="30"/>
    <x v="91"/>
    <s v="000000003346"/>
    <x v="0"/>
    <x v="0"/>
    <d v="2025-02-07T10:20:39"/>
    <d v="2025-07-25T11:09:00"/>
    <s v="80428442"/>
    <s v="Wilson Abdon Quevedo Pastor"/>
    <n v="0"/>
    <n v="1"/>
    <s v="Y"/>
    <x v="0"/>
    <x v="31"/>
    <x v="0"/>
    <x v="0"/>
    <x v="0"/>
    <x v="0"/>
    <x v="1"/>
    <e v="#N/A"/>
  </r>
  <r>
    <s v="AJM01"/>
    <x v="1"/>
    <s v="Preventivo"/>
    <x v="30"/>
    <x v="30"/>
    <x v="92"/>
    <s v="000000003346"/>
    <x v="0"/>
    <x v="0"/>
    <d v="2025-02-07T10:20:39"/>
    <d v="2025-07-25T11:09:00"/>
    <s v="80428442"/>
    <s v="Wilson Abdon Quevedo Pastor"/>
    <n v="0"/>
    <n v="1"/>
    <s v="Y"/>
    <x v="0"/>
    <x v="31"/>
    <x v="0"/>
    <x v="0"/>
    <x v="0"/>
    <x v="0"/>
    <x v="1"/>
    <e v="#N/A"/>
  </r>
  <r>
    <s v="AJM01"/>
    <x v="1"/>
    <s v="Preventivo"/>
    <x v="30"/>
    <x v="30"/>
    <x v="89"/>
    <s v="000000003345"/>
    <x v="1"/>
    <x v="1"/>
    <d v="2025-02-07T10:20:39"/>
    <d v="2025-07-25T11:09:00"/>
    <s v="80428442"/>
    <s v="Wilson Abdon Quevedo Pastor"/>
    <n v="0"/>
    <n v="1"/>
    <s v="Y"/>
    <x v="0"/>
    <x v="31"/>
    <x v="0"/>
    <x v="0"/>
    <x v="0"/>
    <x v="0"/>
    <x v="1"/>
    <e v="#N/A"/>
  </r>
  <r>
    <s v="AJM01"/>
    <x v="1"/>
    <s v="Preventivo"/>
    <x v="30"/>
    <x v="30"/>
    <x v="90"/>
    <s v="000000003345"/>
    <x v="1"/>
    <x v="1"/>
    <d v="2025-02-07T10:20:39"/>
    <d v="2025-07-25T11:09:00"/>
    <s v="80428442"/>
    <s v="Wilson Abdon Quevedo Pastor"/>
    <n v="0"/>
    <n v="1"/>
    <s v="Y"/>
    <x v="0"/>
    <x v="31"/>
    <x v="0"/>
    <x v="0"/>
    <x v="0"/>
    <x v="0"/>
    <x v="1"/>
    <e v="#N/A"/>
  </r>
  <r>
    <s v="AJM01"/>
    <x v="1"/>
    <s v="Preventivo"/>
    <x v="30"/>
    <x v="30"/>
    <x v="91"/>
    <s v="000000003345"/>
    <x v="1"/>
    <x v="1"/>
    <d v="2025-02-07T10:20:39"/>
    <d v="2025-07-25T11:09:00"/>
    <s v="80428442"/>
    <s v="Wilson Abdon Quevedo Pastor"/>
    <n v="0"/>
    <n v="1"/>
    <s v="Y"/>
    <x v="0"/>
    <x v="31"/>
    <x v="0"/>
    <x v="0"/>
    <x v="0"/>
    <x v="0"/>
    <x v="1"/>
    <e v="#N/A"/>
  </r>
  <r>
    <s v="AJM01"/>
    <x v="1"/>
    <s v="Preventivo"/>
    <x v="30"/>
    <x v="30"/>
    <x v="92"/>
    <s v="000000003345"/>
    <x v="1"/>
    <x v="1"/>
    <d v="2025-02-07T10:20:39"/>
    <d v="2025-07-25T11:09:00"/>
    <s v="80428442"/>
    <s v="Wilson Abdon Quevedo Pastor"/>
    <n v="0"/>
    <n v="1"/>
    <s v="Y"/>
    <x v="0"/>
    <x v="31"/>
    <x v="0"/>
    <x v="0"/>
    <x v="0"/>
    <x v="0"/>
    <x v="1"/>
    <e v="#N/A"/>
  </r>
  <r>
    <s v="AJM01"/>
    <x v="1"/>
    <s v="Preventivo"/>
    <x v="30"/>
    <x v="30"/>
    <x v="89"/>
    <s v="000000003343"/>
    <x v="2"/>
    <x v="2"/>
    <d v="2025-02-07T10:20:40"/>
    <d v="2025-07-25T11:09:00"/>
    <s v="80428442"/>
    <s v="Wilson Abdon Quevedo Pastor"/>
    <n v="0"/>
    <n v="1"/>
    <s v="Y"/>
    <x v="0"/>
    <x v="31"/>
    <x v="0"/>
    <x v="0"/>
    <x v="0"/>
    <x v="0"/>
    <x v="1"/>
    <e v="#N/A"/>
  </r>
  <r>
    <s v="AJM01"/>
    <x v="1"/>
    <s v="Preventivo"/>
    <x v="30"/>
    <x v="30"/>
    <x v="90"/>
    <s v="000000003343"/>
    <x v="2"/>
    <x v="2"/>
    <d v="2025-02-07T10:20:40"/>
    <d v="2025-07-25T11:09:00"/>
    <s v="80428442"/>
    <s v="Wilson Abdon Quevedo Pastor"/>
    <n v="0"/>
    <n v="1"/>
    <s v="Y"/>
    <x v="0"/>
    <x v="31"/>
    <x v="0"/>
    <x v="0"/>
    <x v="0"/>
    <x v="0"/>
    <x v="1"/>
    <e v="#N/A"/>
  </r>
  <r>
    <s v="AJM01"/>
    <x v="1"/>
    <s v="Preventivo"/>
    <x v="30"/>
    <x v="30"/>
    <x v="91"/>
    <s v="000000003343"/>
    <x v="2"/>
    <x v="2"/>
    <d v="2025-02-07T10:20:40"/>
    <d v="2025-07-25T11:09:00"/>
    <s v="80428442"/>
    <s v="Wilson Abdon Quevedo Pastor"/>
    <n v="0"/>
    <n v="1"/>
    <s v="Y"/>
    <x v="0"/>
    <x v="31"/>
    <x v="0"/>
    <x v="0"/>
    <x v="0"/>
    <x v="0"/>
    <x v="1"/>
    <e v="#N/A"/>
  </r>
  <r>
    <s v="AJM01"/>
    <x v="1"/>
    <s v="Preventivo"/>
    <x v="30"/>
    <x v="30"/>
    <x v="92"/>
    <s v="000000003343"/>
    <x v="2"/>
    <x v="2"/>
    <d v="2025-02-07T10:20:40"/>
    <d v="2025-07-25T11:09:00"/>
    <s v="80428442"/>
    <s v="Wilson Abdon Quevedo Pastor"/>
    <n v="0"/>
    <n v="1"/>
    <s v="Y"/>
    <x v="0"/>
    <x v="31"/>
    <x v="0"/>
    <x v="0"/>
    <x v="0"/>
    <x v="0"/>
    <x v="1"/>
    <e v="#N/A"/>
  </r>
  <r>
    <s v="AJM01"/>
    <x v="1"/>
    <s v="Preventivo"/>
    <x v="31"/>
    <x v="31"/>
    <x v="93"/>
    <s v="000000003349"/>
    <x v="24"/>
    <x v="24"/>
    <d v="2025-02-07T10:20:34"/>
    <d v="2025-07-25T11:09:00"/>
    <s v="80428442"/>
    <s v="Wilson Abdon Quevedo Pastor"/>
    <n v="0"/>
    <n v="1"/>
    <s v="Y"/>
    <x v="0"/>
    <x v="32"/>
    <x v="0"/>
    <x v="0"/>
    <x v="0"/>
    <x v="1"/>
    <x v="1"/>
    <e v="#N/A"/>
  </r>
  <r>
    <s v="AJM01"/>
    <x v="1"/>
    <s v="Preventivo"/>
    <x v="31"/>
    <x v="31"/>
    <x v="94"/>
    <s v="000000003349"/>
    <x v="24"/>
    <x v="24"/>
    <d v="2025-02-07T10:20:34"/>
    <d v="2025-07-25T11:09:00"/>
    <s v="80428442"/>
    <s v="Wilson Abdon Quevedo Pastor"/>
    <n v="0"/>
    <n v="1"/>
    <s v="Y"/>
    <x v="0"/>
    <x v="32"/>
    <x v="0"/>
    <x v="0"/>
    <x v="0"/>
    <x v="1"/>
    <x v="1"/>
    <e v="#N/A"/>
  </r>
  <r>
    <s v="AJM01"/>
    <x v="1"/>
    <s v="Preventivo"/>
    <x v="31"/>
    <x v="31"/>
    <x v="95"/>
    <s v="000000003349"/>
    <x v="24"/>
    <x v="24"/>
    <d v="2025-02-07T10:20:34"/>
    <d v="2025-07-25T11:09:00"/>
    <s v="80428442"/>
    <s v="Wilson Abdon Quevedo Pastor"/>
    <n v="0"/>
    <n v="1"/>
    <s v="Y"/>
    <x v="0"/>
    <x v="32"/>
    <x v="0"/>
    <x v="0"/>
    <x v="0"/>
    <x v="1"/>
    <x v="1"/>
    <e v="#N/A"/>
  </r>
  <r>
    <s v="AJM01"/>
    <x v="1"/>
    <s v="Preventivo"/>
    <x v="32"/>
    <x v="32"/>
    <x v="96"/>
    <s v="000000003334"/>
    <x v="20"/>
    <x v="20"/>
    <d v="2025-02-07T10:20:36"/>
    <d v="2025-07-25T11:09:00"/>
    <s v="80428442"/>
    <s v="Wilson Abdon Quevedo Pastor"/>
    <n v="0"/>
    <n v="1"/>
    <s v="Y"/>
    <x v="0"/>
    <x v="33"/>
    <x v="0"/>
    <x v="0"/>
    <x v="0"/>
    <x v="2"/>
    <x v="1"/>
    <e v="#N/A"/>
  </r>
  <r>
    <s v="AJM01"/>
    <x v="1"/>
    <s v="Preventivo"/>
    <x v="33"/>
    <x v="33"/>
    <x v="97"/>
    <s v="000000003334"/>
    <x v="20"/>
    <x v="20"/>
    <d v="2025-02-07T10:20:36"/>
    <d v="2025-07-25T11:09:00"/>
    <s v="80428442"/>
    <s v="Wilson Abdon Quevedo Pastor"/>
    <n v="0"/>
    <n v="1"/>
    <s v="Y"/>
    <x v="0"/>
    <x v="34"/>
    <x v="0"/>
    <x v="0"/>
    <x v="0"/>
    <x v="2"/>
    <x v="1"/>
    <e v="#N/A"/>
  </r>
  <r>
    <s v="AJM01"/>
    <x v="1"/>
    <s v="Preventivo"/>
    <x v="33"/>
    <x v="33"/>
    <x v="98"/>
    <s v="000000003334"/>
    <x v="20"/>
    <x v="20"/>
    <d v="2025-02-07T10:20:36"/>
    <d v="2025-07-25T11:09:00"/>
    <s v="80428442"/>
    <s v="Wilson Abdon Quevedo Pastor"/>
    <n v="0"/>
    <n v="1"/>
    <s v="Y"/>
    <x v="0"/>
    <x v="34"/>
    <x v="0"/>
    <x v="0"/>
    <x v="0"/>
    <x v="2"/>
    <x v="1"/>
    <e v="#N/A"/>
  </r>
  <r>
    <s v="AJM01"/>
    <x v="1"/>
    <s v="Preventivo"/>
    <x v="34"/>
    <x v="34"/>
    <x v="99"/>
    <s v="000000003336"/>
    <x v="21"/>
    <x v="21"/>
    <d v="2025-02-07T10:20:41"/>
    <d v="2025-07-25T11:09:00"/>
    <s v="80428442"/>
    <s v="Wilson Abdon Quevedo Pastor"/>
    <n v="0"/>
    <n v="1"/>
    <s v="Y"/>
    <x v="0"/>
    <x v="35"/>
    <x v="0"/>
    <x v="0"/>
    <x v="0"/>
    <x v="3"/>
    <x v="1"/>
    <e v="#N/A"/>
  </r>
  <r>
    <s v="AJM01"/>
    <x v="1"/>
    <s v="Preventivo"/>
    <x v="34"/>
    <x v="34"/>
    <x v="100"/>
    <s v="000000003336"/>
    <x v="21"/>
    <x v="21"/>
    <d v="2025-02-07T10:20:41"/>
    <d v="2025-07-25T11:09:00"/>
    <s v="80428442"/>
    <s v="Wilson Abdon Quevedo Pastor"/>
    <n v="0"/>
    <n v="1"/>
    <s v="Y"/>
    <x v="0"/>
    <x v="35"/>
    <x v="0"/>
    <x v="0"/>
    <x v="0"/>
    <x v="3"/>
    <x v="1"/>
    <e v="#N/A"/>
  </r>
  <r>
    <s v="AJM01"/>
    <x v="1"/>
    <s v="Preventivo"/>
    <x v="34"/>
    <x v="34"/>
    <x v="101"/>
    <s v="000000003336"/>
    <x v="21"/>
    <x v="21"/>
    <d v="2025-02-07T10:20:41"/>
    <d v="2025-07-25T11:09:00"/>
    <s v="80428442"/>
    <s v="Wilson Abdon Quevedo Pastor"/>
    <n v="0"/>
    <n v="1"/>
    <s v="Y"/>
    <x v="0"/>
    <x v="35"/>
    <x v="0"/>
    <x v="0"/>
    <x v="0"/>
    <x v="3"/>
    <x v="1"/>
    <e v="#N/A"/>
  </r>
  <r>
    <s v="AJM01"/>
    <x v="1"/>
    <s v="Preventivo"/>
    <x v="35"/>
    <x v="35"/>
    <x v="102"/>
    <s v="000000003340"/>
    <x v="18"/>
    <x v="18"/>
    <d v="2025-02-07T10:20:43"/>
    <d v="2025-07-25T11:09:00"/>
    <s v="80428442"/>
    <s v="Wilson Abdon Quevedo Pastor"/>
    <n v="0"/>
    <n v="1"/>
    <s v="Y"/>
    <x v="0"/>
    <x v="36"/>
    <x v="0"/>
    <x v="0"/>
    <x v="0"/>
    <x v="4"/>
    <x v="1"/>
    <e v="#N/A"/>
  </r>
  <r>
    <s v="AJM01"/>
    <x v="1"/>
    <s v="Preventivo"/>
    <x v="35"/>
    <x v="35"/>
    <x v="103"/>
    <s v="000000003340"/>
    <x v="18"/>
    <x v="18"/>
    <d v="2025-02-07T10:20:43"/>
    <d v="2025-07-25T11:09:00"/>
    <s v="80428442"/>
    <s v="Wilson Abdon Quevedo Pastor"/>
    <n v="0"/>
    <n v="1"/>
    <s v="Y"/>
    <x v="0"/>
    <x v="36"/>
    <x v="0"/>
    <x v="0"/>
    <x v="0"/>
    <x v="4"/>
    <x v="1"/>
    <e v="#N/A"/>
  </r>
  <r>
    <s v="AJM01"/>
    <x v="1"/>
    <s v="Preventivo"/>
    <x v="35"/>
    <x v="35"/>
    <x v="104"/>
    <s v="000000003340"/>
    <x v="18"/>
    <x v="18"/>
    <d v="2025-02-07T10:20:43"/>
    <d v="2025-07-25T11:09:00"/>
    <s v="80428442"/>
    <s v="Wilson Abdon Quevedo Pastor"/>
    <n v="0"/>
    <n v="1"/>
    <s v="Y"/>
    <x v="0"/>
    <x v="36"/>
    <x v="0"/>
    <x v="0"/>
    <x v="0"/>
    <x v="4"/>
    <x v="1"/>
    <e v="#N/A"/>
  </r>
  <r>
    <s v="AJM01"/>
    <x v="1"/>
    <s v="Preventivo"/>
    <x v="35"/>
    <x v="35"/>
    <x v="105"/>
    <s v="000000003340"/>
    <x v="18"/>
    <x v="18"/>
    <d v="2025-02-07T10:20:43"/>
    <d v="2025-07-25T11:09:00"/>
    <s v="80428442"/>
    <s v="Wilson Abdon Quevedo Pastor"/>
    <n v="0"/>
    <n v="1"/>
    <s v="Y"/>
    <x v="0"/>
    <x v="36"/>
    <x v="0"/>
    <x v="0"/>
    <x v="0"/>
    <x v="4"/>
    <x v="1"/>
    <e v="#N/A"/>
  </r>
  <r>
    <s v="AJM01"/>
    <x v="1"/>
    <s v="Preventivo"/>
    <x v="35"/>
    <x v="35"/>
    <x v="106"/>
    <s v="000000003340"/>
    <x v="18"/>
    <x v="18"/>
    <d v="2025-02-07T10:20:43"/>
    <d v="2025-07-25T11:09:00"/>
    <s v="80428442"/>
    <s v="Wilson Abdon Quevedo Pastor"/>
    <n v="0"/>
    <n v="1"/>
    <s v="Y"/>
    <x v="0"/>
    <x v="36"/>
    <x v="0"/>
    <x v="0"/>
    <x v="0"/>
    <x v="4"/>
    <x v="1"/>
    <e v="#N/A"/>
  </r>
  <r>
    <s v="AJM01"/>
    <x v="1"/>
    <s v="Preventivo"/>
    <x v="35"/>
    <x v="35"/>
    <x v="107"/>
    <s v="000000003340"/>
    <x v="18"/>
    <x v="18"/>
    <d v="2025-02-07T10:20:43"/>
    <d v="2025-07-25T11:09:00"/>
    <s v="80428442"/>
    <s v="Wilson Abdon Quevedo Pastor"/>
    <n v="0"/>
    <n v="1"/>
    <s v="Y"/>
    <x v="0"/>
    <x v="36"/>
    <x v="0"/>
    <x v="0"/>
    <x v="0"/>
    <x v="4"/>
    <x v="1"/>
    <e v="#N/A"/>
  </r>
  <r>
    <s v="AJM01"/>
    <x v="1"/>
    <s v="Preventivo"/>
    <x v="35"/>
    <x v="35"/>
    <x v="108"/>
    <s v="000000003340"/>
    <x v="18"/>
    <x v="18"/>
    <d v="2025-02-07T10:20:43"/>
    <d v="2025-07-25T11:09:00"/>
    <s v="80428442"/>
    <s v="Wilson Abdon Quevedo Pastor"/>
    <n v="0"/>
    <n v="1"/>
    <s v="Y"/>
    <x v="0"/>
    <x v="36"/>
    <x v="0"/>
    <x v="0"/>
    <x v="0"/>
    <x v="4"/>
    <x v="1"/>
    <e v="#N/A"/>
  </r>
  <r>
    <s v="AJM01"/>
    <x v="1"/>
    <s v="Preventivo"/>
    <x v="35"/>
    <x v="35"/>
    <x v="109"/>
    <s v="000000003340"/>
    <x v="18"/>
    <x v="18"/>
    <d v="2025-02-07T10:20:43"/>
    <d v="2025-07-25T11:09:00"/>
    <s v="80428442"/>
    <s v="Wilson Abdon Quevedo Pastor"/>
    <n v="0"/>
    <n v="1"/>
    <s v="Y"/>
    <x v="0"/>
    <x v="36"/>
    <x v="0"/>
    <x v="0"/>
    <x v="0"/>
    <x v="4"/>
    <x v="1"/>
    <e v="#N/A"/>
  </r>
  <r>
    <s v="AJM01"/>
    <x v="1"/>
    <s v="Preventivo"/>
    <x v="35"/>
    <x v="35"/>
    <x v="110"/>
    <s v="000000003340"/>
    <x v="18"/>
    <x v="18"/>
    <d v="2025-02-07T10:20:43"/>
    <d v="2025-07-25T11:09:00"/>
    <s v="80428442"/>
    <s v="Wilson Abdon Quevedo Pastor"/>
    <n v="0"/>
    <n v="1"/>
    <s v="Y"/>
    <x v="0"/>
    <x v="36"/>
    <x v="0"/>
    <x v="0"/>
    <x v="0"/>
    <x v="4"/>
    <x v="1"/>
    <e v="#N/A"/>
  </r>
  <r>
    <s v="AJM01"/>
    <x v="1"/>
    <s v="Preventivo"/>
    <x v="36"/>
    <x v="36"/>
    <x v="111"/>
    <s v="000000004143"/>
    <x v="13"/>
    <x v="13"/>
    <d v="2025-02-07T10:20:44"/>
    <d v="2025-07-25T11:09:00"/>
    <s v="80428442"/>
    <s v="Wilson Abdon Quevedo Pastor"/>
    <n v="0"/>
    <n v="1"/>
    <s v="Y"/>
    <x v="0"/>
    <x v="37"/>
    <x v="0"/>
    <x v="0"/>
    <x v="0"/>
    <x v="6"/>
    <x v="1"/>
    <e v="#N/A"/>
  </r>
  <r>
    <s v="AJM01"/>
    <x v="1"/>
    <s v="Preventivo"/>
    <x v="36"/>
    <x v="36"/>
    <x v="112"/>
    <s v="000000004143"/>
    <x v="13"/>
    <x v="13"/>
    <d v="2025-02-07T10:20:44"/>
    <d v="2025-07-25T11:09:00"/>
    <s v="80428442"/>
    <s v="Wilson Abdon Quevedo Pastor"/>
    <n v="0"/>
    <n v="1"/>
    <s v="Y"/>
    <x v="0"/>
    <x v="37"/>
    <x v="0"/>
    <x v="0"/>
    <x v="0"/>
    <x v="6"/>
    <x v="1"/>
    <e v="#N/A"/>
  </r>
  <r>
    <s v="AJM01"/>
    <x v="1"/>
    <s v="Preventivo"/>
    <x v="36"/>
    <x v="36"/>
    <x v="113"/>
    <s v="000000004143"/>
    <x v="13"/>
    <x v="13"/>
    <d v="2025-02-07T10:20:44"/>
    <d v="2025-07-25T11:09:00"/>
    <s v="80428442"/>
    <s v="Wilson Abdon Quevedo Pastor"/>
    <n v="0"/>
    <n v="1"/>
    <s v="Y"/>
    <x v="0"/>
    <x v="37"/>
    <x v="0"/>
    <x v="0"/>
    <x v="0"/>
    <x v="6"/>
    <x v="1"/>
    <e v="#N/A"/>
  </r>
  <r>
    <s v="AJM01"/>
    <x v="1"/>
    <s v="Preventivo"/>
    <x v="36"/>
    <x v="36"/>
    <x v="71"/>
    <s v="000000004143"/>
    <x v="13"/>
    <x v="13"/>
    <d v="2025-02-07T10:20:44"/>
    <d v="2025-07-25T11:09:00"/>
    <s v="80428442"/>
    <s v="Wilson Abdon Quevedo Pastor"/>
    <n v="0"/>
    <n v="1"/>
    <s v="Y"/>
    <x v="0"/>
    <x v="37"/>
    <x v="0"/>
    <x v="0"/>
    <x v="0"/>
    <x v="6"/>
    <x v="1"/>
    <e v="#N/A"/>
  </r>
  <r>
    <s v="AJM01"/>
    <x v="1"/>
    <s v="Preventivo"/>
    <x v="24"/>
    <x v="37"/>
    <x v="114"/>
    <s v="000000003339"/>
    <x v="22"/>
    <x v="22"/>
    <d v="2025-02-07T10:20:38"/>
    <d v="2025-07-25T11:09:00"/>
    <s v="80428442"/>
    <s v="Wilson Abdon Quevedo Pastor"/>
    <n v="0"/>
    <n v="1"/>
    <s v="Y"/>
    <x v="0"/>
    <x v="25"/>
    <x v="0"/>
    <x v="0"/>
    <x v="0"/>
    <x v="0"/>
    <x v="1"/>
    <e v="#N/A"/>
  </r>
  <r>
    <s v="AJM01"/>
    <x v="1"/>
    <s v="Preventivo"/>
    <x v="37"/>
    <x v="38"/>
    <x v="115"/>
    <s v="000000003339"/>
    <x v="22"/>
    <x v="22"/>
    <d v="2025-02-07T10:20:38"/>
    <d v="2025-07-25T11:09:00"/>
    <s v="80428442"/>
    <s v="Wilson Abdon Quevedo Pastor"/>
    <n v="0"/>
    <n v="1"/>
    <s v="Y"/>
    <x v="0"/>
    <x v="38"/>
    <x v="0"/>
    <x v="0"/>
    <x v="0"/>
    <x v="0"/>
    <x v="1"/>
    <e v="#N/A"/>
  </r>
  <r>
    <s v="AJM01"/>
    <x v="1"/>
    <s v="Preventivo"/>
    <x v="37"/>
    <x v="38"/>
    <x v="116"/>
    <s v="000000003339"/>
    <x v="22"/>
    <x v="22"/>
    <d v="2025-02-07T10:20:38"/>
    <d v="2025-07-25T11:09:00"/>
    <s v="80428442"/>
    <s v="Wilson Abdon Quevedo Pastor"/>
    <n v="0"/>
    <n v="1"/>
    <s v="Y"/>
    <x v="0"/>
    <x v="38"/>
    <x v="0"/>
    <x v="0"/>
    <x v="0"/>
    <x v="0"/>
    <x v="1"/>
    <e v="#N/A"/>
  </r>
  <r>
    <s v="AJM01"/>
    <x v="1"/>
    <s v="Preventivo"/>
    <x v="38"/>
    <x v="39"/>
    <x v="117"/>
    <s v="000000003339"/>
    <x v="22"/>
    <x v="22"/>
    <d v="2025-02-07T10:20:38"/>
    <d v="2025-07-25T11:09:00"/>
    <s v="80428442"/>
    <s v="Wilson Abdon Quevedo Pastor"/>
    <n v="0"/>
    <n v="1"/>
    <s v="Y"/>
    <x v="0"/>
    <x v="39"/>
    <x v="0"/>
    <x v="0"/>
    <x v="0"/>
    <x v="0"/>
    <x v="1"/>
    <e v="#N/A"/>
  </r>
  <r>
    <s v="AJM01"/>
    <x v="1"/>
    <s v="Preventivo"/>
    <x v="38"/>
    <x v="39"/>
    <x v="118"/>
    <s v="000000003339"/>
    <x v="22"/>
    <x v="22"/>
    <d v="2025-02-07T10:20:38"/>
    <d v="2025-07-25T11:09:00"/>
    <s v="80428442"/>
    <s v="Wilson Abdon Quevedo Pastor"/>
    <n v="0"/>
    <n v="1"/>
    <s v="Y"/>
    <x v="0"/>
    <x v="39"/>
    <x v="0"/>
    <x v="0"/>
    <x v="0"/>
    <x v="0"/>
    <x v="1"/>
    <e v="#N/A"/>
  </r>
  <r>
    <s v="AJM01"/>
    <x v="1"/>
    <s v="Preventivo"/>
    <x v="38"/>
    <x v="39"/>
    <x v="119"/>
    <s v="000000003339"/>
    <x v="22"/>
    <x v="22"/>
    <d v="2025-02-07T10:20:38"/>
    <d v="2025-07-25T11:09:00"/>
    <s v="80428442"/>
    <s v="Wilson Abdon Quevedo Pastor"/>
    <n v="0"/>
    <n v="1"/>
    <s v="Y"/>
    <x v="0"/>
    <x v="39"/>
    <x v="0"/>
    <x v="0"/>
    <x v="0"/>
    <x v="0"/>
    <x v="1"/>
    <e v="#N/A"/>
  </r>
  <r>
    <s v="AJM01"/>
    <x v="1"/>
    <s v="Preventivo"/>
    <x v="38"/>
    <x v="39"/>
    <x v="120"/>
    <s v="000000003339"/>
    <x v="22"/>
    <x v="22"/>
    <d v="2025-02-07T10:20:38"/>
    <d v="2025-07-25T11:09:00"/>
    <s v="80428442"/>
    <s v="Wilson Abdon Quevedo Pastor"/>
    <n v="0"/>
    <n v="1"/>
    <s v="Y"/>
    <x v="0"/>
    <x v="39"/>
    <x v="0"/>
    <x v="0"/>
    <x v="0"/>
    <x v="0"/>
    <x v="1"/>
    <e v="#N/A"/>
  </r>
  <r>
    <s v="AJM01"/>
    <x v="1"/>
    <s v="Preventivo"/>
    <x v="39"/>
    <x v="40"/>
    <x v="121"/>
    <s v="000000003339"/>
    <x v="22"/>
    <x v="22"/>
    <d v="2025-02-07T10:20:38"/>
    <d v="2025-07-25T11:09:00"/>
    <s v="80428442"/>
    <s v="Wilson Abdon Quevedo Pastor"/>
    <n v="0"/>
    <n v="1"/>
    <s v="Y"/>
    <x v="0"/>
    <x v="40"/>
    <x v="0"/>
    <x v="0"/>
    <x v="0"/>
    <x v="0"/>
    <x v="1"/>
    <e v="#N/A"/>
  </r>
  <r>
    <s v="AJM01"/>
    <x v="1"/>
    <s v="Preventivo"/>
    <x v="40"/>
    <x v="41"/>
    <x v="122"/>
    <s v="000000003339"/>
    <x v="22"/>
    <x v="22"/>
    <d v="2025-02-07T10:20:39"/>
    <d v="2025-07-25T11:09:00"/>
    <s v="80428442"/>
    <s v="Wilson Abdon Quevedo Pastor"/>
    <n v="0"/>
    <n v="1"/>
    <s v="Y"/>
    <x v="0"/>
    <x v="41"/>
    <x v="0"/>
    <x v="0"/>
    <x v="0"/>
    <x v="0"/>
    <x v="1"/>
    <e v="#N/A"/>
  </r>
  <r>
    <s v="AJM01"/>
    <x v="1"/>
    <s v="Preventivo"/>
    <x v="40"/>
    <x v="41"/>
    <x v="123"/>
    <s v="000000003339"/>
    <x v="22"/>
    <x v="22"/>
    <d v="2025-02-07T10:20:39"/>
    <d v="2025-07-25T11:09:00"/>
    <s v="80428442"/>
    <s v="Wilson Abdon Quevedo Pastor"/>
    <n v="0"/>
    <n v="1"/>
    <s v="Y"/>
    <x v="0"/>
    <x v="41"/>
    <x v="0"/>
    <x v="0"/>
    <x v="0"/>
    <x v="0"/>
    <x v="1"/>
    <e v="#N/A"/>
  </r>
  <r>
    <s v="AJM01"/>
    <x v="1"/>
    <s v="Preventivo"/>
    <x v="41"/>
    <x v="42"/>
    <x v="124"/>
    <s v="000000003339"/>
    <x v="22"/>
    <x v="22"/>
    <d v="2025-02-07T10:20:39"/>
    <d v="2025-07-25T11:09:00"/>
    <s v="80428442"/>
    <s v="Wilson Abdon Quevedo Pastor"/>
    <n v="0"/>
    <n v="1"/>
    <s v="Y"/>
    <x v="0"/>
    <x v="42"/>
    <x v="0"/>
    <x v="0"/>
    <x v="0"/>
    <x v="0"/>
    <x v="1"/>
    <e v="#N/A"/>
  </r>
  <r>
    <s v="AJM01"/>
    <x v="1"/>
    <s v="Preventivo"/>
    <x v="41"/>
    <x v="42"/>
    <x v="125"/>
    <s v="000000003339"/>
    <x v="22"/>
    <x v="22"/>
    <d v="2025-02-07T10:20:39"/>
    <d v="2025-07-25T11:09:00"/>
    <s v="80428442"/>
    <s v="Wilson Abdon Quevedo Pastor"/>
    <n v="0"/>
    <n v="1"/>
    <s v="Y"/>
    <x v="0"/>
    <x v="42"/>
    <x v="0"/>
    <x v="0"/>
    <x v="0"/>
    <x v="0"/>
    <x v="1"/>
    <e v="#N/A"/>
  </r>
  <r>
    <s v="AJM01"/>
    <x v="1"/>
    <s v="Preventivo"/>
    <x v="42"/>
    <x v="43"/>
    <x v="89"/>
    <s v="000000003334"/>
    <x v="20"/>
    <x v="20"/>
    <d v="2025-02-07T10:20:36"/>
    <d v="2025-07-25T11:09:00"/>
    <s v="80428442"/>
    <s v="Wilson Abdon Quevedo Pastor"/>
    <n v="0"/>
    <n v="1"/>
    <s v="Y"/>
    <x v="0"/>
    <x v="43"/>
    <x v="0"/>
    <x v="0"/>
    <x v="0"/>
    <x v="2"/>
    <x v="1"/>
    <e v="#N/A"/>
  </r>
  <r>
    <s v="AJM01"/>
    <x v="1"/>
    <s v="Preventivo"/>
    <x v="42"/>
    <x v="43"/>
    <x v="90"/>
    <s v="000000003334"/>
    <x v="20"/>
    <x v="20"/>
    <d v="2025-02-07T10:20:36"/>
    <d v="2025-07-25T11:09:00"/>
    <s v="80428442"/>
    <s v="Wilson Abdon Quevedo Pastor"/>
    <n v="0"/>
    <n v="1"/>
    <s v="Y"/>
    <x v="0"/>
    <x v="43"/>
    <x v="0"/>
    <x v="0"/>
    <x v="0"/>
    <x v="2"/>
    <x v="1"/>
    <e v="#N/A"/>
  </r>
  <r>
    <s v="AJM01"/>
    <x v="1"/>
    <s v="Preventivo"/>
    <x v="43"/>
    <x v="44"/>
    <x v="126"/>
    <s v="000000003348"/>
    <x v="23"/>
    <x v="23"/>
    <d v="2025-02-07T10:20:33"/>
    <d v="2025-07-25T11:09:00"/>
    <s v="80428442"/>
    <s v="Wilson Abdon Quevedo Pastor"/>
    <n v="0"/>
    <n v="1"/>
    <s v="Y"/>
    <x v="0"/>
    <x v="44"/>
    <x v="0"/>
    <x v="0"/>
    <x v="0"/>
    <x v="1"/>
    <x v="1"/>
    <e v="#N/A"/>
  </r>
  <r>
    <s v="AJM01"/>
    <x v="1"/>
    <s v="Preventivo"/>
    <x v="43"/>
    <x v="44"/>
    <x v="127"/>
    <s v="000000003348"/>
    <x v="23"/>
    <x v="23"/>
    <d v="2025-02-07T10:20:33"/>
    <d v="2025-07-25T11:09:00"/>
    <s v="80428442"/>
    <s v="Wilson Abdon Quevedo Pastor"/>
    <n v="0"/>
    <n v="1"/>
    <s v="Y"/>
    <x v="0"/>
    <x v="44"/>
    <x v="0"/>
    <x v="0"/>
    <x v="0"/>
    <x v="1"/>
    <x v="1"/>
    <e v="#N/A"/>
  </r>
  <r>
    <s v="AJM01"/>
    <x v="1"/>
    <s v="Preventivo"/>
    <x v="44"/>
    <x v="45"/>
    <x v="128"/>
    <s v="000000003347"/>
    <x v="28"/>
    <x v="28"/>
    <d v="2025-02-07T10:20:36"/>
    <d v="2025-07-25T11:09:00"/>
    <s v="80428442"/>
    <s v="Wilson Abdon Quevedo Pastor"/>
    <n v="0"/>
    <n v="1"/>
    <s v="Y"/>
    <x v="0"/>
    <x v="45"/>
    <x v="0"/>
    <x v="0"/>
    <x v="0"/>
    <x v="10"/>
    <x v="1"/>
    <e v="#N/A"/>
  </r>
  <r>
    <s v="AJM01"/>
    <x v="1"/>
    <s v="Preventivo"/>
    <x v="44"/>
    <x v="45"/>
    <x v="129"/>
    <s v="000000003347"/>
    <x v="28"/>
    <x v="28"/>
    <d v="2025-02-07T10:20:36"/>
    <d v="2025-07-25T11:09:00"/>
    <s v="80428442"/>
    <s v="Wilson Abdon Quevedo Pastor"/>
    <n v="0"/>
    <n v="1"/>
    <s v="Y"/>
    <x v="0"/>
    <x v="45"/>
    <x v="0"/>
    <x v="0"/>
    <x v="0"/>
    <x v="10"/>
    <x v="1"/>
    <e v="#N/A"/>
  </r>
  <r>
    <s v="AJM01"/>
    <x v="1"/>
    <s v="Preventivo"/>
    <x v="44"/>
    <x v="45"/>
    <x v="130"/>
    <s v="000000003347"/>
    <x v="28"/>
    <x v="28"/>
    <d v="2025-02-07T10:20:36"/>
    <d v="2025-07-25T11:09:00"/>
    <s v="80428442"/>
    <s v="Wilson Abdon Quevedo Pastor"/>
    <n v="0"/>
    <n v="1"/>
    <s v="Y"/>
    <x v="0"/>
    <x v="45"/>
    <x v="0"/>
    <x v="0"/>
    <x v="0"/>
    <x v="10"/>
    <x v="1"/>
    <e v="#N/A"/>
  </r>
  <r>
    <s v="AJM01"/>
    <x v="1"/>
    <s v="Preventivo"/>
    <x v="44"/>
    <x v="45"/>
    <x v="131"/>
    <s v="000000003347"/>
    <x v="28"/>
    <x v="28"/>
    <d v="2025-02-07T10:20:36"/>
    <d v="2025-07-25T11:09:00"/>
    <s v="80428442"/>
    <s v="Wilson Abdon Quevedo Pastor"/>
    <n v="0"/>
    <n v="1"/>
    <s v="Y"/>
    <x v="0"/>
    <x v="45"/>
    <x v="0"/>
    <x v="0"/>
    <x v="0"/>
    <x v="10"/>
    <x v="1"/>
    <e v="#N/A"/>
  </r>
  <r>
    <s v="AJM01"/>
    <x v="1"/>
    <s v="Preventivo"/>
    <x v="44"/>
    <x v="45"/>
    <x v="132"/>
    <s v="000000003347"/>
    <x v="28"/>
    <x v="28"/>
    <d v="2025-02-07T10:20:36"/>
    <d v="2025-07-25T11:09:00"/>
    <s v="80428442"/>
    <s v="Wilson Abdon Quevedo Pastor"/>
    <n v="0"/>
    <n v="1"/>
    <s v="Y"/>
    <x v="0"/>
    <x v="45"/>
    <x v="0"/>
    <x v="0"/>
    <x v="0"/>
    <x v="10"/>
    <x v="1"/>
    <e v="#N/A"/>
  </r>
  <r>
    <s v="AJM01"/>
    <x v="1"/>
    <s v="Preventivo"/>
    <x v="44"/>
    <x v="45"/>
    <x v="133"/>
    <s v="000000003347"/>
    <x v="28"/>
    <x v="28"/>
    <d v="2025-02-07T10:20:36"/>
    <d v="2025-07-25T11:09:00"/>
    <s v="80428442"/>
    <s v="Wilson Abdon Quevedo Pastor"/>
    <n v="0"/>
    <n v="1"/>
    <s v="Y"/>
    <x v="0"/>
    <x v="45"/>
    <x v="0"/>
    <x v="0"/>
    <x v="0"/>
    <x v="10"/>
    <x v="1"/>
    <e v="#N/A"/>
  </r>
  <r>
    <s v="AJM01"/>
    <x v="1"/>
    <s v="Preventivo"/>
    <x v="44"/>
    <x v="45"/>
    <x v="134"/>
    <s v="000000003347"/>
    <x v="28"/>
    <x v="28"/>
    <d v="2025-02-07T10:20:36"/>
    <d v="2025-07-25T11:09:00"/>
    <s v="80428442"/>
    <s v="Wilson Abdon Quevedo Pastor"/>
    <n v="0"/>
    <n v="1"/>
    <s v="Y"/>
    <x v="0"/>
    <x v="45"/>
    <x v="0"/>
    <x v="0"/>
    <x v="0"/>
    <x v="10"/>
    <x v="1"/>
    <e v="#N/A"/>
  </r>
  <r>
    <s v="AJM01"/>
    <x v="1"/>
    <s v="Preventivo"/>
    <x v="45"/>
    <x v="46"/>
    <x v="135"/>
    <s v="000000003347"/>
    <x v="28"/>
    <x v="28"/>
    <d v="2025-02-07T10:20:36"/>
    <d v="2025-07-25T11:09:00"/>
    <s v="80428442"/>
    <s v="Wilson Abdon Quevedo Pastor"/>
    <n v="0"/>
    <n v="1"/>
    <s v="Y"/>
    <x v="0"/>
    <x v="46"/>
    <x v="0"/>
    <x v="0"/>
    <x v="0"/>
    <x v="10"/>
    <x v="1"/>
    <e v="#N/A"/>
  </r>
  <r>
    <s v="AJM01"/>
    <x v="1"/>
    <s v="Preventivo"/>
    <x v="45"/>
    <x v="46"/>
    <x v="136"/>
    <s v="000000003347"/>
    <x v="28"/>
    <x v="28"/>
    <d v="2025-02-07T10:20:36"/>
    <d v="2025-07-25T11:09:00"/>
    <s v="80428442"/>
    <s v="Wilson Abdon Quevedo Pastor"/>
    <n v="0"/>
    <n v="1"/>
    <s v="Y"/>
    <x v="0"/>
    <x v="46"/>
    <x v="0"/>
    <x v="0"/>
    <x v="0"/>
    <x v="10"/>
    <x v="1"/>
    <e v="#N/A"/>
  </r>
  <r>
    <s v="AJM01"/>
    <x v="1"/>
    <s v="Preventivo"/>
    <x v="46"/>
    <x v="47"/>
    <x v="137"/>
    <s v="000000004071"/>
    <x v="29"/>
    <x v="29"/>
    <d v="2025-02-07T10:20:36"/>
    <d v="2025-07-25T11:09:00"/>
    <s v="80428442"/>
    <s v="Wilson Abdon Quevedo Pastor"/>
    <n v="0"/>
    <n v="1"/>
    <s v="Y"/>
    <x v="0"/>
    <x v="47"/>
    <x v="0"/>
    <x v="0"/>
    <x v="0"/>
    <x v="10"/>
    <x v="1"/>
    <e v="#N/A"/>
  </r>
  <r>
    <s v="AJM01"/>
    <x v="1"/>
    <s v="Preventivo"/>
    <x v="46"/>
    <x v="47"/>
    <x v="138"/>
    <s v="000000004071"/>
    <x v="29"/>
    <x v="29"/>
    <d v="2025-02-07T10:20:36"/>
    <d v="2025-07-25T11:09:00"/>
    <s v="80428442"/>
    <s v="Wilson Abdon Quevedo Pastor"/>
    <n v="0"/>
    <n v="1"/>
    <s v="Y"/>
    <x v="0"/>
    <x v="47"/>
    <x v="0"/>
    <x v="0"/>
    <x v="0"/>
    <x v="10"/>
    <x v="1"/>
    <e v="#N/A"/>
  </r>
  <r>
    <s v="AJM01"/>
    <x v="1"/>
    <s v="Preventivo"/>
    <x v="47"/>
    <x v="48"/>
    <x v="139"/>
    <s v="000000003334"/>
    <x v="20"/>
    <x v="20"/>
    <d v="2025-02-07T10:20:36"/>
    <d v="2025-07-25T11:09:00"/>
    <s v="80428442"/>
    <s v="Wilson Abdon Quevedo Pastor"/>
    <n v="0"/>
    <n v="1"/>
    <s v="Y"/>
    <x v="0"/>
    <x v="48"/>
    <x v="0"/>
    <x v="0"/>
    <x v="0"/>
    <x v="2"/>
    <x v="1"/>
    <e v="#N/A"/>
  </r>
  <r>
    <s v="AJM01"/>
    <x v="1"/>
    <s v="Preventivo"/>
    <x v="47"/>
    <x v="48"/>
    <x v="140"/>
    <s v="000000003334"/>
    <x v="20"/>
    <x v="20"/>
    <d v="2025-02-07T10:20:36"/>
    <d v="2025-07-25T11:09:00"/>
    <s v="80428442"/>
    <s v="Wilson Abdon Quevedo Pastor"/>
    <n v="0"/>
    <n v="1"/>
    <s v="Y"/>
    <x v="0"/>
    <x v="48"/>
    <x v="0"/>
    <x v="0"/>
    <x v="0"/>
    <x v="2"/>
    <x v="1"/>
    <e v="#N/A"/>
  </r>
  <r>
    <s v="AJM01"/>
    <x v="1"/>
    <s v="Preventivo"/>
    <x v="47"/>
    <x v="48"/>
    <x v="141"/>
    <s v="000000003334"/>
    <x v="20"/>
    <x v="20"/>
    <d v="2025-02-07T10:20:36"/>
    <d v="2025-07-25T11:09:00"/>
    <s v="80428442"/>
    <s v="Wilson Abdon Quevedo Pastor"/>
    <n v="0"/>
    <n v="1"/>
    <s v="Y"/>
    <x v="0"/>
    <x v="48"/>
    <x v="0"/>
    <x v="0"/>
    <x v="0"/>
    <x v="2"/>
    <x v="1"/>
    <e v="#N/A"/>
  </r>
  <r>
    <s v="AJM01"/>
    <x v="1"/>
    <s v="Preventivo"/>
    <x v="47"/>
    <x v="48"/>
    <x v="142"/>
    <s v="000000003334"/>
    <x v="20"/>
    <x v="20"/>
    <d v="2025-02-07T10:20:36"/>
    <d v="2025-07-25T11:09:00"/>
    <s v="80428442"/>
    <s v="Wilson Abdon Quevedo Pastor"/>
    <n v="0"/>
    <n v="1"/>
    <s v="Y"/>
    <x v="0"/>
    <x v="48"/>
    <x v="0"/>
    <x v="0"/>
    <x v="0"/>
    <x v="2"/>
    <x v="1"/>
    <e v="#N/A"/>
  </r>
  <r>
    <s v="AJM01"/>
    <x v="1"/>
    <s v="Preventivo"/>
    <x v="48"/>
    <x v="49"/>
    <x v="140"/>
    <s v="000000003336"/>
    <x v="21"/>
    <x v="21"/>
    <d v="2025-02-07T10:20:41"/>
    <d v="2025-07-25T11:09:00"/>
    <s v="80428442"/>
    <s v="Wilson Abdon Quevedo Pastor"/>
    <n v="0"/>
    <n v="1"/>
    <s v="Y"/>
    <x v="0"/>
    <x v="49"/>
    <x v="0"/>
    <x v="0"/>
    <x v="0"/>
    <x v="3"/>
    <x v="1"/>
    <e v="#N/A"/>
  </r>
  <r>
    <s v="AJM01"/>
    <x v="1"/>
    <s v="Preventivo"/>
    <x v="48"/>
    <x v="49"/>
    <x v="141"/>
    <s v="000000003336"/>
    <x v="21"/>
    <x v="21"/>
    <d v="2025-02-07T10:20:41"/>
    <d v="2025-07-25T11:09:00"/>
    <s v="80428442"/>
    <s v="Wilson Abdon Quevedo Pastor"/>
    <n v="0"/>
    <n v="1"/>
    <s v="Y"/>
    <x v="0"/>
    <x v="49"/>
    <x v="0"/>
    <x v="0"/>
    <x v="0"/>
    <x v="3"/>
    <x v="1"/>
    <e v="#N/A"/>
  </r>
  <r>
    <s v="AJM01"/>
    <x v="1"/>
    <s v="Preventivo"/>
    <x v="48"/>
    <x v="49"/>
    <x v="142"/>
    <s v="000000003336"/>
    <x v="21"/>
    <x v="21"/>
    <d v="2025-02-07T10:20:41"/>
    <d v="2025-07-25T11:09:00"/>
    <s v="80428442"/>
    <s v="Wilson Abdon Quevedo Pastor"/>
    <n v="0"/>
    <n v="1"/>
    <s v="Y"/>
    <x v="0"/>
    <x v="49"/>
    <x v="0"/>
    <x v="0"/>
    <x v="0"/>
    <x v="3"/>
    <x v="1"/>
    <e v="#N/A"/>
  </r>
  <r>
    <s v="AJM01"/>
    <x v="1"/>
    <s v="Preventivo"/>
    <x v="49"/>
    <x v="50"/>
    <x v="143"/>
    <s v="000000003340"/>
    <x v="18"/>
    <x v="18"/>
    <d v="2025-02-07T10:20:43"/>
    <d v="2025-07-25T11:09:00"/>
    <s v="80428442"/>
    <s v="Wilson Abdon Quevedo Pastor"/>
    <n v="0"/>
    <n v="1"/>
    <s v="Y"/>
    <x v="0"/>
    <x v="50"/>
    <x v="0"/>
    <x v="0"/>
    <x v="0"/>
    <x v="4"/>
    <x v="1"/>
    <e v="#N/A"/>
  </r>
  <r>
    <s v="AJM01"/>
    <x v="1"/>
    <s v="Preventivo"/>
    <x v="49"/>
    <x v="50"/>
    <x v="144"/>
    <s v="000000003340"/>
    <x v="18"/>
    <x v="18"/>
    <d v="2025-02-07T10:20:43"/>
    <d v="2025-07-25T11:09:00"/>
    <s v="80428442"/>
    <s v="Wilson Abdon Quevedo Pastor"/>
    <n v="0"/>
    <n v="1"/>
    <s v="Y"/>
    <x v="0"/>
    <x v="50"/>
    <x v="0"/>
    <x v="0"/>
    <x v="0"/>
    <x v="4"/>
    <x v="1"/>
    <e v="#N/A"/>
  </r>
  <r>
    <s v="AJM01"/>
    <x v="1"/>
    <s v="Preventivo"/>
    <x v="50"/>
    <x v="51"/>
    <x v="145"/>
    <s v="000000003339"/>
    <x v="22"/>
    <x v="22"/>
    <d v="2025-02-07T10:20:39"/>
    <d v="2025-07-25T11:09:00"/>
    <s v="80428442"/>
    <s v="Wilson Abdon Quevedo Pastor"/>
    <n v="0"/>
    <n v="1"/>
    <s v="Y"/>
    <x v="0"/>
    <x v="51"/>
    <x v="0"/>
    <x v="0"/>
    <x v="0"/>
    <x v="0"/>
    <x v="1"/>
    <e v="#N/A"/>
  </r>
  <r>
    <s v="AJM01"/>
    <x v="1"/>
    <s v="Preventivo"/>
    <x v="50"/>
    <x v="51"/>
    <x v="146"/>
    <s v="000000003339"/>
    <x v="22"/>
    <x v="22"/>
    <d v="2025-02-07T10:20:39"/>
    <d v="2025-07-25T11:09:00"/>
    <s v="80428442"/>
    <s v="Wilson Abdon Quevedo Pastor"/>
    <n v="0"/>
    <n v="1"/>
    <s v="Y"/>
    <x v="0"/>
    <x v="51"/>
    <x v="0"/>
    <x v="0"/>
    <x v="0"/>
    <x v="0"/>
    <x v="1"/>
    <e v="#N/A"/>
  </r>
  <r>
    <s v="AJM01"/>
    <x v="1"/>
    <s v="Preventivo"/>
    <x v="50"/>
    <x v="51"/>
    <x v="116"/>
    <s v="000000003339"/>
    <x v="22"/>
    <x v="22"/>
    <d v="2025-02-07T10:20:39"/>
    <d v="2025-07-25T11:09:00"/>
    <s v="80428442"/>
    <s v="Wilson Abdon Quevedo Pastor"/>
    <n v="0"/>
    <n v="1"/>
    <s v="Y"/>
    <x v="0"/>
    <x v="51"/>
    <x v="0"/>
    <x v="0"/>
    <x v="0"/>
    <x v="0"/>
    <x v="1"/>
    <e v="#N/A"/>
  </r>
  <r>
    <s v="AJM01"/>
    <x v="1"/>
    <s v="Preventivo"/>
    <x v="50"/>
    <x v="51"/>
    <x v="147"/>
    <s v="000000003339"/>
    <x v="22"/>
    <x v="22"/>
    <d v="2025-02-07T10:20:39"/>
    <d v="2025-07-25T11:09:00"/>
    <s v="80428442"/>
    <s v="Wilson Abdon Quevedo Pastor"/>
    <n v="0"/>
    <n v="1"/>
    <s v="Y"/>
    <x v="0"/>
    <x v="51"/>
    <x v="0"/>
    <x v="0"/>
    <x v="0"/>
    <x v="0"/>
    <x v="1"/>
    <e v="#N/A"/>
  </r>
  <r>
    <s v="AJM01"/>
    <x v="1"/>
    <s v="Preventivo"/>
    <x v="50"/>
    <x v="51"/>
    <x v="71"/>
    <s v="000000003339"/>
    <x v="22"/>
    <x v="22"/>
    <d v="2025-02-07T10:20:39"/>
    <d v="2025-07-25T11:09:00"/>
    <s v="80428442"/>
    <s v="Wilson Abdon Quevedo Pastor"/>
    <n v="0"/>
    <n v="1"/>
    <s v="Y"/>
    <x v="0"/>
    <x v="51"/>
    <x v="0"/>
    <x v="0"/>
    <x v="0"/>
    <x v="0"/>
    <x v="1"/>
    <e v="#N/A"/>
  </r>
  <r>
    <s v="AJM01"/>
    <x v="1"/>
    <s v="Preventivo"/>
    <x v="50"/>
    <x v="51"/>
    <x v="148"/>
    <s v="000000003339"/>
    <x v="22"/>
    <x v="22"/>
    <d v="2025-02-07T10:20:39"/>
    <d v="2025-07-25T11:09:00"/>
    <s v="80428442"/>
    <s v="Wilson Abdon Quevedo Pastor"/>
    <n v="0"/>
    <n v="1"/>
    <s v="Y"/>
    <x v="0"/>
    <x v="51"/>
    <x v="0"/>
    <x v="0"/>
    <x v="0"/>
    <x v="0"/>
    <x v="1"/>
    <e v="#N/A"/>
  </r>
  <r>
    <s v="AJM01"/>
    <x v="1"/>
    <s v="Preventivo"/>
    <x v="51"/>
    <x v="52"/>
    <x v="149"/>
    <s v="000000003348"/>
    <x v="23"/>
    <x v="23"/>
    <d v="2025-02-07T10:20:33"/>
    <d v="2025-07-25T11:09:00"/>
    <s v="80428442"/>
    <s v="Wilson Abdon Quevedo Pastor"/>
    <n v="0"/>
    <n v="1"/>
    <s v="Y"/>
    <x v="0"/>
    <x v="52"/>
    <x v="0"/>
    <x v="0"/>
    <x v="0"/>
    <x v="1"/>
    <x v="1"/>
    <e v="#N/A"/>
  </r>
  <r>
    <s v="AJM01"/>
    <x v="1"/>
    <s v="Preventivo"/>
    <x v="51"/>
    <x v="52"/>
    <x v="146"/>
    <s v="000000003348"/>
    <x v="23"/>
    <x v="23"/>
    <d v="2025-02-07T10:20:33"/>
    <d v="2025-07-25T11:09:00"/>
    <s v="80428442"/>
    <s v="Wilson Abdon Quevedo Pastor"/>
    <n v="0"/>
    <n v="1"/>
    <s v="Y"/>
    <x v="0"/>
    <x v="52"/>
    <x v="0"/>
    <x v="0"/>
    <x v="0"/>
    <x v="1"/>
    <x v="1"/>
    <e v="#N/A"/>
  </r>
  <r>
    <s v="AJM01"/>
    <x v="1"/>
    <s v="Preventivo"/>
    <x v="51"/>
    <x v="52"/>
    <x v="147"/>
    <s v="000000003348"/>
    <x v="23"/>
    <x v="23"/>
    <d v="2025-02-07T10:20:33"/>
    <d v="2025-07-25T11:09:00"/>
    <s v="80428442"/>
    <s v="Wilson Abdon Quevedo Pastor"/>
    <n v="0"/>
    <n v="1"/>
    <s v="Y"/>
    <x v="0"/>
    <x v="52"/>
    <x v="0"/>
    <x v="0"/>
    <x v="0"/>
    <x v="1"/>
    <x v="1"/>
    <e v="#N/A"/>
  </r>
  <r>
    <s v="AJM01"/>
    <x v="1"/>
    <s v="Preventivo"/>
    <x v="51"/>
    <x v="52"/>
    <x v="71"/>
    <s v="000000003348"/>
    <x v="23"/>
    <x v="23"/>
    <d v="2025-02-07T10:20:33"/>
    <d v="2025-07-25T11:09:00"/>
    <s v="80428442"/>
    <s v="Wilson Abdon Quevedo Pastor"/>
    <n v="0"/>
    <n v="1"/>
    <s v="Y"/>
    <x v="0"/>
    <x v="52"/>
    <x v="0"/>
    <x v="0"/>
    <x v="0"/>
    <x v="1"/>
    <x v="1"/>
    <e v="#N/A"/>
  </r>
  <r>
    <s v="AJM01"/>
    <x v="1"/>
    <s v="Preventivo"/>
    <x v="52"/>
    <x v="53"/>
    <x v="150"/>
    <s v="000000003351"/>
    <x v="30"/>
    <x v="30"/>
    <d v="2025-02-07T10:20:44"/>
    <d v="2025-07-25T11:09:00"/>
    <s v="80428442"/>
    <s v="Wilson Abdon Quevedo Pastor"/>
    <n v="0"/>
    <n v="1"/>
    <s v="Y"/>
    <x v="0"/>
    <x v="53"/>
    <x v="0"/>
    <x v="0"/>
    <x v="0"/>
    <x v="11"/>
    <x v="1"/>
    <e v="#N/A"/>
  </r>
  <r>
    <s v="AJM01"/>
    <x v="1"/>
    <s v="Preventivo"/>
    <x v="52"/>
    <x v="53"/>
    <x v="149"/>
    <s v="000000003351"/>
    <x v="30"/>
    <x v="30"/>
    <d v="2025-02-07T10:20:44"/>
    <d v="2025-07-25T11:09:00"/>
    <s v="80428442"/>
    <s v="Wilson Abdon Quevedo Pastor"/>
    <n v="0"/>
    <n v="1"/>
    <s v="Y"/>
    <x v="0"/>
    <x v="53"/>
    <x v="0"/>
    <x v="0"/>
    <x v="0"/>
    <x v="11"/>
    <x v="1"/>
    <e v="#N/A"/>
  </r>
  <r>
    <s v="AJM01"/>
    <x v="1"/>
    <s v="Preventivo"/>
    <x v="52"/>
    <x v="53"/>
    <x v="146"/>
    <s v="000000003351"/>
    <x v="30"/>
    <x v="30"/>
    <d v="2025-02-07T10:20:44"/>
    <d v="2025-07-25T11:09:00"/>
    <s v="80428442"/>
    <s v="Wilson Abdon Quevedo Pastor"/>
    <n v="0"/>
    <n v="1"/>
    <s v="Y"/>
    <x v="0"/>
    <x v="53"/>
    <x v="0"/>
    <x v="0"/>
    <x v="0"/>
    <x v="11"/>
    <x v="1"/>
    <e v="#N/A"/>
  </r>
  <r>
    <s v="AJM01"/>
    <x v="1"/>
    <s v="Preventivo"/>
    <x v="52"/>
    <x v="53"/>
    <x v="151"/>
    <s v="000000003351"/>
    <x v="30"/>
    <x v="30"/>
    <d v="2025-02-07T10:20:44"/>
    <d v="2025-07-25T11:09:00"/>
    <s v="80428442"/>
    <s v="Wilson Abdon Quevedo Pastor"/>
    <n v="0"/>
    <n v="1"/>
    <s v="Y"/>
    <x v="0"/>
    <x v="53"/>
    <x v="0"/>
    <x v="0"/>
    <x v="0"/>
    <x v="11"/>
    <x v="1"/>
    <e v="#N/A"/>
  </r>
  <r>
    <s v="AJM01"/>
    <x v="1"/>
    <s v="Preventivo"/>
    <x v="52"/>
    <x v="53"/>
    <x v="147"/>
    <s v="000000003351"/>
    <x v="30"/>
    <x v="30"/>
    <d v="2025-02-07T10:20:44"/>
    <d v="2025-07-25T11:09:00"/>
    <s v="80428442"/>
    <s v="Wilson Abdon Quevedo Pastor"/>
    <n v="0"/>
    <n v="1"/>
    <s v="Y"/>
    <x v="0"/>
    <x v="53"/>
    <x v="0"/>
    <x v="0"/>
    <x v="0"/>
    <x v="11"/>
    <x v="1"/>
    <e v="#N/A"/>
  </r>
  <r>
    <s v="AJM01"/>
    <x v="1"/>
    <s v="Preventivo"/>
    <x v="52"/>
    <x v="53"/>
    <x v="71"/>
    <s v="000000003351"/>
    <x v="30"/>
    <x v="30"/>
    <d v="2025-02-07T10:20:44"/>
    <d v="2025-07-25T11:09:00"/>
    <s v="80428442"/>
    <s v="Wilson Abdon Quevedo Pastor"/>
    <n v="0"/>
    <n v="1"/>
    <s v="Y"/>
    <x v="0"/>
    <x v="53"/>
    <x v="0"/>
    <x v="0"/>
    <x v="0"/>
    <x v="11"/>
    <x v="1"/>
    <e v="#N/A"/>
  </r>
  <r>
    <s v="AJM01"/>
    <x v="1"/>
    <s v="Preventivo"/>
    <x v="52"/>
    <x v="53"/>
    <x v="148"/>
    <s v="000000003351"/>
    <x v="30"/>
    <x v="30"/>
    <d v="2025-02-07T10:20:44"/>
    <d v="2025-07-25T11:09:00"/>
    <s v="80428442"/>
    <s v="Wilson Abdon Quevedo Pastor"/>
    <n v="0"/>
    <n v="1"/>
    <s v="Y"/>
    <x v="0"/>
    <x v="53"/>
    <x v="0"/>
    <x v="0"/>
    <x v="0"/>
    <x v="11"/>
    <x v="1"/>
    <e v="#N/A"/>
  </r>
  <r>
    <s v="AJM01"/>
    <x v="1"/>
    <s v="Preventivo"/>
    <x v="53"/>
    <x v="54"/>
    <x v="152"/>
    <s v="000000003349"/>
    <x v="24"/>
    <x v="24"/>
    <d v="2025-02-07T10:20:34"/>
    <d v="2025-07-25T11:09:00"/>
    <s v="80428442"/>
    <s v="Wilson Abdon Quevedo Pastor"/>
    <n v="0"/>
    <n v="1"/>
    <s v="Y"/>
    <x v="0"/>
    <x v="54"/>
    <x v="0"/>
    <x v="0"/>
    <x v="0"/>
    <x v="1"/>
    <x v="1"/>
    <e v="#N/A"/>
  </r>
  <r>
    <s v="AJM01"/>
    <x v="1"/>
    <s v="Preventivo"/>
    <x v="53"/>
    <x v="54"/>
    <x v="153"/>
    <s v="000000003349"/>
    <x v="24"/>
    <x v="24"/>
    <d v="2025-02-07T10:20:34"/>
    <d v="2025-07-25T11:09:00"/>
    <s v="80428442"/>
    <s v="Wilson Abdon Quevedo Pastor"/>
    <n v="0"/>
    <n v="1"/>
    <s v="Y"/>
    <x v="0"/>
    <x v="54"/>
    <x v="0"/>
    <x v="0"/>
    <x v="0"/>
    <x v="1"/>
    <x v="1"/>
    <e v="#N/A"/>
  </r>
  <r>
    <s v="AJM01"/>
    <x v="1"/>
    <s v="Preventivo"/>
    <x v="53"/>
    <x v="54"/>
    <x v="154"/>
    <s v="000000003349"/>
    <x v="24"/>
    <x v="24"/>
    <d v="2025-02-07T10:20:34"/>
    <d v="2025-07-25T11:09:00"/>
    <s v="80428442"/>
    <s v="Wilson Abdon Quevedo Pastor"/>
    <n v="0"/>
    <n v="1"/>
    <s v="Y"/>
    <x v="0"/>
    <x v="54"/>
    <x v="0"/>
    <x v="0"/>
    <x v="0"/>
    <x v="1"/>
    <x v="1"/>
    <e v="#N/A"/>
  </r>
  <r>
    <s v="AJM01"/>
    <x v="1"/>
    <s v="Preventivo"/>
    <x v="53"/>
    <x v="54"/>
    <x v="152"/>
    <s v="000000004113"/>
    <x v="25"/>
    <x v="25"/>
    <d v="2025-02-07T10:20:37"/>
    <d v="2025-07-25T11:09:00"/>
    <s v="80428442"/>
    <s v="Wilson Abdon Quevedo Pastor"/>
    <n v="0"/>
    <n v="1"/>
    <s v="Y"/>
    <x v="0"/>
    <x v="54"/>
    <x v="0"/>
    <x v="0"/>
    <x v="0"/>
    <x v="10"/>
    <x v="1"/>
    <e v="#N/A"/>
  </r>
  <r>
    <s v="AJM01"/>
    <x v="1"/>
    <s v="Preventivo"/>
    <x v="53"/>
    <x v="54"/>
    <x v="153"/>
    <s v="000000004113"/>
    <x v="25"/>
    <x v="25"/>
    <d v="2025-02-07T10:20:37"/>
    <d v="2025-07-25T11:09:00"/>
    <s v="80428442"/>
    <s v="Wilson Abdon Quevedo Pastor"/>
    <n v="0"/>
    <n v="1"/>
    <s v="Y"/>
    <x v="0"/>
    <x v="54"/>
    <x v="0"/>
    <x v="0"/>
    <x v="0"/>
    <x v="10"/>
    <x v="1"/>
    <e v="#N/A"/>
  </r>
  <r>
    <s v="AJM01"/>
    <x v="1"/>
    <s v="Preventivo"/>
    <x v="53"/>
    <x v="54"/>
    <x v="154"/>
    <s v="000000004113"/>
    <x v="25"/>
    <x v="25"/>
    <d v="2025-02-07T10:20:37"/>
    <d v="2025-07-25T11:09:00"/>
    <s v="80428442"/>
    <s v="Wilson Abdon Quevedo Pastor"/>
    <n v="0"/>
    <n v="1"/>
    <s v="Y"/>
    <x v="0"/>
    <x v="54"/>
    <x v="0"/>
    <x v="0"/>
    <x v="0"/>
    <x v="10"/>
    <x v="1"/>
    <e v="#N/A"/>
  </r>
  <r>
    <s v="AJM01"/>
    <x v="1"/>
    <s v="Preventivo"/>
    <x v="53"/>
    <x v="54"/>
    <x v="152"/>
    <s v="000000004124"/>
    <x v="26"/>
    <x v="26"/>
    <d v="2025-02-07T10:20:40"/>
    <d v="2025-07-25T11:09:00"/>
    <s v="80428442"/>
    <s v="Wilson Abdon Quevedo Pastor"/>
    <n v="0"/>
    <n v="1"/>
    <s v="Y"/>
    <x v="0"/>
    <x v="54"/>
    <x v="0"/>
    <x v="0"/>
    <x v="0"/>
    <x v="0"/>
    <x v="1"/>
    <e v="#N/A"/>
  </r>
  <r>
    <s v="AJM01"/>
    <x v="1"/>
    <s v="Preventivo"/>
    <x v="53"/>
    <x v="54"/>
    <x v="153"/>
    <s v="000000004124"/>
    <x v="26"/>
    <x v="26"/>
    <d v="2025-02-07T10:20:40"/>
    <d v="2025-07-25T11:09:00"/>
    <s v="80428442"/>
    <s v="Wilson Abdon Quevedo Pastor"/>
    <n v="0"/>
    <n v="1"/>
    <s v="Y"/>
    <x v="0"/>
    <x v="54"/>
    <x v="0"/>
    <x v="0"/>
    <x v="0"/>
    <x v="0"/>
    <x v="1"/>
    <e v="#N/A"/>
  </r>
  <r>
    <s v="AJM01"/>
    <x v="1"/>
    <s v="Preventivo"/>
    <x v="53"/>
    <x v="54"/>
    <x v="154"/>
    <s v="000000004124"/>
    <x v="26"/>
    <x v="26"/>
    <d v="2025-02-07T10:20:40"/>
    <d v="2025-07-25T11:09:00"/>
    <s v="80428442"/>
    <s v="Wilson Abdon Quevedo Pastor"/>
    <n v="0"/>
    <n v="1"/>
    <s v="Y"/>
    <x v="0"/>
    <x v="54"/>
    <x v="0"/>
    <x v="0"/>
    <x v="0"/>
    <x v="0"/>
    <x v="1"/>
    <e v="#N/A"/>
  </r>
  <r>
    <s v="AJM01"/>
    <x v="1"/>
    <s v="Preventivo"/>
    <x v="53"/>
    <x v="54"/>
    <x v="152"/>
    <s v="000000004134"/>
    <x v="27"/>
    <x v="27"/>
    <d v="2025-02-07T10:20:42"/>
    <d v="2025-07-25T11:09:00"/>
    <s v="80428442"/>
    <s v="Wilson Abdon Quevedo Pastor"/>
    <n v="0"/>
    <n v="1"/>
    <s v="Y"/>
    <x v="0"/>
    <x v="54"/>
    <x v="0"/>
    <x v="0"/>
    <x v="0"/>
    <x v="3"/>
    <x v="1"/>
    <e v="#N/A"/>
  </r>
  <r>
    <s v="AJM01"/>
    <x v="1"/>
    <s v="Preventivo"/>
    <x v="53"/>
    <x v="54"/>
    <x v="153"/>
    <s v="000000004134"/>
    <x v="27"/>
    <x v="27"/>
    <d v="2025-02-07T10:20:42"/>
    <d v="2025-07-25T11:09:00"/>
    <s v="80428442"/>
    <s v="Wilson Abdon Quevedo Pastor"/>
    <n v="0"/>
    <n v="1"/>
    <s v="Y"/>
    <x v="0"/>
    <x v="54"/>
    <x v="0"/>
    <x v="0"/>
    <x v="0"/>
    <x v="3"/>
    <x v="1"/>
    <e v="#N/A"/>
  </r>
  <r>
    <s v="AJM01"/>
    <x v="1"/>
    <s v="Preventivo"/>
    <x v="53"/>
    <x v="54"/>
    <x v="154"/>
    <s v="000000004134"/>
    <x v="27"/>
    <x v="27"/>
    <d v="2025-02-07T10:20:42"/>
    <d v="2025-07-25T11:09:00"/>
    <s v="80428442"/>
    <s v="Wilson Abdon Quevedo Pastor"/>
    <n v="0"/>
    <n v="1"/>
    <s v="Y"/>
    <x v="0"/>
    <x v="54"/>
    <x v="0"/>
    <x v="0"/>
    <x v="0"/>
    <x v="3"/>
    <x v="1"/>
    <e v="#N/A"/>
  </r>
  <r>
    <s v="AJM01"/>
    <x v="1"/>
    <s v="Preventivo"/>
    <x v="54"/>
    <x v="55"/>
    <x v="155"/>
    <s v="000000003346"/>
    <x v="0"/>
    <x v="0"/>
    <d v="2025-02-07T10:20:39"/>
    <d v="2025-07-25T11:09:00"/>
    <s v="80428442"/>
    <s v="Wilson Abdon Quevedo Pastor"/>
    <n v="0"/>
    <n v="1"/>
    <s v="Y"/>
    <x v="0"/>
    <x v="55"/>
    <x v="0"/>
    <x v="0"/>
    <x v="0"/>
    <x v="0"/>
    <x v="1"/>
    <e v="#N/A"/>
  </r>
  <r>
    <s v="AJM01"/>
    <x v="1"/>
    <s v="Preventivo"/>
    <x v="54"/>
    <x v="55"/>
    <x v="156"/>
    <s v="000000003346"/>
    <x v="0"/>
    <x v="0"/>
    <d v="2025-02-07T10:20:39"/>
    <d v="2025-07-25T11:09:00"/>
    <s v="80428442"/>
    <s v="Wilson Abdon Quevedo Pastor"/>
    <n v="0"/>
    <n v="1"/>
    <s v="Y"/>
    <x v="0"/>
    <x v="55"/>
    <x v="0"/>
    <x v="0"/>
    <x v="0"/>
    <x v="0"/>
    <x v="1"/>
    <e v="#N/A"/>
  </r>
  <r>
    <s v="AJM01"/>
    <x v="1"/>
    <s v="Preventivo"/>
    <x v="54"/>
    <x v="55"/>
    <x v="155"/>
    <s v="000000003345"/>
    <x v="1"/>
    <x v="1"/>
    <d v="2025-02-07T10:20:39"/>
    <d v="2025-07-25T11:09:00"/>
    <s v="80428442"/>
    <s v="Wilson Abdon Quevedo Pastor"/>
    <n v="0"/>
    <n v="1"/>
    <s v="Y"/>
    <x v="0"/>
    <x v="55"/>
    <x v="0"/>
    <x v="0"/>
    <x v="0"/>
    <x v="0"/>
    <x v="1"/>
    <e v="#N/A"/>
  </r>
  <r>
    <s v="AJM01"/>
    <x v="1"/>
    <s v="Preventivo"/>
    <x v="54"/>
    <x v="55"/>
    <x v="156"/>
    <s v="000000003345"/>
    <x v="1"/>
    <x v="1"/>
    <d v="2025-02-07T10:20:39"/>
    <d v="2025-07-25T11:09:00"/>
    <s v="80428442"/>
    <s v="Wilson Abdon Quevedo Pastor"/>
    <n v="0"/>
    <n v="1"/>
    <s v="Y"/>
    <x v="0"/>
    <x v="55"/>
    <x v="0"/>
    <x v="0"/>
    <x v="0"/>
    <x v="0"/>
    <x v="1"/>
    <e v="#N/A"/>
  </r>
  <r>
    <s v="AJM01"/>
    <x v="1"/>
    <s v="Preventivo"/>
    <x v="54"/>
    <x v="55"/>
    <x v="155"/>
    <s v="000000003343"/>
    <x v="2"/>
    <x v="2"/>
    <d v="2025-02-07T10:20:40"/>
    <d v="2025-07-25T11:09:00"/>
    <s v="80428442"/>
    <s v="Wilson Abdon Quevedo Pastor"/>
    <n v="0"/>
    <n v="1"/>
    <s v="Y"/>
    <x v="0"/>
    <x v="55"/>
    <x v="0"/>
    <x v="0"/>
    <x v="0"/>
    <x v="0"/>
    <x v="1"/>
    <e v="#N/A"/>
  </r>
  <r>
    <s v="AJM01"/>
    <x v="1"/>
    <s v="Preventivo"/>
    <x v="54"/>
    <x v="55"/>
    <x v="156"/>
    <s v="000000003343"/>
    <x v="2"/>
    <x v="2"/>
    <d v="2025-02-07T10:20:40"/>
    <d v="2025-07-25T11:09:00"/>
    <s v="80428442"/>
    <s v="Wilson Abdon Quevedo Pastor"/>
    <n v="0"/>
    <n v="1"/>
    <s v="Y"/>
    <x v="0"/>
    <x v="55"/>
    <x v="0"/>
    <x v="0"/>
    <x v="0"/>
    <x v="0"/>
    <x v="1"/>
    <e v="#N/A"/>
  </r>
  <r>
    <s v="AJM01"/>
    <x v="1"/>
    <s v="Preventivo"/>
    <x v="55"/>
    <x v="56"/>
    <x v="157"/>
    <s v="000000004113"/>
    <x v="25"/>
    <x v="25"/>
    <d v="2025-02-07T10:20:37"/>
    <d v="2025-07-25T11:09:00"/>
    <s v="80428442"/>
    <s v="Wilson Abdon Quevedo Pastor"/>
    <n v="0"/>
    <n v="1"/>
    <s v="Y"/>
    <x v="0"/>
    <x v="56"/>
    <x v="0"/>
    <x v="0"/>
    <x v="0"/>
    <x v="10"/>
    <x v="1"/>
    <e v="#N/A"/>
  </r>
  <r>
    <s v="AJM01"/>
    <x v="1"/>
    <s v="Preventivo"/>
    <x v="55"/>
    <x v="56"/>
    <x v="158"/>
    <s v="000000004113"/>
    <x v="25"/>
    <x v="25"/>
    <d v="2025-02-07T10:20:37"/>
    <d v="2025-07-25T11:09:00"/>
    <s v="80428442"/>
    <s v="Wilson Abdon Quevedo Pastor"/>
    <n v="0"/>
    <n v="1"/>
    <s v="Y"/>
    <x v="0"/>
    <x v="56"/>
    <x v="0"/>
    <x v="0"/>
    <x v="0"/>
    <x v="10"/>
    <x v="1"/>
    <e v="#N/A"/>
  </r>
  <r>
    <s v="AJM01"/>
    <x v="1"/>
    <s v="Preventivo"/>
    <x v="55"/>
    <x v="56"/>
    <x v="159"/>
    <s v="000000004113"/>
    <x v="25"/>
    <x v="25"/>
    <d v="2025-02-07T10:20:37"/>
    <d v="2025-07-25T11:09:00"/>
    <s v="80428442"/>
    <s v="Wilson Abdon Quevedo Pastor"/>
    <n v="0"/>
    <n v="1"/>
    <s v="Y"/>
    <x v="0"/>
    <x v="56"/>
    <x v="0"/>
    <x v="0"/>
    <x v="0"/>
    <x v="10"/>
    <x v="1"/>
    <e v="#N/A"/>
  </r>
  <r>
    <s v="AJM01"/>
    <x v="1"/>
    <s v="Preventivo"/>
    <x v="55"/>
    <x v="56"/>
    <x v="160"/>
    <s v="000000004113"/>
    <x v="25"/>
    <x v="25"/>
    <d v="2025-02-07T10:20:37"/>
    <d v="2025-07-25T11:09:00"/>
    <s v="80428442"/>
    <s v="Wilson Abdon Quevedo Pastor"/>
    <n v="0"/>
    <n v="1"/>
    <s v="Y"/>
    <x v="0"/>
    <x v="56"/>
    <x v="0"/>
    <x v="0"/>
    <x v="0"/>
    <x v="10"/>
    <x v="1"/>
    <e v="#N/A"/>
  </r>
  <r>
    <s v="AJM01"/>
    <x v="1"/>
    <s v="Preventivo"/>
    <x v="55"/>
    <x v="56"/>
    <x v="161"/>
    <s v="000000004113"/>
    <x v="25"/>
    <x v="25"/>
    <d v="2025-02-07T10:20:37"/>
    <d v="2025-07-25T11:09:00"/>
    <s v="80428442"/>
    <s v="Wilson Abdon Quevedo Pastor"/>
    <n v="0"/>
    <n v="1"/>
    <s v="Y"/>
    <x v="0"/>
    <x v="56"/>
    <x v="0"/>
    <x v="0"/>
    <x v="0"/>
    <x v="10"/>
    <x v="1"/>
    <e v="#N/A"/>
  </r>
  <r>
    <s v="AJM01"/>
    <x v="1"/>
    <s v="Preventivo"/>
    <x v="55"/>
    <x v="56"/>
    <x v="162"/>
    <s v="000000004113"/>
    <x v="25"/>
    <x v="25"/>
    <d v="2025-02-07T10:20:37"/>
    <d v="2025-07-25T11:09:00"/>
    <s v="80428442"/>
    <s v="Wilson Abdon Quevedo Pastor"/>
    <n v="0"/>
    <n v="1"/>
    <s v="Y"/>
    <x v="0"/>
    <x v="56"/>
    <x v="0"/>
    <x v="0"/>
    <x v="0"/>
    <x v="10"/>
    <x v="1"/>
    <e v="#N/A"/>
  </r>
  <r>
    <s v="AJM01"/>
    <x v="1"/>
    <s v="Preventivo"/>
    <x v="55"/>
    <x v="56"/>
    <x v="157"/>
    <s v="000000004124"/>
    <x v="26"/>
    <x v="26"/>
    <d v="2025-02-07T10:20:40"/>
    <d v="2025-07-25T11:09:00"/>
    <s v="80428442"/>
    <s v="Wilson Abdon Quevedo Pastor"/>
    <n v="0"/>
    <n v="1"/>
    <s v="Y"/>
    <x v="0"/>
    <x v="56"/>
    <x v="0"/>
    <x v="0"/>
    <x v="0"/>
    <x v="0"/>
    <x v="1"/>
    <e v="#N/A"/>
  </r>
  <r>
    <s v="AJM01"/>
    <x v="1"/>
    <s v="Preventivo"/>
    <x v="55"/>
    <x v="56"/>
    <x v="158"/>
    <s v="000000004124"/>
    <x v="26"/>
    <x v="26"/>
    <d v="2025-02-07T10:20:40"/>
    <d v="2025-07-25T11:09:00"/>
    <s v="80428442"/>
    <s v="Wilson Abdon Quevedo Pastor"/>
    <n v="0"/>
    <n v="1"/>
    <s v="Y"/>
    <x v="0"/>
    <x v="56"/>
    <x v="0"/>
    <x v="0"/>
    <x v="0"/>
    <x v="0"/>
    <x v="1"/>
    <e v="#N/A"/>
  </r>
  <r>
    <s v="AJM01"/>
    <x v="1"/>
    <s v="Preventivo"/>
    <x v="55"/>
    <x v="56"/>
    <x v="159"/>
    <s v="000000004124"/>
    <x v="26"/>
    <x v="26"/>
    <d v="2025-02-07T10:20:40"/>
    <d v="2025-07-25T11:09:00"/>
    <s v="80428442"/>
    <s v="Wilson Abdon Quevedo Pastor"/>
    <n v="0"/>
    <n v="1"/>
    <s v="Y"/>
    <x v="0"/>
    <x v="56"/>
    <x v="0"/>
    <x v="0"/>
    <x v="0"/>
    <x v="0"/>
    <x v="1"/>
    <e v="#N/A"/>
  </r>
  <r>
    <s v="AJM01"/>
    <x v="1"/>
    <s v="Preventivo"/>
    <x v="55"/>
    <x v="56"/>
    <x v="160"/>
    <s v="000000004124"/>
    <x v="26"/>
    <x v="26"/>
    <d v="2025-02-07T10:20:40"/>
    <d v="2025-07-25T11:09:00"/>
    <s v="80428442"/>
    <s v="Wilson Abdon Quevedo Pastor"/>
    <n v="0"/>
    <n v="1"/>
    <s v="Y"/>
    <x v="0"/>
    <x v="56"/>
    <x v="0"/>
    <x v="0"/>
    <x v="0"/>
    <x v="0"/>
    <x v="1"/>
    <e v="#N/A"/>
  </r>
  <r>
    <s v="AJM01"/>
    <x v="1"/>
    <s v="Preventivo"/>
    <x v="55"/>
    <x v="56"/>
    <x v="161"/>
    <s v="000000004124"/>
    <x v="26"/>
    <x v="26"/>
    <d v="2025-02-07T10:20:40"/>
    <d v="2025-07-25T11:09:00"/>
    <s v="80428442"/>
    <s v="Wilson Abdon Quevedo Pastor"/>
    <n v="0"/>
    <n v="1"/>
    <s v="Y"/>
    <x v="0"/>
    <x v="56"/>
    <x v="0"/>
    <x v="0"/>
    <x v="0"/>
    <x v="0"/>
    <x v="1"/>
    <e v="#N/A"/>
  </r>
  <r>
    <s v="AJM01"/>
    <x v="1"/>
    <s v="Preventivo"/>
    <x v="55"/>
    <x v="56"/>
    <x v="162"/>
    <s v="000000004124"/>
    <x v="26"/>
    <x v="26"/>
    <d v="2025-02-07T10:20:40"/>
    <d v="2025-07-25T11:09:00"/>
    <s v="80428442"/>
    <s v="Wilson Abdon Quevedo Pastor"/>
    <n v="0"/>
    <n v="1"/>
    <s v="Y"/>
    <x v="0"/>
    <x v="56"/>
    <x v="0"/>
    <x v="0"/>
    <x v="0"/>
    <x v="0"/>
    <x v="1"/>
    <e v="#N/A"/>
  </r>
  <r>
    <s v="AJM01"/>
    <x v="1"/>
    <s v="Preventivo"/>
    <x v="55"/>
    <x v="56"/>
    <x v="157"/>
    <s v="000000004134"/>
    <x v="27"/>
    <x v="27"/>
    <d v="2025-02-07T10:20:42"/>
    <d v="2025-07-25T11:09:00"/>
    <s v="80428442"/>
    <s v="Wilson Abdon Quevedo Pastor"/>
    <n v="0"/>
    <n v="1"/>
    <s v="Y"/>
    <x v="0"/>
    <x v="56"/>
    <x v="0"/>
    <x v="0"/>
    <x v="0"/>
    <x v="3"/>
    <x v="1"/>
    <e v="#N/A"/>
  </r>
  <r>
    <s v="AJM01"/>
    <x v="1"/>
    <s v="Preventivo"/>
    <x v="55"/>
    <x v="56"/>
    <x v="158"/>
    <s v="000000004134"/>
    <x v="27"/>
    <x v="27"/>
    <d v="2025-02-07T10:20:42"/>
    <d v="2025-07-25T11:09:00"/>
    <s v="80428442"/>
    <s v="Wilson Abdon Quevedo Pastor"/>
    <n v="0"/>
    <n v="1"/>
    <s v="Y"/>
    <x v="0"/>
    <x v="56"/>
    <x v="0"/>
    <x v="0"/>
    <x v="0"/>
    <x v="3"/>
    <x v="1"/>
    <e v="#N/A"/>
  </r>
  <r>
    <s v="AJM01"/>
    <x v="1"/>
    <s v="Preventivo"/>
    <x v="55"/>
    <x v="56"/>
    <x v="159"/>
    <s v="000000004134"/>
    <x v="27"/>
    <x v="27"/>
    <d v="2025-02-07T10:20:42"/>
    <d v="2025-07-25T11:09:00"/>
    <s v="80428442"/>
    <s v="Wilson Abdon Quevedo Pastor"/>
    <n v="0"/>
    <n v="1"/>
    <s v="Y"/>
    <x v="0"/>
    <x v="56"/>
    <x v="0"/>
    <x v="0"/>
    <x v="0"/>
    <x v="3"/>
    <x v="1"/>
    <e v="#N/A"/>
  </r>
  <r>
    <s v="AJM01"/>
    <x v="1"/>
    <s v="Preventivo"/>
    <x v="55"/>
    <x v="56"/>
    <x v="160"/>
    <s v="000000004134"/>
    <x v="27"/>
    <x v="27"/>
    <d v="2025-02-07T10:20:42"/>
    <d v="2025-07-25T11:09:00"/>
    <s v="80428442"/>
    <s v="Wilson Abdon Quevedo Pastor"/>
    <n v="0"/>
    <n v="1"/>
    <s v="Y"/>
    <x v="0"/>
    <x v="56"/>
    <x v="0"/>
    <x v="0"/>
    <x v="0"/>
    <x v="3"/>
    <x v="1"/>
    <e v="#N/A"/>
  </r>
  <r>
    <s v="AJM01"/>
    <x v="1"/>
    <s v="Preventivo"/>
    <x v="55"/>
    <x v="56"/>
    <x v="161"/>
    <s v="000000004134"/>
    <x v="27"/>
    <x v="27"/>
    <d v="2025-02-07T10:20:42"/>
    <d v="2025-07-25T11:09:00"/>
    <s v="80428442"/>
    <s v="Wilson Abdon Quevedo Pastor"/>
    <n v="0"/>
    <n v="1"/>
    <s v="Y"/>
    <x v="0"/>
    <x v="56"/>
    <x v="0"/>
    <x v="0"/>
    <x v="0"/>
    <x v="3"/>
    <x v="1"/>
    <e v="#N/A"/>
  </r>
  <r>
    <s v="AJM01"/>
    <x v="1"/>
    <s v="Preventivo"/>
    <x v="55"/>
    <x v="56"/>
    <x v="162"/>
    <s v="000000004134"/>
    <x v="27"/>
    <x v="27"/>
    <d v="2025-02-07T10:20:42"/>
    <d v="2025-07-25T11:09:00"/>
    <s v="80428442"/>
    <s v="Wilson Abdon Quevedo Pastor"/>
    <n v="0"/>
    <n v="1"/>
    <s v="Y"/>
    <x v="0"/>
    <x v="56"/>
    <x v="0"/>
    <x v="0"/>
    <x v="0"/>
    <x v="3"/>
    <x v="1"/>
    <e v="#N/A"/>
  </r>
  <r>
    <s v="AJM01"/>
    <x v="1"/>
    <s v="Preventivo"/>
    <x v="56"/>
    <x v="57"/>
    <x v="157"/>
    <s v="000000004113"/>
    <x v="25"/>
    <x v="25"/>
    <d v="2025-02-07T10:20:37"/>
    <d v="2025-07-25T11:09:00"/>
    <s v="80428442"/>
    <s v="Wilson Abdon Quevedo Pastor"/>
    <n v="0"/>
    <n v="1"/>
    <s v="Y"/>
    <x v="0"/>
    <x v="57"/>
    <x v="0"/>
    <x v="0"/>
    <x v="0"/>
    <x v="10"/>
    <x v="1"/>
    <e v="#N/A"/>
  </r>
  <r>
    <s v="AJM01"/>
    <x v="1"/>
    <s v="Preventivo"/>
    <x v="56"/>
    <x v="57"/>
    <x v="158"/>
    <s v="000000004113"/>
    <x v="25"/>
    <x v="25"/>
    <d v="2025-02-07T10:20:37"/>
    <d v="2025-07-25T11:09:00"/>
    <s v="80428442"/>
    <s v="Wilson Abdon Quevedo Pastor"/>
    <n v="0"/>
    <n v="1"/>
    <s v="Y"/>
    <x v="0"/>
    <x v="57"/>
    <x v="0"/>
    <x v="0"/>
    <x v="0"/>
    <x v="10"/>
    <x v="1"/>
    <e v="#N/A"/>
  </r>
  <r>
    <s v="AJM01"/>
    <x v="1"/>
    <s v="Preventivo"/>
    <x v="56"/>
    <x v="57"/>
    <x v="159"/>
    <s v="000000004113"/>
    <x v="25"/>
    <x v="25"/>
    <d v="2025-02-07T10:20:37"/>
    <d v="2025-07-25T11:09:00"/>
    <s v="80428442"/>
    <s v="Wilson Abdon Quevedo Pastor"/>
    <n v="0"/>
    <n v="1"/>
    <s v="Y"/>
    <x v="0"/>
    <x v="57"/>
    <x v="0"/>
    <x v="0"/>
    <x v="0"/>
    <x v="10"/>
    <x v="1"/>
    <e v="#N/A"/>
  </r>
  <r>
    <s v="AJM01"/>
    <x v="1"/>
    <s v="Preventivo"/>
    <x v="56"/>
    <x v="57"/>
    <x v="160"/>
    <s v="000000004113"/>
    <x v="25"/>
    <x v="25"/>
    <d v="2025-02-07T10:20:37"/>
    <d v="2025-07-25T11:09:00"/>
    <s v="80428442"/>
    <s v="Wilson Abdon Quevedo Pastor"/>
    <n v="0"/>
    <n v="1"/>
    <s v="Y"/>
    <x v="0"/>
    <x v="57"/>
    <x v="0"/>
    <x v="0"/>
    <x v="0"/>
    <x v="10"/>
    <x v="1"/>
    <e v="#N/A"/>
  </r>
  <r>
    <s v="AJM01"/>
    <x v="1"/>
    <s v="Preventivo"/>
    <x v="56"/>
    <x v="57"/>
    <x v="161"/>
    <s v="000000004113"/>
    <x v="25"/>
    <x v="25"/>
    <d v="2025-02-07T10:20:37"/>
    <d v="2025-07-25T11:09:00"/>
    <s v="80428442"/>
    <s v="Wilson Abdon Quevedo Pastor"/>
    <n v="0"/>
    <n v="1"/>
    <s v="Y"/>
    <x v="0"/>
    <x v="57"/>
    <x v="0"/>
    <x v="0"/>
    <x v="0"/>
    <x v="10"/>
    <x v="1"/>
    <e v="#N/A"/>
  </r>
  <r>
    <s v="AJM01"/>
    <x v="1"/>
    <s v="Preventivo"/>
    <x v="56"/>
    <x v="57"/>
    <x v="162"/>
    <s v="000000004113"/>
    <x v="25"/>
    <x v="25"/>
    <d v="2025-02-07T10:20:37"/>
    <d v="2025-07-25T11:09:00"/>
    <s v="80428442"/>
    <s v="Wilson Abdon Quevedo Pastor"/>
    <n v="0"/>
    <n v="1"/>
    <s v="Y"/>
    <x v="0"/>
    <x v="57"/>
    <x v="0"/>
    <x v="0"/>
    <x v="0"/>
    <x v="10"/>
    <x v="1"/>
    <e v="#N/A"/>
  </r>
  <r>
    <s v="AJM01"/>
    <x v="1"/>
    <s v="Preventivo"/>
    <x v="56"/>
    <x v="57"/>
    <x v="163"/>
    <s v="000000004113"/>
    <x v="25"/>
    <x v="25"/>
    <d v="2025-02-07T10:20:37"/>
    <d v="2025-07-25T11:09:00"/>
    <s v="80428442"/>
    <s v="Wilson Abdon Quevedo Pastor"/>
    <n v="0"/>
    <n v="1"/>
    <s v="Y"/>
    <x v="0"/>
    <x v="57"/>
    <x v="0"/>
    <x v="0"/>
    <x v="0"/>
    <x v="10"/>
    <x v="1"/>
    <e v="#N/A"/>
  </r>
  <r>
    <s v="AJM01"/>
    <x v="1"/>
    <s v="Preventivo"/>
    <x v="56"/>
    <x v="57"/>
    <x v="157"/>
    <s v="000000004124"/>
    <x v="26"/>
    <x v="26"/>
    <d v="2025-02-07T10:20:40"/>
    <d v="2025-07-25T11:09:00"/>
    <s v="80428442"/>
    <s v="Wilson Abdon Quevedo Pastor"/>
    <n v="0"/>
    <n v="1"/>
    <s v="Y"/>
    <x v="0"/>
    <x v="57"/>
    <x v="0"/>
    <x v="0"/>
    <x v="0"/>
    <x v="0"/>
    <x v="1"/>
    <e v="#N/A"/>
  </r>
  <r>
    <s v="AJM01"/>
    <x v="1"/>
    <s v="Preventivo"/>
    <x v="56"/>
    <x v="57"/>
    <x v="158"/>
    <s v="000000004124"/>
    <x v="26"/>
    <x v="26"/>
    <d v="2025-02-07T10:20:40"/>
    <d v="2025-07-25T11:09:00"/>
    <s v="80428442"/>
    <s v="Wilson Abdon Quevedo Pastor"/>
    <n v="0"/>
    <n v="1"/>
    <s v="Y"/>
    <x v="0"/>
    <x v="57"/>
    <x v="0"/>
    <x v="0"/>
    <x v="0"/>
    <x v="0"/>
    <x v="1"/>
    <e v="#N/A"/>
  </r>
  <r>
    <s v="AJM01"/>
    <x v="1"/>
    <s v="Preventivo"/>
    <x v="56"/>
    <x v="57"/>
    <x v="159"/>
    <s v="000000004124"/>
    <x v="26"/>
    <x v="26"/>
    <d v="2025-02-07T10:20:40"/>
    <d v="2025-07-25T11:09:00"/>
    <s v="80428442"/>
    <s v="Wilson Abdon Quevedo Pastor"/>
    <n v="0"/>
    <n v="1"/>
    <s v="Y"/>
    <x v="0"/>
    <x v="57"/>
    <x v="0"/>
    <x v="0"/>
    <x v="0"/>
    <x v="0"/>
    <x v="1"/>
    <e v="#N/A"/>
  </r>
  <r>
    <s v="AJM01"/>
    <x v="1"/>
    <s v="Preventivo"/>
    <x v="56"/>
    <x v="57"/>
    <x v="160"/>
    <s v="000000004124"/>
    <x v="26"/>
    <x v="26"/>
    <d v="2025-02-07T10:20:40"/>
    <d v="2025-07-25T11:09:00"/>
    <s v="80428442"/>
    <s v="Wilson Abdon Quevedo Pastor"/>
    <n v="0"/>
    <n v="1"/>
    <s v="Y"/>
    <x v="0"/>
    <x v="57"/>
    <x v="0"/>
    <x v="0"/>
    <x v="0"/>
    <x v="0"/>
    <x v="1"/>
    <e v="#N/A"/>
  </r>
  <r>
    <s v="AJM01"/>
    <x v="1"/>
    <s v="Preventivo"/>
    <x v="56"/>
    <x v="57"/>
    <x v="161"/>
    <s v="000000004124"/>
    <x v="26"/>
    <x v="26"/>
    <d v="2025-02-07T10:20:40"/>
    <d v="2025-07-25T11:09:00"/>
    <s v="80428442"/>
    <s v="Wilson Abdon Quevedo Pastor"/>
    <n v="0"/>
    <n v="1"/>
    <s v="Y"/>
    <x v="0"/>
    <x v="57"/>
    <x v="0"/>
    <x v="0"/>
    <x v="0"/>
    <x v="0"/>
    <x v="1"/>
    <e v="#N/A"/>
  </r>
  <r>
    <s v="AJM01"/>
    <x v="1"/>
    <s v="Preventivo"/>
    <x v="56"/>
    <x v="57"/>
    <x v="162"/>
    <s v="000000004124"/>
    <x v="26"/>
    <x v="26"/>
    <d v="2025-02-07T10:20:40"/>
    <d v="2025-07-25T11:09:00"/>
    <s v="80428442"/>
    <s v="Wilson Abdon Quevedo Pastor"/>
    <n v="0"/>
    <n v="1"/>
    <s v="Y"/>
    <x v="0"/>
    <x v="57"/>
    <x v="0"/>
    <x v="0"/>
    <x v="0"/>
    <x v="0"/>
    <x v="1"/>
    <e v="#N/A"/>
  </r>
  <r>
    <s v="AJM01"/>
    <x v="1"/>
    <s v="Preventivo"/>
    <x v="56"/>
    <x v="57"/>
    <x v="163"/>
    <s v="000000004124"/>
    <x v="26"/>
    <x v="26"/>
    <d v="2025-02-07T10:20:40"/>
    <d v="2025-07-25T11:09:00"/>
    <s v="80428442"/>
    <s v="Wilson Abdon Quevedo Pastor"/>
    <n v="0"/>
    <n v="1"/>
    <s v="Y"/>
    <x v="0"/>
    <x v="57"/>
    <x v="0"/>
    <x v="0"/>
    <x v="0"/>
    <x v="0"/>
    <x v="1"/>
    <e v="#N/A"/>
  </r>
  <r>
    <s v="AJM01"/>
    <x v="1"/>
    <s v="Preventivo"/>
    <x v="56"/>
    <x v="57"/>
    <x v="157"/>
    <s v="000000004134"/>
    <x v="27"/>
    <x v="27"/>
    <d v="2025-02-07T10:20:42"/>
    <d v="2025-07-25T11:09:00"/>
    <s v="80428442"/>
    <s v="Wilson Abdon Quevedo Pastor"/>
    <n v="0"/>
    <n v="1"/>
    <s v="Y"/>
    <x v="0"/>
    <x v="57"/>
    <x v="0"/>
    <x v="0"/>
    <x v="0"/>
    <x v="3"/>
    <x v="1"/>
    <e v="#N/A"/>
  </r>
  <r>
    <s v="AJM01"/>
    <x v="1"/>
    <s v="Preventivo"/>
    <x v="56"/>
    <x v="57"/>
    <x v="158"/>
    <s v="000000004134"/>
    <x v="27"/>
    <x v="27"/>
    <d v="2025-02-07T10:20:42"/>
    <d v="2025-07-25T11:09:00"/>
    <s v="80428442"/>
    <s v="Wilson Abdon Quevedo Pastor"/>
    <n v="0"/>
    <n v="1"/>
    <s v="Y"/>
    <x v="0"/>
    <x v="57"/>
    <x v="0"/>
    <x v="0"/>
    <x v="0"/>
    <x v="3"/>
    <x v="1"/>
    <e v="#N/A"/>
  </r>
  <r>
    <s v="AJM01"/>
    <x v="1"/>
    <s v="Preventivo"/>
    <x v="56"/>
    <x v="57"/>
    <x v="159"/>
    <s v="000000004134"/>
    <x v="27"/>
    <x v="27"/>
    <d v="2025-02-07T10:20:42"/>
    <d v="2025-07-25T11:09:00"/>
    <s v="80428442"/>
    <s v="Wilson Abdon Quevedo Pastor"/>
    <n v="0"/>
    <n v="1"/>
    <s v="Y"/>
    <x v="0"/>
    <x v="57"/>
    <x v="0"/>
    <x v="0"/>
    <x v="0"/>
    <x v="3"/>
    <x v="1"/>
    <e v="#N/A"/>
  </r>
  <r>
    <s v="AJM01"/>
    <x v="1"/>
    <s v="Preventivo"/>
    <x v="56"/>
    <x v="57"/>
    <x v="160"/>
    <s v="000000004134"/>
    <x v="27"/>
    <x v="27"/>
    <d v="2025-02-07T10:20:42"/>
    <d v="2025-07-25T11:09:00"/>
    <s v="80428442"/>
    <s v="Wilson Abdon Quevedo Pastor"/>
    <n v="0"/>
    <n v="1"/>
    <s v="Y"/>
    <x v="0"/>
    <x v="57"/>
    <x v="0"/>
    <x v="0"/>
    <x v="0"/>
    <x v="3"/>
    <x v="1"/>
    <e v="#N/A"/>
  </r>
  <r>
    <s v="AJM01"/>
    <x v="1"/>
    <s v="Preventivo"/>
    <x v="56"/>
    <x v="57"/>
    <x v="161"/>
    <s v="000000004134"/>
    <x v="27"/>
    <x v="27"/>
    <d v="2025-02-07T10:20:42"/>
    <d v="2025-07-25T11:09:00"/>
    <s v="80428442"/>
    <s v="Wilson Abdon Quevedo Pastor"/>
    <n v="0"/>
    <n v="1"/>
    <s v="Y"/>
    <x v="0"/>
    <x v="57"/>
    <x v="0"/>
    <x v="0"/>
    <x v="0"/>
    <x v="3"/>
    <x v="1"/>
    <e v="#N/A"/>
  </r>
  <r>
    <s v="AJM01"/>
    <x v="1"/>
    <s v="Preventivo"/>
    <x v="56"/>
    <x v="57"/>
    <x v="162"/>
    <s v="000000004134"/>
    <x v="27"/>
    <x v="27"/>
    <d v="2025-02-07T10:20:42"/>
    <d v="2025-07-25T11:09:00"/>
    <s v="80428442"/>
    <s v="Wilson Abdon Quevedo Pastor"/>
    <n v="0"/>
    <n v="1"/>
    <s v="Y"/>
    <x v="0"/>
    <x v="57"/>
    <x v="0"/>
    <x v="0"/>
    <x v="0"/>
    <x v="3"/>
    <x v="1"/>
    <e v="#N/A"/>
  </r>
  <r>
    <s v="AJM01"/>
    <x v="1"/>
    <s v="Preventivo"/>
    <x v="56"/>
    <x v="57"/>
    <x v="163"/>
    <s v="000000004134"/>
    <x v="27"/>
    <x v="27"/>
    <d v="2025-02-07T10:20:42"/>
    <d v="2025-07-25T11:09:00"/>
    <s v="80428442"/>
    <s v="Wilson Abdon Quevedo Pastor"/>
    <n v="0"/>
    <n v="1"/>
    <s v="Y"/>
    <x v="0"/>
    <x v="57"/>
    <x v="0"/>
    <x v="0"/>
    <x v="0"/>
    <x v="3"/>
    <x v="1"/>
    <e v="#N/A"/>
  </r>
  <r>
    <s v="AJM01"/>
    <x v="1"/>
    <s v="Preventivo"/>
    <x v="57"/>
    <x v="58"/>
    <x v="164"/>
    <s v="000000003336"/>
    <x v="21"/>
    <x v="21"/>
    <d v="2025-02-07T10:20:41"/>
    <d v="2025-07-25T11:09:00"/>
    <s v="80428442"/>
    <s v="Wilson Abdon Quevedo Pastor"/>
    <n v="0"/>
    <n v="1"/>
    <s v="Y"/>
    <x v="0"/>
    <x v="58"/>
    <x v="0"/>
    <x v="0"/>
    <x v="0"/>
    <x v="3"/>
    <x v="1"/>
    <e v="#N/A"/>
  </r>
  <r>
    <s v="AJM01"/>
    <x v="1"/>
    <s v="Preventivo"/>
    <x v="57"/>
    <x v="58"/>
    <x v="165"/>
    <s v="000000003336"/>
    <x v="21"/>
    <x v="21"/>
    <d v="2025-02-07T10:20:41"/>
    <d v="2025-07-25T11:09:00"/>
    <s v="80428442"/>
    <s v="Wilson Abdon Quevedo Pastor"/>
    <n v="0"/>
    <n v="1"/>
    <s v="Y"/>
    <x v="0"/>
    <x v="58"/>
    <x v="0"/>
    <x v="0"/>
    <x v="0"/>
    <x v="3"/>
    <x v="1"/>
    <e v="#N/A"/>
  </r>
  <r>
    <s v="AJM01"/>
    <x v="1"/>
    <s v="Preventivo"/>
    <x v="57"/>
    <x v="58"/>
    <x v="166"/>
    <s v="000000003336"/>
    <x v="21"/>
    <x v="21"/>
    <d v="2025-02-07T10:20:41"/>
    <d v="2025-07-25T11:09:00"/>
    <s v="80428442"/>
    <s v="Wilson Abdon Quevedo Pastor"/>
    <n v="0"/>
    <n v="1"/>
    <s v="Y"/>
    <x v="0"/>
    <x v="58"/>
    <x v="0"/>
    <x v="0"/>
    <x v="0"/>
    <x v="3"/>
    <x v="1"/>
    <e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0" applyNumberFormats="0" applyBorderFormats="0" applyFontFormats="0" applyPatternFormats="0" applyAlignmentFormats="0" applyWidthHeightFormats="1" dataCaption="Values" updatedVersion="8" minRefreshableVersion="3" useAutoFormatting="1" colGrandTotals="0" itemPrintTitles="1" createdVersion="6" indent="2" compact="0" compactData="0" multipleFieldFilters="0">
  <location ref="A15:E20" firstHeaderRow="1" firstDataRow="1" firstDataCol="4" rowPageCount="1" colPageCount="1"/>
  <pivotFields count="24">
    <pivotField compact="0" outline="0" subtotalTop="0" showAll="0"/>
    <pivotField axis="axisRow" compact="0" outline="0" subtotalTop="0" showAll="0" sortType="descending">
      <items count="8001">
        <item x="0"/>
        <item x="1"/>
        <item m="1" x="140"/>
        <item m="1" x="139"/>
        <item m="1" x="138"/>
        <item m="1" x="137"/>
        <item m="1" x="136"/>
        <item m="1" x="135"/>
        <item m="1" x="134"/>
        <item m="1" x="133"/>
        <item m="1" x="132"/>
        <item m="1" x="131"/>
        <item m="1" x="130"/>
        <item m="1" x="129"/>
        <item m="1" x="128"/>
        <item m="1" x="127"/>
        <item m="1" x="126"/>
        <item m="1" x="125"/>
        <item m="1" x="124"/>
        <item m="1" x="123"/>
        <item m="1" x="122"/>
        <item m="1" x="121"/>
        <item m="1" x="120"/>
        <item m="1" x="119"/>
        <item m="1" x="118"/>
        <item m="1" x="117"/>
        <item m="1" x="116"/>
        <item m="1" x="115"/>
        <item m="1" x="114"/>
        <item m="1" x="113"/>
        <item m="1" x="112"/>
        <item m="1" x="111"/>
        <item m="1" x="110"/>
        <item m="1" x="109"/>
        <item m="1" x="108"/>
        <item m="1" x="107"/>
        <item m="1" x="106"/>
        <item m="1" x="105"/>
        <item m="1" x="104"/>
        <item m="1" x="103"/>
        <item m="1" x="102"/>
        <item m="1" x="101"/>
        <item m="1" x="100"/>
        <item m="1" x="99"/>
        <item m="1" x="98"/>
        <item m="1" x="97"/>
        <item m="1" x="96"/>
        <item m="1" x="95"/>
        <item m="1" x="94"/>
        <item m="1" x="93"/>
        <item m="1" x="92"/>
        <item m="1" x="91"/>
        <item m="1" x="90"/>
        <item m="1" x="89"/>
        <item m="1" x="88"/>
        <item m="1" x="87"/>
        <item m="1" x="86"/>
        <item m="1" x="85"/>
        <item m="1" x="84"/>
        <item m="1" x="83"/>
        <item m="1" x="82"/>
        <item m="1" x="81"/>
        <item m="1" x="80"/>
        <item m="1" x="79"/>
        <item m="1" x="78"/>
        <item m="1" x="77"/>
        <item m="1" x="76"/>
        <item m="1" x="75"/>
        <item m="1" x="74"/>
        <item m="1" x="73"/>
        <item m="1" x="72"/>
        <item m="1" x="71"/>
        <item m="1" x="70"/>
        <item m="1" x="69"/>
        <item m="1" x="68"/>
        <item m="1" x="67"/>
        <item m="1" x="66"/>
        <item m="1" x="65"/>
        <item m="1" x="64"/>
        <item m="1" x="63"/>
        <item m="1" x="62"/>
        <item m="1" x="61"/>
        <item m="1" x="60"/>
        <item m="1" x="59"/>
        <item m="1" x="58"/>
        <item m="1" x="57"/>
        <item m="1" x="56"/>
        <item m="1" x="55"/>
        <item m="1" x="54"/>
        <item m="1" x="53"/>
        <item m="1" x="52"/>
        <item m="1" x="51"/>
        <item m="1" x="50"/>
        <item m="1" x="49"/>
        <item m="1" x="48"/>
        <item m="1" x="47"/>
        <item m="1" x="46"/>
        <item m="1" x="45"/>
        <item m="1" x="44"/>
        <item m="1" x="43"/>
        <item m="1" x="42"/>
        <item m="1" x="41"/>
        <item m="1" x="40"/>
        <item m="1" x="39"/>
        <item m="1" x="38"/>
        <item m="1" x="37"/>
        <item m="1" x="36"/>
        <item m="1" x="35"/>
        <item m="1" x="34"/>
        <item m="1" x="33"/>
        <item m="1" x="32"/>
        <item m="1" x="31"/>
        <item m="1" x="30"/>
        <item m="1" x="29"/>
        <item m="1" x="28"/>
        <item m="1" x="27"/>
        <item m="1" x="26"/>
        <item m="1" x="25"/>
        <item m="1" x="24"/>
        <item m="1" x="23"/>
        <item m="1" x="22"/>
        <item m="1" x="21"/>
        <item m="1" x="20"/>
        <item m="1" x="19"/>
        <item m="1" x="18"/>
        <item m="1" x="17"/>
        <item m="1" x="16"/>
        <item m="1" x="15"/>
        <item m="1" x="14"/>
        <item m="1" x="13"/>
        <item m="1" x="12"/>
        <item m="1" x="11"/>
        <item m="1" x="10"/>
        <item m="1" x="9"/>
        <item m="1" x="8"/>
        <item m="1" x="7"/>
        <item m="1" x="6"/>
        <item m="1" x="5"/>
        <item m="1" x="4"/>
        <item m="1" x="3"/>
        <item m="1" x="2"/>
        <item m="1" x="554"/>
        <item m="1" x="553"/>
        <item m="1" x="552"/>
        <item m="1" x="551"/>
        <item m="1" x="550"/>
        <item m="1" x="549"/>
        <item m="1" x="548"/>
        <item m="1" x="547"/>
        <item m="1" x="546"/>
        <item m="1" x="545"/>
        <item m="1" x="544"/>
        <item m="1" x="543"/>
        <item m="1" x="542"/>
        <item m="1" x="541"/>
        <item m="1" x="540"/>
        <item m="1" x="539"/>
        <item m="1" x="538"/>
        <item m="1" x="537"/>
        <item m="1" x="536"/>
        <item m="1" x="535"/>
        <item m="1" x="534"/>
        <item m="1" x="533"/>
        <item m="1" x="532"/>
        <item m="1" x="531"/>
        <item m="1" x="530"/>
        <item m="1" x="529"/>
        <item m="1" x="528"/>
        <item m="1" x="527"/>
        <item m="1" x="526"/>
        <item m="1" x="525"/>
        <item m="1" x="524"/>
        <item m="1" x="523"/>
        <item m="1" x="522"/>
        <item m="1" x="521"/>
        <item m="1" x="520"/>
        <item m="1" x="519"/>
        <item m="1" x="518"/>
        <item m="1" x="517"/>
        <item m="1" x="516"/>
        <item m="1" x="515"/>
        <item m="1" x="514"/>
        <item m="1" x="513"/>
        <item m="1" x="512"/>
        <item m="1" x="511"/>
        <item m="1" x="510"/>
        <item m="1" x="509"/>
        <item m="1" x="508"/>
        <item m="1" x="507"/>
        <item m="1" x="506"/>
        <item m="1" x="505"/>
        <item m="1" x="504"/>
        <item m="1" x="503"/>
        <item m="1" x="502"/>
        <item m="1" x="501"/>
        <item m="1" x="500"/>
        <item m="1" x="499"/>
        <item m="1" x="498"/>
        <item m="1" x="497"/>
        <item m="1" x="496"/>
        <item m="1" x="495"/>
        <item m="1" x="494"/>
        <item m="1" x="493"/>
        <item m="1" x="492"/>
        <item m="1" x="491"/>
        <item m="1" x="490"/>
        <item m="1" x="489"/>
        <item m="1" x="488"/>
        <item m="1" x="487"/>
        <item m="1" x="486"/>
        <item m="1" x="485"/>
        <item m="1" x="484"/>
        <item m="1" x="483"/>
        <item m="1" x="482"/>
        <item m="1" x="481"/>
        <item m="1" x="480"/>
        <item m="1" x="479"/>
        <item m="1" x="478"/>
        <item m="1" x="477"/>
        <item m="1" x="476"/>
        <item m="1" x="475"/>
        <item m="1" x="474"/>
        <item m="1" x="473"/>
        <item m="1" x="472"/>
        <item m="1" x="471"/>
        <item m="1" x="470"/>
        <item m="1" x="469"/>
        <item m="1" x="468"/>
        <item m="1" x="467"/>
        <item m="1" x="466"/>
        <item m="1" x="465"/>
        <item m="1" x="464"/>
        <item m="1" x="463"/>
        <item m="1" x="462"/>
        <item m="1" x="461"/>
        <item m="1" x="460"/>
        <item m="1" x="459"/>
        <item m="1" x="458"/>
        <item m="1" x="457"/>
        <item m="1" x="456"/>
        <item m="1" x="455"/>
        <item m="1" x="454"/>
        <item m="1" x="453"/>
        <item m="1" x="452"/>
        <item m="1" x="451"/>
        <item m="1" x="450"/>
        <item m="1" x="449"/>
        <item m="1" x="448"/>
        <item m="1" x="668"/>
        <item m="1" x="667"/>
        <item m="1" x="666"/>
        <item m="1" x="665"/>
        <item m="1" x="664"/>
        <item m="1" x="663"/>
        <item m="1" x="662"/>
        <item m="1" x="661"/>
        <item m="1" x="660"/>
        <item m="1" x="659"/>
        <item m="1" x="658"/>
        <item m="1" x="657"/>
        <item m="1" x="656"/>
        <item m="1" x="655"/>
        <item m="1" x="654"/>
        <item m="1" x="653"/>
        <item m="1" x="652"/>
        <item m="1" x="651"/>
        <item m="1" x="650"/>
        <item m="1" x="649"/>
        <item m="1" x="648"/>
        <item m="1" x="647"/>
        <item m="1" x="646"/>
        <item m="1" x="645"/>
        <item m="1" x="644"/>
        <item m="1" x="643"/>
        <item m="1" x="642"/>
        <item m="1" x="641"/>
        <item m="1" x="640"/>
        <item m="1" x="639"/>
        <item m="1" x="638"/>
        <item m="1" x="637"/>
        <item m="1" x="636"/>
        <item m="1" x="635"/>
        <item m="1" x="634"/>
        <item m="1" x="633"/>
        <item m="1" x="632"/>
        <item m="1" x="631"/>
        <item m="1" x="630"/>
        <item m="1" x="629"/>
        <item m="1" x="628"/>
        <item m="1" x="627"/>
        <item m="1" x="626"/>
        <item m="1" x="625"/>
        <item m="1" x="624"/>
        <item m="1" x="623"/>
        <item m="1" x="622"/>
        <item m="1" x="621"/>
        <item m="1" x="620"/>
        <item m="1" x="619"/>
        <item m="1" x="618"/>
        <item m="1" x="617"/>
        <item m="1" x="616"/>
        <item m="1" x="615"/>
        <item m="1" x="614"/>
        <item m="1" x="613"/>
        <item m="1" x="612"/>
        <item m="1" x="611"/>
        <item m="1" x="610"/>
        <item m="1" x="609"/>
        <item m="1" x="608"/>
        <item m="1" x="607"/>
        <item m="1" x="606"/>
        <item m="1" x="605"/>
        <item m="1" x="604"/>
        <item m="1" x="603"/>
        <item m="1" x="602"/>
        <item m="1" x="601"/>
        <item m="1" x="600"/>
        <item m="1" x="599"/>
        <item m="1" x="598"/>
        <item m="1" x="597"/>
        <item m="1" x="596"/>
        <item m="1" x="595"/>
        <item m="1" x="594"/>
        <item m="1" x="593"/>
        <item m="1" x="592"/>
        <item m="1" x="591"/>
        <item m="1" x="590"/>
        <item m="1" x="589"/>
        <item m="1" x="588"/>
        <item m="1" x="587"/>
        <item m="1" x="586"/>
        <item m="1" x="585"/>
        <item m="1" x="584"/>
        <item m="1" x="583"/>
        <item m="1" x="582"/>
        <item m="1" x="581"/>
        <item m="1" x="580"/>
        <item m="1" x="579"/>
        <item m="1" x="578"/>
        <item m="1" x="577"/>
        <item m="1" x="576"/>
        <item m="1" x="575"/>
        <item m="1" x="574"/>
        <item m="1" x="573"/>
        <item m="1" x="572"/>
        <item m="1" x="571"/>
        <item m="1" x="570"/>
        <item m="1" x="569"/>
        <item m="1" x="568"/>
        <item m="1" x="567"/>
        <item m="1" x="566"/>
        <item m="1" x="565"/>
        <item m="1" x="564"/>
        <item m="1" x="563"/>
        <item m="1" x="562"/>
        <item m="1" x="561"/>
        <item m="1" x="560"/>
        <item m="1" x="559"/>
        <item m="1" x="558"/>
        <item m="1" x="557"/>
        <item m="1" x="556"/>
        <item m="1" x="555"/>
        <item m="1" x="1009"/>
        <item m="1" x="1008"/>
        <item m="1" x="1007"/>
        <item m="1" x="1006"/>
        <item m="1" x="1005"/>
        <item m="1" x="1004"/>
        <item m="1" x="1003"/>
        <item m="1" x="1002"/>
        <item m="1" x="1001"/>
        <item m="1" x="1000"/>
        <item m="1" x="999"/>
        <item m="1" x="998"/>
        <item m="1" x="997"/>
        <item m="1" x="996"/>
        <item m="1" x="995"/>
        <item m="1" x="994"/>
        <item m="1" x="993"/>
        <item m="1" x="992"/>
        <item m="1" x="991"/>
        <item m="1" x="990"/>
        <item m="1" x="989"/>
        <item m="1" x="988"/>
        <item m="1" x="987"/>
        <item m="1" x="986"/>
        <item m="1" x="985"/>
        <item m="1" x="984"/>
        <item m="1" x="983"/>
        <item m="1" x="982"/>
        <item m="1" x="981"/>
        <item m="1" x="980"/>
        <item m="1" x="979"/>
        <item m="1" x="978"/>
        <item m="1" x="977"/>
        <item m="1" x="976"/>
        <item m="1" x="975"/>
        <item m="1" x="974"/>
        <item m="1" x="973"/>
        <item m="1" x="972"/>
        <item m="1" x="971"/>
        <item m="1" x="970"/>
        <item m="1" x="969"/>
        <item m="1" x="968"/>
        <item m="1" x="967"/>
        <item m="1" x="966"/>
        <item m="1" x="965"/>
        <item m="1" x="964"/>
        <item m="1" x="963"/>
        <item m="1" x="962"/>
        <item m="1" x="961"/>
        <item m="1" x="960"/>
        <item m="1" x="959"/>
        <item m="1" x="958"/>
        <item m="1" x="957"/>
        <item m="1" x="956"/>
        <item m="1" x="955"/>
        <item m="1" x="954"/>
        <item m="1" x="953"/>
        <item m="1" x="952"/>
        <item m="1" x="951"/>
        <item m="1" x="950"/>
        <item m="1" x="949"/>
        <item m="1" x="948"/>
        <item m="1" x="947"/>
        <item m="1" x="946"/>
        <item m="1" x="945"/>
        <item m="1" x="944"/>
        <item m="1" x="943"/>
        <item m="1" x="942"/>
        <item m="1" x="941"/>
        <item m="1" x="940"/>
        <item m="1" x="939"/>
        <item m="1" x="938"/>
        <item m="1" x="937"/>
        <item m="1" x="936"/>
        <item m="1" x="935"/>
        <item m="1" x="934"/>
        <item m="1" x="933"/>
        <item m="1" x="932"/>
        <item m="1" x="931"/>
        <item m="1" x="930"/>
        <item m="1" x="929"/>
        <item m="1" x="928"/>
        <item m="1" x="927"/>
        <item m="1" x="926"/>
        <item m="1" x="925"/>
        <item m="1" x="924"/>
        <item m="1" x="923"/>
        <item m="1" x="922"/>
        <item m="1" x="921"/>
        <item m="1" x="920"/>
        <item m="1" x="919"/>
        <item m="1" x="918"/>
        <item m="1" x="917"/>
        <item m="1" x="916"/>
        <item m="1" x="915"/>
        <item m="1" x="914"/>
        <item m="1" x="913"/>
        <item m="1" x="912"/>
        <item m="1" x="911"/>
        <item m="1" x="910"/>
        <item m="1" x="909"/>
        <item m="1" x="908"/>
        <item m="1" x="907"/>
        <item m="1" x="906"/>
        <item m="1" x="905"/>
        <item m="1" x="904"/>
        <item m="1" x="903"/>
        <item m="1" x="902"/>
        <item m="1" x="901"/>
        <item m="1" x="900"/>
        <item m="1" x="899"/>
        <item m="1" x="898"/>
        <item m="1" x="897"/>
        <item m="1" x="896"/>
        <item m="1" x="895"/>
        <item m="1" x="894"/>
        <item m="1" x="893"/>
        <item m="1" x="892"/>
        <item m="1" x="891"/>
        <item m="1" x="890"/>
        <item m="1" x="889"/>
        <item m="1" x="888"/>
        <item m="1" x="887"/>
        <item m="1" x="886"/>
        <item m="1" x="885"/>
        <item m="1" x="884"/>
        <item m="1" x="883"/>
        <item m="1" x="882"/>
        <item m="1" x="881"/>
        <item m="1" x="880"/>
        <item m="1" x="879"/>
        <item m="1" x="878"/>
        <item m="1" x="877"/>
        <item m="1" x="876"/>
        <item m="1" x="875"/>
        <item m="1" x="874"/>
        <item m="1" x="873"/>
        <item m="1" x="872"/>
        <item m="1" x="871"/>
        <item m="1" x="870"/>
        <item m="1" x="869"/>
        <item m="1" x="868"/>
        <item m="1" x="867"/>
        <item m="1" x="866"/>
        <item m="1" x="865"/>
        <item m="1" x="864"/>
        <item m="1" x="863"/>
        <item m="1" x="862"/>
        <item m="1" x="861"/>
        <item m="1" x="860"/>
        <item m="1" x="859"/>
        <item m="1" x="858"/>
        <item m="1" x="857"/>
        <item m="1" x="856"/>
        <item m="1" x="855"/>
        <item m="1" x="854"/>
        <item m="1" x="853"/>
        <item m="1" x="852"/>
        <item m="1" x="851"/>
        <item m="1" x="850"/>
        <item m="1" x="849"/>
        <item m="1" x="848"/>
        <item m="1" x="847"/>
        <item m="1" x="846"/>
        <item m="1" x="845"/>
        <item m="1" x="844"/>
        <item m="1" x="843"/>
        <item m="1" x="842"/>
        <item m="1" x="841"/>
        <item m="1" x="840"/>
        <item m="1" x="839"/>
        <item m="1" x="838"/>
        <item m="1" x="837"/>
        <item m="1" x="836"/>
        <item m="1" x="835"/>
        <item m="1" x="834"/>
        <item m="1" x="833"/>
        <item m="1" x="832"/>
        <item m="1" x="831"/>
        <item m="1" x="830"/>
        <item m="1" x="829"/>
        <item m="1" x="828"/>
        <item m="1" x="827"/>
        <item m="1" x="826"/>
        <item m="1" x="825"/>
        <item m="1" x="824"/>
        <item m="1" x="823"/>
        <item m="1" x="822"/>
        <item m="1" x="821"/>
        <item m="1" x="820"/>
        <item m="1" x="819"/>
        <item m="1" x="818"/>
        <item m="1" x="817"/>
        <item m="1" x="816"/>
        <item m="1" x="815"/>
        <item m="1" x="814"/>
        <item m="1" x="813"/>
        <item m="1" x="812"/>
        <item m="1" x="811"/>
        <item m="1" x="810"/>
        <item m="1" x="809"/>
        <item m="1" x="808"/>
        <item m="1" x="807"/>
        <item m="1" x="806"/>
        <item m="1" x="805"/>
        <item m="1" x="804"/>
        <item m="1" x="803"/>
        <item m="1" x="802"/>
        <item m="1" x="801"/>
        <item m="1" x="800"/>
        <item m="1" x="799"/>
        <item m="1" x="798"/>
        <item m="1" x="797"/>
        <item m="1" x="796"/>
        <item m="1" x="795"/>
        <item m="1" x="794"/>
        <item m="1" x="793"/>
        <item m="1" x="792"/>
        <item m="1" x="791"/>
        <item m="1" x="790"/>
        <item m="1" x="789"/>
        <item m="1" x="788"/>
        <item m="1" x="787"/>
        <item m="1" x="786"/>
        <item m="1" x="785"/>
        <item m="1" x="784"/>
        <item m="1" x="783"/>
        <item m="1" x="782"/>
        <item m="1" x="781"/>
        <item m="1" x="780"/>
        <item m="1" x="779"/>
        <item m="1" x="778"/>
        <item m="1" x="777"/>
        <item m="1" x="776"/>
        <item m="1" x="775"/>
        <item m="1" x="774"/>
        <item m="1" x="773"/>
        <item m="1" x="772"/>
        <item m="1" x="771"/>
        <item m="1" x="770"/>
        <item m="1" x="769"/>
        <item m="1" x="768"/>
        <item m="1" x="767"/>
        <item m="1" x="766"/>
        <item m="1" x="765"/>
        <item m="1" x="764"/>
        <item m="1" x="763"/>
        <item m="1" x="762"/>
        <item m="1" x="761"/>
        <item m="1" x="760"/>
        <item m="1" x="759"/>
        <item m="1" x="758"/>
        <item m="1" x="757"/>
        <item m="1" x="756"/>
        <item m="1" x="755"/>
        <item m="1" x="754"/>
        <item m="1" x="753"/>
        <item m="1" x="752"/>
        <item m="1" x="751"/>
        <item m="1" x="750"/>
        <item m="1" x="749"/>
        <item m="1" x="748"/>
        <item m="1" x="747"/>
        <item m="1" x="746"/>
        <item m="1" x="745"/>
        <item m="1" x="744"/>
        <item m="1" x="743"/>
        <item m="1" x="742"/>
        <item m="1" x="741"/>
        <item m="1" x="740"/>
        <item m="1" x="739"/>
        <item m="1" x="738"/>
        <item m="1" x="737"/>
        <item m="1" x="736"/>
        <item m="1" x="735"/>
        <item m="1" x="734"/>
        <item m="1" x="733"/>
        <item m="1" x="732"/>
        <item m="1" x="731"/>
        <item m="1" x="730"/>
        <item m="1" x="729"/>
        <item m="1" x="728"/>
        <item m="1" x="727"/>
        <item m="1" x="726"/>
        <item m="1" x="725"/>
        <item m="1" x="724"/>
        <item m="1" x="723"/>
        <item m="1" x="722"/>
        <item m="1" x="721"/>
        <item m="1" x="720"/>
        <item m="1" x="719"/>
        <item m="1" x="718"/>
        <item m="1" x="717"/>
        <item m="1" x="716"/>
        <item m="1" x="715"/>
        <item m="1" x="714"/>
        <item m="1" x="713"/>
        <item m="1" x="712"/>
        <item m="1" x="711"/>
        <item m="1" x="710"/>
        <item m="1" x="709"/>
        <item m="1" x="708"/>
        <item m="1" x="707"/>
        <item m="1" x="706"/>
        <item m="1" x="705"/>
        <item m="1" x="704"/>
        <item m="1" x="703"/>
        <item m="1" x="702"/>
        <item m="1" x="701"/>
        <item m="1" x="700"/>
        <item m="1" x="699"/>
        <item m="1" x="698"/>
        <item m="1" x="697"/>
        <item m="1" x="696"/>
        <item m="1" x="695"/>
        <item m="1" x="694"/>
        <item m="1" x="693"/>
        <item m="1" x="692"/>
        <item m="1" x="691"/>
        <item m="1" x="690"/>
        <item m="1" x="689"/>
        <item m="1" x="688"/>
        <item m="1" x="687"/>
        <item m="1" x="686"/>
        <item m="1" x="685"/>
        <item m="1" x="684"/>
        <item m="1" x="683"/>
        <item m="1" x="682"/>
        <item m="1" x="681"/>
        <item m="1" x="680"/>
        <item m="1" x="679"/>
        <item m="1" x="678"/>
        <item m="1" x="677"/>
        <item m="1" x="676"/>
        <item m="1" x="675"/>
        <item m="1" x="674"/>
        <item m="1" x="673"/>
        <item m="1" x="672"/>
        <item m="1" x="671"/>
        <item m="1" x="670"/>
        <item m="1" x="669"/>
        <item m="1" x="1168"/>
        <item m="1" x="1167"/>
        <item m="1" x="1166"/>
        <item m="1" x="1165"/>
        <item m="1" x="1164"/>
        <item m="1" x="1163"/>
        <item m="1" x="1162"/>
        <item m="1" x="1161"/>
        <item m="1" x="1160"/>
        <item m="1" x="1159"/>
        <item m="1" x="1158"/>
        <item m="1" x="1157"/>
        <item m="1" x="1156"/>
        <item m="1" x="1155"/>
        <item m="1" x="1154"/>
        <item m="1" x="1153"/>
        <item m="1" x="1152"/>
        <item m="1" x="1151"/>
        <item m="1" x="1150"/>
        <item m="1" x="1149"/>
        <item m="1" x="1148"/>
        <item m="1" x="1147"/>
        <item m="1" x="1146"/>
        <item m="1" x="1145"/>
        <item m="1" x="1144"/>
        <item m="1" x="1143"/>
        <item m="1" x="1142"/>
        <item m="1" x="1141"/>
        <item m="1" x="1140"/>
        <item m="1" x="1139"/>
        <item m="1" x="1138"/>
        <item m="1" x="1137"/>
        <item m="1" x="1136"/>
        <item m="1" x="1135"/>
        <item m="1" x="1134"/>
        <item m="1" x="1133"/>
        <item m="1" x="1132"/>
        <item m="1" x="1131"/>
        <item m="1" x="1130"/>
        <item m="1" x="1129"/>
        <item m="1" x="1128"/>
        <item m="1" x="1127"/>
        <item m="1" x="1126"/>
        <item m="1" x="1125"/>
        <item m="1" x="1124"/>
        <item m="1" x="1123"/>
        <item m="1" x="1122"/>
        <item m="1" x="1121"/>
        <item m="1" x="1120"/>
        <item m="1" x="1119"/>
        <item m="1" x="1118"/>
        <item m="1" x="1117"/>
        <item m="1" x="1116"/>
        <item m="1" x="1115"/>
        <item m="1" x="1114"/>
        <item m="1" x="1113"/>
        <item m="1" x="1112"/>
        <item m="1" x="1111"/>
        <item m="1" x="1110"/>
        <item m="1" x="1109"/>
        <item m="1" x="1108"/>
        <item m="1" x="1107"/>
        <item m="1" x="1106"/>
        <item m="1" x="1105"/>
        <item m="1" x="1104"/>
        <item m="1" x="1103"/>
        <item m="1" x="1102"/>
        <item m="1" x="1101"/>
        <item m="1" x="1100"/>
        <item m="1" x="1099"/>
        <item m="1" x="1098"/>
        <item m="1" x="1097"/>
        <item m="1" x="1096"/>
        <item m="1" x="1095"/>
        <item m="1" x="1230"/>
        <item m="1" x="1229"/>
        <item m="1" x="1228"/>
        <item m="1" x="1227"/>
        <item m="1" x="1226"/>
        <item m="1" x="1225"/>
        <item m="1" x="1224"/>
        <item m="1" x="1223"/>
        <item m="1" x="1222"/>
        <item m="1" x="1221"/>
        <item m="1" x="1220"/>
        <item m="1" x="1219"/>
        <item m="1" x="1218"/>
        <item m="1" x="1217"/>
        <item m="1" x="1216"/>
        <item m="1" x="1215"/>
        <item m="1" x="1214"/>
        <item m="1" x="1213"/>
        <item m="1" x="1212"/>
        <item m="1" x="1211"/>
        <item m="1" x="1210"/>
        <item m="1" x="1209"/>
        <item m="1" x="1208"/>
        <item m="1" x="1207"/>
        <item m="1" x="1206"/>
        <item m="1" x="1205"/>
        <item m="1" x="1204"/>
        <item m="1" x="1203"/>
        <item m="1" x="1202"/>
        <item m="1" x="1201"/>
        <item m="1" x="1200"/>
        <item m="1" x="1199"/>
        <item m="1" x="1198"/>
        <item m="1" x="1197"/>
        <item m="1" x="1196"/>
        <item m="1" x="1195"/>
        <item m="1" x="1194"/>
        <item m="1" x="1193"/>
        <item m="1" x="1192"/>
        <item m="1" x="1191"/>
        <item m="1" x="1190"/>
        <item m="1" x="1189"/>
        <item m="1" x="1188"/>
        <item m="1" x="1187"/>
        <item m="1" x="1186"/>
        <item m="1" x="1185"/>
        <item m="1" x="1184"/>
        <item m="1" x="1183"/>
        <item m="1" x="1182"/>
        <item m="1" x="1181"/>
        <item m="1" x="1180"/>
        <item m="1" x="1179"/>
        <item m="1" x="1178"/>
        <item m="1" x="1177"/>
        <item m="1" x="1176"/>
        <item m="1" x="1175"/>
        <item m="1" x="1174"/>
        <item m="1" x="1173"/>
        <item m="1" x="1172"/>
        <item m="1" x="1171"/>
        <item m="1" x="1170"/>
        <item m="1" x="1169"/>
        <item m="1" x="1328"/>
        <item m="1" x="1327"/>
        <item m="1" x="1326"/>
        <item m="1" x="1325"/>
        <item m="1" x="1324"/>
        <item m="1" x="1323"/>
        <item m="1" x="1322"/>
        <item m="1" x="1321"/>
        <item m="1" x="1320"/>
        <item m="1" x="1319"/>
        <item m="1" x="1318"/>
        <item m="1" x="1317"/>
        <item m="1" x="1316"/>
        <item m="1" x="1315"/>
        <item m="1" x="1314"/>
        <item m="1" x="1313"/>
        <item m="1" x="1312"/>
        <item m="1" x="1311"/>
        <item m="1" x="1310"/>
        <item m="1" x="1309"/>
        <item m="1" x="1308"/>
        <item m="1" x="1307"/>
        <item m="1" x="1306"/>
        <item m="1" x="1305"/>
        <item m="1" x="1304"/>
        <item m="1" x="1303"/>
        <item m="1" x="1302"/>
        <item m="1" x="1301"/>
        <item m="1" x="1300"/>
        <item m="1" x="1299"/>
        <item m="1" x="1298"/>
        <item m="1" x="1297"/>
        <item m="1" x="1296"/>
        <item m="1" x="1295"/>
        <item m="1" x="1294"/>
        <item m="1" x="1293"/>
        <item m="1" x="1292"/>
        <item m="1" x="1291"/>
        <item m="1" x="1290"/>
        <item m="1" x="1289"/>
        <item m="1" x="1288"/>
        <item m="1" x="1287"/>
        <item m="1" x="1286"/>
        <item m="1" x="1285"/>
        <item m="1" x="1284"/>
        <item m="1" x="1283"/>
        <item m="1" x="1282"/>
        <item m="1" x="1281"/>
        <item m="1" x="1280"/>
        <item m="1" x="1279"/>
        <item m="1" x="1278"/>
        <item m="1" x="1277"/>
        <item m="1" x="1276"/>
        <item m="1" x="1275"/>
        <item m="1" x="1274"/>
        <item m="1" x="1273"/>
        <item m="1" x="1272"/>
        <item m="1" x="1271"/>
        <item m="1" x="1270"/>
        <item m="1" x="1269"/>
        <item m="1" x="1904"/>
        <item m="1" x="1903"/>
        <item m="1" x="1902"/>
        <item m="1" x="1901"/>
        <item m="1" x="1900"/>
        <item m="1" x="1899"/>
        <item m="1" x="1898"/>
        <item m="1" x="1897"/>
        <item m="1" x="1896"/>
        <item m="1" x="1895"/>
        <item m="1" x="1894"/>
        <item m="1" x="1893"/>
        <item m="1" x="1892"/>
        <item m="1" x="1891"/>
        <item m="1" x="1890"/>
        <item m="1" x="1889"/>
        <item m="1" x="1888"/>
        <item m="1" x="1887"/>
        <item m="1" x="1886"/>
        <item m="1" x="1885"/>
        <item m="1" x="1884"/>
        <item m="1" x="1883"/>
        <item m="1" x="1882"/>
        <item m="1" x="1881"/>
        <item m="1" x="1880"/>
        <item m="1" x="1879"/>
        <item m="1" x="1878"/>
        <item m="1" x="1877"/>
        <item m="1" x="1876"/>
        <item m="1" x="1875"/>
        <item m="1" x="1874"/>
        <item m="1" x="1873"/>
        <item m="1" x="1872"/>
        <item m="1" x="1871"/>
        <item m="1" x="1870"/>
        <item m="1" x="1869"/>
        <item m="1" x="1868"/>
        <item m="1" x="1867"/>
        <item m="1" x="1866"/>
        <item m="1" x="1865"/>
        <item m="1" x="1864"/>
        <item m="1" x="1863"/>
        <item m="1" x="1862"/>
        <item m="1" x="1861"/>
        <item m="1" x="1860"/>
        <item m="1" x="1859"/>
        <item m="1" x="1858"/>
        <item m="1" x="1857"/>
        <item m="1" x="1856"/>
        <item m="1" x="1855"/>
        <item m="1" x="1854"/>
        <item m="1" x="1853"/>
        <item m="1" x="1852"/>
        <item m="1" x="1851"/>
        <item m="1" x="1850"/>
        <item m="1" x="1849"/>
        <item m="1" x="1848"/>
        <item m="1" x="1847"/>
        <item m="1" x="1846"/>
        <item m="1" x="1845"/>
        <item m="1" x="1844"/>
        <item m="1" x="1843"/>
        <item m="1" x="1842"/>
        <item m="1" x="1841"/>
        <item m="1" x="1840"/>
        <item m="1" x="1839"/>
        <item m="1" x="1838"/>
        <item m="1" x="1837"/>
        <item m="1" x="1836"/>
        <item m="1" x="1835"/>
        <item m="1" x="1834"/>
        <item m="1" x="1833"/>
        <item m="1" x="1832"/>
        <item m="1" x="1831"/>
        <item m="1" x="1830"/>
        <item m="1" x="1829"/>
        <item m="1" x="1828"/>
        <item m="1" x="1827"/>
        <item m="1" x="1826"/>
        <item m="1" x="1825"/>
        <item m="1" x="1824"/>
        <item m="1" x="1823"/>
        <item m="1" x="1822"/>
        <item m="1" x="1821"/>
        <item m="1" x="1820"/>
        <item m="1" x="1819"/>
        <item m="1" x="1818"/>
        <item m="1" x="1817"/>
        <item m="1" x="1816"/>
        <item m="1" x="1815"/>
        <item m="1" x="1814"/>
        <item m="1" x="1813"/>
        <item m="1" x="1812"/>
        <item m="1" x="1811"/>
        <item m="1" x="1810"/>
        <item m="1" x="1809"/>
        <item m="1" x="1808"/>
        <item m="1" x="1807"/>
        <item m="1" x="1806"/>
        <item m="1" x="1805"/>
        <item m="1" x="1804"/>
        <item m="1" x="1803"/>
        <item m="1" x="1802"/>
        <item m="1" x="1801"/>
        <item m="1" x="1800"/>
        <item m="1" x="1799"/>
        <item m="1" x="1798"/>
        <item m="1" x="1797"/>
        <item m="1" x="1796"/>
        <item m="1" x="1795"/>
        <item m="1" x="1794"/>
        <item m="1" x="1793"/>
        <item m="1" x="1792"/>
        <item m="1" x="1791"/>
        <item m="1" x="1790"/>
        <item m="1" x="1789"/>
        <item m="1" x="1788"/>
        <item m="1" x="1787"/>
        <item m="1" x="1786"/>
        <item m="1" x="1785"/>
        <item m="1" x="1784"/>
        <item m="1" x="1783"/>
        <item m="1" x="1782"/>
        <item m="1" x="1781"/>
        <item m="1" x="1780"/>
        <item m="1" x="1779"/>
        <item m="1" x="1778"/>
        <item m="1" x="1777"/>
        <item m="1" x="1776"/>
        <item m="1" x="1775"/>
        <item m="1" x="1774"/>
        <item m="1" x="1773"/>
        <item m="1" x="1772"/>
        <item m="1" x="1771"/>
        <item m="1" x="1770"/>
        <item m="1" x="1769"/>
        <item m="1" x="1768"/>
        <item m="1" x="1767"/>
        <item m="1" x="1766"/>
        <item m="1" x="1765"/>
        <item m="1" x="1764"/>
        <item m="1" x="1763"/>
        <item m="1" x="1762"/>
        <item m="1" x="1761"/>
        <item m="1" x="1760"/>
        <item m="1" x="1759"/>
        <item m="1" x="1758"/>
        <item m="1" x="1757"/>
        <item m="1" x="1756"/>
        <item m="1" x="1755"/>
        <item m="1" x="1754"/>
        <item m="1" x="1753"/>
        <item m="1" x="1752"/>
        <item m="1" x="1751"/>
        <item m="1" x="1750"/>
        <item m="1" x="1749"/>
        <item m="1" x="1748"/>
        <item m="1" x="1747"/>
        <item m="1" x="1746"/>
        <item m="1" x="1745"/>
        <item m="1" x="1744"/>
        <item m="1" x="1743"/>
        <item m="1" x="1742"/>
        <item m="1" x="1741"/>
        <item m="1" x="1740"/>
        <item m="1" x="1739"/>
        <item m="1" x="1738"/>
        <item m="1" x="1737"/>
        <item m="1" x="1736"/>
        <item m="1" x="1735"/>
        <item m="1" x="1734"/>
        <item m="1" x="1733"/>
        <item m="1" x="1732"/>
        <item m="1" x="1731"/>
        <item m="1" x="1730"/>
        <item m="1" x="1729"/>
        <item m="1" x="1728"/>
        <item m="1" x="1727"/>
        <item m="1" x="1726"/>
        <item m="1" x="1725"/>
        <item m="1" x="1724"/>
        <item m="1" x="1723"/>
        <item m="1" x="1722"/>
        <item m="1" x="1721"/>
        <item m="1" x="1720"/>
        <item m="1" x="1719"/>
        <item m="1" x="1718"/>
        <item m="1" x="1717"/>
        <item m="1" x="1716"/>
        <item m="1" x="1715"/>
        <item m="1" x="1714"/>
        <item m="1" x="1713"/>
        <item m="1" x="1712"/>
        <item m="1" x="1711"/>
        <item m="1" x="1710"/>
        <item m="1" x="1709"/>
        <item m="1" x="1708"/>
        <item m="1" x="1707"/>
        <item m="1" x="1706"/>
        <item m="1" x="1705"/>
        <item m="1" x="1704"/>
        <item m="1" x="1703"/>
        <item m="1" x="1702"/>
        <item m="1" x="1701"/>
        <item m="1" x="1700"/>
        <item m="1" x="1699"/>
        <item m="1" x="1698"/>
        <item m="1" x="1697"/>
        <item m="1" x="1696"/>
        <item m="1" x="1695"/>
        <item m="1" x="1694"/>
        <item m="1" x="1693"/>
        <item m="1" x="1692"/>
        <item m="1" x="1691"/>
        <item m="1" x="1690"/>
        <item m="1" x="1689"/>
        <item m="1" x="1688"/>
        <item m="1" x="1687"/>
        <item m="1" x="1686"/>
        <item m="1" x="1685"/>
        <item m="1" x="1684"/>
        <item m="1" x="1683"/>
        <item m="1" x="1682"/>
        <item m="1" x="1681"/>
        <item m="1" x="1680"/>
        <item m="1" x="1679"/>
        <item m="1" x="1678"/>
        <item m="1" x="1677"/>
        <item m="1" x="1676"/>
        <item m="1" x="1675"/>
        <item m="1" x="1674"/>
        <item m="1" x="1673"/>
        <item m="1" x="1672"/>
        <item m="1" x="1671"/>
        <item m="1" x="1670"/>
        <item m="1" x="1669"/>
        <item m="1" x="1668"/>
        <item m="1" x="1667"/>
        <item m="1" x="1666"/>
        <item m="1" x="1665"/>
        <item m="1" x="1664"/>
        <item m="1" x="1663"/>
        <item m="1" x="1662"/>
        <item m="1" x="1661"/>
        <item m="1" x="1660"/>
        <item m="1" x="1659"/>
        <item m="1" x="1658"/>
        <item m="1" x="1657"/>
        <item m="1" x="2250"/>
        <item m="1" x="2249"/>
        <item m="1" x="2248"/>
        <item m="1" x="2247"/>
        <item m="1" x="2246"/>
        <item m="1" x="2245"/>
        <item m="1" x="2244"/>
        <item m="1" x="2243"/>
        <item m="1" x="2242"/>
        <item m="1" x="2241"/>
        <item m="1" x="2240"/>
        <item m="1" x="2239"/>
        <item m="1" x="2238"/>
        <item m="1" x="2237"/>
        <item m="1" x="2236"/>
        <item m="1" x="2235"/>
        <item m="1" x="2234"/>
        <item m="1" x="2233"/>
        <item m="1" x="2232"/>
        <item m="1" x="2231"/>
        <item m="1" x="2230"/>
        <item m="1" x="2229"/>
        <item m="1" x="2228"/>
        <item m="1" x="2227"/>
        <item m="1" x="2226"/>
        <item m="1" x="2225"/>
        <item m="1" x="2224"/>
        <item m="1" x="2223"/>
        <item m="1" x="2222"/>
        <item m="1" x="2221"/>
        <item m="1" x="2220"/>
        <item m="1" x="2219"/>
        <item m="1" x="2218"/>
        <item m="1" x="2217"/>
        <item m="1" x="2216"/>
        <item m="1" x="2215"/>
        <item m="1" x="2214"/>
        <item m="1" x="2213"/>
        <item m="1" x="2212"/>
        <item m="1" x="2211"/>
        <item m="1" x="2210"/>
        <item m="1" x="2209"/>
        <item m="1" x="2208"/>
        <item m="1" x="2207"/>
        <item m="1" x="2206"/>
        <item m="1" x="2205"/>
        <item m="1" x="2204"/>
        <item m="1" x="2203"/>
        <item m="1" x="2202"/>
        <item m="1" x="2201"/>
        <item m="1" x="2200"/>
        <item m="1" x="2199"/>
        <item m="1" x="2198"/>
        <item m="1" x="2197"/>
        <item m="1" x="2196"/>
        <item m="1" x="2195"/>
        <item m="1" x="2194"/>
        <item m="1" x="2193"/>
        <item m="1" x="2192"/>
        <item m="1" x="2191"/>
        <item m="1" x="2190"/>
        <item m="1" x="2189"/>
        <item m="1" x="2188"/>
        <item m="1" x="2187"/>
        <item m="1" x="2186"/>
        <item m="1" x="2185"/>
        <item m="1" x="2184"/>
        <item m="1" x="2183"/>
        <item m="1" x="2182"/>
        <item m="1" x="2181"/>
        <item m="1" x="2180"/>
        <item m="1" x="2179"/>
        <item m="1" x="2178"/>
        <item m="1" x="2177"/>
        <item m="1" x="2176"/>
        <item m="1" x="2175"/>
        <item m="1" x="2174"/>
        <item m="1" x="2173"/>
        <item m="1" x="2172"/>
        <item m="1" x="2171"/>
        <item m="1" x="2170"/>
        <item m="1" x="2169"/>
        <item m="1" x="2168"/>
        <item m="1" x="2167"/>
        <item m="1" x="2166"/>
        <item m="1" x="2165"/>
        <item m="1" x="2164"/>
        <item m="1" x="2163"/>
        <item m="1" x="2162"/>
        <item m="1" x="2161"/>
        <item m="1" x="2160"/>
        <item m="1" x="2159"/>
        <item m="1" x="2158"/>
        <item m="1" x="2157"/>
        <item m="1" x="2156"/>
        <item m="1" x="2155"/>
        <item m="1" x="2154"/>
        <item m="1" x="2153"/>
        <item m="1" x="2152"/>
        <item m="1" x="2151"/>
        <item m="1" x="2150"/>
        <item m="1" x="2149"/>
        <item m="1" x="2148"/>
        <item m="1" x="2147"/>
        <item m="1" x="2146"/>
        <item m="1" x="2145"/>
        <item m="1" x="2144"/>
        <item m="1" x="2143"/>
        <item m="1" x="2142"/>
        <item m="1" x="2141"/>
        <item m="1" x="2140"/>
        <item m="1" x="2139"/>
        <item m="1" x="2138"/>
        <item m="1" x="2137"/>
        <item m="1" x="2136"/>
        <item m="1" x="2135"/>
        <item m="1" x="2134"/>
        <item m="1" x="2133"/>
        <item m="1" x="2132"/>
        <item m="1" x="2131"/>
        <item m="1" x="2130"/>
        <item m="1" x="2129"/>
        <item m="1" x="2128"/>
        <item m="1" x="2127"/>
        <item m="1" x="2126"/>
        <item m="1" x="2125"/>
        <item m="1" x="2124"/>
        <item m="1" x="2123"/>
        <item m="1" x="2122"/>
        <item m="1" x="2121"/>
        <item m="1" x="2120"/>
        <item m="1" x="2119"/>
        <item m="1" x="2118"/>
        <item m="1" x="2117"/>
        <item m="1" x="2116"/>
        <item m="1" x="2115"/>
        <item m="1" x="2114"/>
        <item m="1" x="2113"/>
        <item m="1" x="2112"/>
        <item m="1" x="2111"/>
        <item m="1" x="2110"/>
        <item m="1" x="2109"/>
        <item m="1" x="2108"/>
        <item m="1" x="2107"/>
        <item m="1" x="2106"/>
        <item m="1" x="2105"/>
        <item m="1" x="2104"/>
        <item m="1" x="2103"/>
        <item m="1" x="2102"/>
        <item m="1" x="2101"/>
        <item m="1" x="2100"/>
        <item m="1" x="2099"/>
        <item m="1" x="2098"/>
        <item m="1" x="2097"/>
        <item m="1" x="2096"/>
        <item m="1" x="2095"/>
        <item m="1" x="2094"/>
        <item m="1" x="2093"/>
        <item m="1" x="2092"/>
        <item m="1" x="2091"/>
        <item m="1" x="2090"/>
        <item m="1" x="2089"/>
        <item m="1" x="2088"/>
        <item m="1" x="2087"/>
        <item m="1" x="2086"/>
        <item m="1" x="2085"/>
        <item m="1" x="2084"/>
        <item m="1" x="2083"/>
        <item m="1" x="2082"/>
        <item m="1" x="2081"/>
        <item m="1" x="2080"/>
        <item m="1" x="2079"/>
        <item m="1" x="2078"/>
        <item m="1" x="2077"/>
        <item m="1" x="2076"/>
        <item m="1" x="2075"/>
        <item m="1" x="2074"/>
        <item m="1" x="2073"/>
        <item m="1" x="2072"/>
        <item m="1" x="2071"/>
        <item m="1" x="2070"/>
        <item m="1" x="2069"/>
        <item m="1" x="2068"/>
        <item m="1" x="2067"/>
        <item m="1" x="2066"/>
        <item m="1" x="2065"/>
        <item m="1" x="2064"/>
        <item m="1" x="2063"/>
        <item m="1" x="2062"/>
        <item m="1" x="2061"/>
        <item m="1" x="2060"/>
        <item m="1" x="2059"/>
        <item m="1" x="2058"/>
        <item m="1" x="2057"/>
        <item m="1" x="2056"/>
        <item m="1" x="2055"/>
        <item m="1" x="2054"/>
        <item m="1" x="2053"/>
        <item m="1" x="2052"/>
        <item m="1" x="2051"/>
        <item m="1" x="2050"/>
        <item m="1" x="2049"/>
        <item m="1" x="2048"/>
        <item m="1" x="2047"/>
        <item m="1" x="2046"/>
        <item m="1" x="2045"/>
        <item m="1" x="2044"/>
        <item m="1" x="2043"/>
        <item m="1" x="2042"/>
        <item m="1" x="2041"/>
        <item m="1" x="2040"/>
        <item m="1" x="2039"/>
        <item m="1" x="2038"/>
        <item m="1" x="2037"/>
        <item m="1" x="2036"/>
        <item m="1" x="2035"/>
        <item m="1" x="2034"/>
        <item m="1" x="2033"/>
        <item m="1" x="2032"/>
        <item m="1" x="2031"/>
        <item m="1" x="2030"/>
        <item m="1" x="2029"/>
        <item m="1" x="2028"/>
        <item m="1" x="2027"/>
        <item m="1" x="2026"/>
        <item m="1" x="2025"/>
        <item m="1" x="2024"/>
        <item m="1" x="2023"/>
        <item m="1" x="2022"/>
        <item m="1" x="2021"/>
        <item m="1" x="2020"/>
        <item m="1" x="2019"/>
        <item m="1" x="2018"/>
        <item m="1" x="2017"/>
        <item m="1" x="2016"/>
        <item m="1" x="2015"/>
        <item m="1" x="2014"/>
        <item m="1" x="2013"/>
        <item m="1" x="2012"/>
        <item m="1" x="2011"/>
        <item m="1" x="2010"/>
        <item m="1" x="2009"/>
        <item m="1" x="2008"/>
        <item m="1" x="2007"/>
        <item m="1" x="2006"/>
        <item m="1" x="2005"/>
        <item m="1" x="2004"/>
        <item m="1" x="2003"/>
        <item m="1" x="2002"/>
        <item m="1" x="2001"/>
        <item m="1" x="2000"/>
        <item m="1" x="1999"/>
        <item m="1" x="1998"/>
        <item m="1" x="1997"/>
        <item m="1" x="1996"/>
        <item m="1" x="1995"/>
        <item m="1" x="1994"/>
        <item m="1" x="1993"/>
        <item m="1" x="1992"/>
        <item m="1" x="1991"/>
        <item m="1" x="1990"/>
        <item m="1" x="1989"/>
        <item m="1" x="1988"/>
        <item m="1" x="1987"/>
        <item m="1" x="1986"/>
        <item m="1" x="1985"/>
        <item m="1" x="1984"/>
        <item m="1" x="1983"/>
        <item m="1" x="1982"/>
        <item m="1" x="1981"/>
        <item m="1" x="1980"/>
        <item m="1" x="1979"/>
        <item m="1" x="1978"/>
        <item m="1" x="1977"/>
        <item m="1" x="1976"/>
        <item m="1" x="1975"/>
        <item m="1" x="1974"/>
        <item m="1" x="1973"/>
        <item m="1" x="1972"/>
        <item m="1" x="1971"/>
        <item m="1" x="1970"/>
        <item m="1" x="1969"/>
        <item m="1" x="1968"/>
        <item m="1" x="1967"/>
        <item m="1" x="1966"/>
        <item m="1" x="1965"/>
        <item m="1" x="1964"/>
        <item m="1" x="1963"/>
        <item m="1" x="1962"/>
        <item m="1" x="1961"/>
        <item m="1" x="1960"/>
        <item m="1" x="1959"/>
        <item m="1" x="1958"/>
        <item m="1" x="1957"/>
        <item m="1" x="1956"/>
        <item m="1" x="1955"/>
        <item m="1" x="1954"/>
        <item m="1" x="1953"/>
        <item m="1" x="1952"/>
        <item m="1" x="1951"/>
        <item m="1" x="1950"/>
        <item m="1" x="1949"/>
        <item m="1" x="1948"/>
        <item m="1" x="1947"/>
        <item m="1" x="1946"/>
        <item m="1" x="1945"/>
        <item m="1" x="1944"/>
        <item m="1" x="1943"/>
        <item m="1" x="1942"/>
        <item m="1" x="1941"/>
        <item m="1" x="1940"/>
        <item m="1" x="1939"/>
        <item m="1" x="1938"/>
        <item m="1" x="1937"/>
        <item m="1" x="1936"/>
        <item m="1" x="1935"/>
        <item m="1" x="1934"/>
        <item m="1" x="1933"/>
        <item m="1" x="1932"/>
        <item m="1" x="1931"/>
        <item m="1" x="1930"/>
        <item m="1" x="1929"/>
        <item m="1" x="1928"/>
        <item m="1" x="1927"/>
        <item m="1" x="1926"/>
        <item m="1" x="1925"/>
        <item m="1" x="1924"/>
        <item m="1" x="1923"/>
        <item m="1" x="1922"/>
        <item m="1" x="1921"/>
        <item m="1" x="1920"/>
        <item m="1" x="1919"/>
        <item m="1" x="1918"/>
        <item m="1" x="1917"/>
        <item m="1" x="1916"/>
        <item m="1" x="1915"/>
        <item m="1" x="1914"/>
        <item m="1" x="1913"/>
        <item m="1" x="1912"/>
        <item m="1" x="1911"/>
        <item m="1" x="1910"/>
        <item m="1" x="1909"/>
        <item m="1" x="1908"/>
        <item m="1" x="1907"/>
        <item m="1" x="1906"/>
        <item m="1" x="1905"/>
        <item m="1" x="2391"/>
        <item m="1" x="2390"/>
        <item m="1" x="2389"/>
        <item m="1" x="2388"/>
        <item m="1" x="2387"/>
        <item m="1" x="2386"/>
        <item m="1" x="2385"/>
        <item m="1" x="2384"/>
        <item m="1" x="2383"/>
        <item m="1" x="2382"/>
        <item m="1" x="2381"/>
        <item m="1" x="2380"/>
        <item m="1" x="2379"/>
        <item m="1" x="2378"/>
        <item m="1" x="2377"/>
        <item m="1" x="2376"/>
        <item m="1" x="2375"/>
        <item m="1" x="2374"/>
        <item m="1" x="2373"/>
        <item m="1" x="2372"/>
        <item m="1" x="2371"/>
        <item m="1" x="2370"/>
        <item m="1" x="2369"/>
        <item m="1" x="2368"/>
        <item m="1" x="2367"/>
        <item m="1" x="2366"/>
        <item m="1" x="2365"/>
        <item m="1" x="2364"/>
        <item m="1" x="2363"/>
        <item m="1" x="2362"/>
        <item m="1" x="2361"/>
        <item m="1" x="2360"/>
        <item m="1" x="2359"/>
        <item m="1" x="2358"/>
        <item m="1" x="2357"/>
        <item m="1" x="2356"/>
        <item m="1" x="2355"/>
        <item m="1" x="2354"/>
        <item m="1" x="2353"/>
        <item m="1" x="2352"/>
        <item m="1" x="2351"/>
        <item m="1" x="2350"/>
        <item m="1" x="2349"/>
        <item m="1" x="2348"/>
        <item m="1" x="2347"/>
        <item m="1" x="2346"/>
        <item m="1" x="2345"/>
        <item m="1" x="2344"/>
        <item m="1" x="2343"/>
        <item m="1" x="2342"/>
        <item m="1" x="2341"/>
        <item m="1" x="2340"/>
        <item m="1" x="2339"/>
        <item m="1" x="2338"/>
        <item m="1" x="2337"/>
        <item m="1" x="2336"/>
        <item m="1" x="2335"/>
        <item m="1" x="2334"/>
        <item m="1" x="2333"/>
        <item m="1" x="2332"/>
        <item m="1" x="2331"/>
        <item m="1" x="2330"/>
        <item m="1" x="2329"/>
        <item m="1" x="2328"/>
        <item m="1" x="2327"/>
        <item m="1" x="2326"/>
        <item m="1" x="2325"/>
        <item m="1" x="2324"/>
        <item m="1" x="2323"/>
        <item m="1" x="2322"/>
        <item m="1" x="2321"/>
        <item m="1" x="2320"/>
        <item m="1" x="2319"/>
        <item m="1" x="2318"/>
        <item m="1" x="2317"/>
        <item m="1" x="2316"/>
        <item m="1" x="2315"/>
        <item m="1" x="2314"/>
        <item m="1" x="2313"/>
        <item m="1" x="2312"/>
        <item m="1" x="2311"/>
        <item m="1" x="2310"/>
        <item m="1" x="2309"/>
        <item m="1" x="2308"/>
        <item m="1" x="2307"/>
        <item m="1" x="2306"/>
        <item m="1" x="2305"/>
        <item m="1" x="2304"/>
        <item m="1" x="2303"/>
        <item m="1" x="2302"/>
        <item m="1" x="2301"/>
        <item m="1" x="2300"/>
        <item m="1" x="2299"/>
        <item m="1" x="2298"/>
        <item m="1" x="2297"/>
        <item m="1" x="2296"/>
        <item m="1" x="2295"/>
        <item m="1" x="2294"/>
        <item m="1" x="2293"/>
        <item m="1" x="2292"/>
        <item m="1" x="2291"/>
        <item m="1" x="2290"/>
        <item m="1" x="2289"/>
        <item m="1" x="2288"/>
        <item m="1" x="2287"/>
        <item m="1" x="2286"/>
        <item m="1" x="2285"/>
        <item m="1" x="2284"/>
        <item m="1" x="2283"/>
        <item m="1" x="2282"/>
        <item m="1" x="2281"/>
        <item m="1" x="2280"/>
        <item m="1" x="2279"/>
        <item m="1" x="2278"/>
        <item m="1" x="2277"/>
        <item m="1" x="2276"/>
        <item m="1" x="2275"/>
        <item m="1" x="2274"/>
        <item m="1" x="2273"/>
        <item m="1" x="2272"/>
        <item m="1" x="2271"/>
        <item m="1" x="2270"/>
        <item m="1" x="2269"/>
        <item m="1" x="2268"/>
        <item m="1" x="2267"/>
        <item m="1" x="2266"/>
        <item m="1" x="2265"/>
        <item m="1" x="2264"/>
        <item m="1" x="2263"/>
        <item m="1" x="2262"/>
        <item m="1" x="2261"/>
        <item m="1" x="2260"/>
        <item m="1" x="2259"/>
        <item m="1" x="2258"/>
        <item m="1" x="2257"/>
        <item m="1" x="2256"/>
        <item m="1" x="2255"/>
        <item m="1" x="2254"/>
        <item m="1" x="2253"/>
        <item m="1" x="2252"/>
        <item m="1" x="2759"/>
        <item m="1" x="2758"/>
        <item m="1" x="2757"/>
        <item m="1" x="2756"/>
        <item m="1" x="2755"/>
        <item m="1" x="2754"/>
        <item m="1" x="2753"/>
        <item m="1" x="2752"/>
        <item m="1" x="2751"/>
        <item m="1" x="2750"/>
        <item m="1" x="2749"/>
        <item m="1" x="2748"/>
        <item m="1" x="2747"/>
        <item m="1" x="2746"/>
        <item m="1" x="2745"/>
        <item m="1" x="2744"/>
        <item m="1" x="2743"/>
        <item m="1" x="2742"/>
        <item m="1" x="2741"/>
        <item m="1" x="2740"/>
        <item m="1" x="2739"/>
        <item m="1" x="2738"/>
        <item m="1" x="2737"/>
        <item m="1" x="2736"/>
        <item m="1" x="2735"/>
        <item m="1" x="2734"/>
        <item m="1" x="2733"/>
        <item m="1" x="2732"/>
        <item m="1" x="2731"/>
        <item m="1" x="2730"/>
        <item m="1" x="2729"/>
        <item m="1" x="2728"/>
        <item m="1" x="2727"/>
        <item m="1" x="2726"/>
        <item m="1" x="2725"/>
        <item m="1" x="2724"/>
        <item m="1" x="2723"/>
        <item m="1" x="2722"/>
        <item m="1" x="2721"/>
        <item m="1" x="2720"/>
        <item m="1" x="2719"/>
        <item m="1" x="2718"/>
        <item m="1" x="2717"/>
        <item m="1" x="2716"/>
        <item m="1" x="2715"/>
        <item m="1" x="2714"/>
        <item m="1" x="2713"/>
        <item m="1" x="2712"/>
        <item m="1" x="2711"/>
        <item m="1" x="2710"/>
        <item m="1" x="2709"/>
        <item m="1" x="2708"/>
        <item m="1" x="2707"/>
        <item m="1" x="2706"/>
        <item m="1" x="2705"/>
        <item m="1" x="2704"/>
        <item m="1" x="2703"/>
        <item m="1" x="2702"/>
        <item m="1" x="2701"/>
        <item m="1" x="2700"/>
        <item m="1" x="2699"/>
        <item m="1" x="2698"/>
        <item m="1" x="2697"/>
        <item m="1" x="2696"/>
        <item m="1" x="2695"/>
        <item m="1" x="2694"/>
        <item m="1" x="2693"/>
        <item m="1" x="2692"/>
        <item m="1" x="2691"/>
        <item m="1" x="2690"/>
        <item m="1" x="2689"/>
        <item m="1" x="2688"/>
        <item m="1" x="2687"/>
        <item m="1" x="2686"/>
        <item m="1" x="2685"/>
        <item m="1" x="2684"/>
        <item m="1" x="2683"/>
        <item m="1" x="2682"/>
        <item m="1" x="2681"/>
        <item m="1" x="2680"/>
        <item m="1" x="2679"/>
        <item m="1" x="2678"/>
        <item m="1" x="2677"/>
        <item m="1" x="2676"/>
        <item m="1" x="2675"/>
        <item m="1" x="2674"/>
        <item m="1" x="2673"/>
        <item m="1" x="2672"/>
        <item m="1" x="2671"/>
        <item m="1" x="2670"/>
        <item m="1" x="2669"/>
        <item m="1" x="2668"/>
        <item m="1" x="2667"/>
        <item m="1" x="2666"/>
        <item m="1" x="2665"/>
        <item m="1" x="2664"/>
        <item m="1" x="2663"/>
        <item m="1" x="2662"/>
        <item m="1" x="2661"/>
        <item m="1" x="2660"/>
        <item m="1" x="2659"/>
        <item m="1" x="2658"/>
        <item m="1" x="2657"/>
        <item m="1" x="2656"/>
        <item m="1" x="2655"/>
        <item m="1" x="2654"/>
        <item m="1" x="2653"/>
        <item m="1" x="2652"/>
        <item m="1" x="2651"/>
        <item m="1" x="2650"/>
        <item m="1" x="2649"/>
        <item m="1" x="2648"/>
        <item m="1" x="2647"/>
        <item m="1" x="2646"/>
        <item m="1" x="2645"/>
        <item m="1" x="2644"/>
        <item m="1" x="2643"/>
        <item m="1" x="2642"/>
        <item m="1" x="2641"/>
        <item m="1" x="2640"/>
        <item m="1" x="2639"/>
        <item m="1" x="2638"/>
        <item m="1" x="2637"/>
        <item m="1" x="2636"/>
        <item m="1" x="2635"/>
        <item m="1" x="2634"/>
        <item m="1" x="2633"/>
        <item m="1" x="2632"/>
        <item m="1" x="2631"/>
        <item m="1" x="2630"/>
        <item m="1" x="2629"/>
        <item m="1" x="2628"/>
        <item m="1" x="2627"/>
        <item m="1" x="2626"/>
        <item m="1" x="2625"/>
        <item m="1" x="2624"/>
        <item m="1" x="2623"/>
        <item m="1" x="2622"/>
        <item m="1" x="2621"/>
        <item m="1" x="2620"/>
        <item m="1" x="2619"/>
        <item m="1" x="2618"/>
        <item m="1" x="2617"/>
        <item m="1" x="2616"/>
        <item m="1" x="2615"/>
        <item m="1" x="2614"/>
        <item m="1" x="2613"/>
        <item m="1" x="2612"/>
        <item m="1" x="2611"/>
        <item m="1" x="2610"/>
        <item m="1" x="2609"/>
        <item m="1" x="2608"/>
        <item m="1" x="2607"/>
        <item m="1" x="2606"/>
        <item m="1" x="2605"/>
        <item m="1" x="2604"/>
        <item m="1" x="2603"/>
        <item m="1" x="2602"/>
        <item m="1" x="2601"/>
        <item m="1" x="2600"/>
        <item m="1" x="2599"/>
        <item m="1" x="2598"/>
        <item m="1" x="2597"/>
        <item m="1" x="2596"/>
        <item m="1" x="2595"/>
        <item m="1" x="2594"/>
        <item m="1" x="2593"/>
        <item m="1" x="2592"/>
        <item m="1" x="2591"/>
        <item m="1" x="2590"/>
        <item m="1" x="2589"/>
        <item m="1" x="2588"/>
        <item m="1" x="2587"/>
        <item m="1" x="2586"/>
        <item m="1" x="2585"/>
        <item m="1" x="2584"/>
        <item m="1" x="2583"/>
        <item m="1" x="2582"/>
        <item m="1" x="2581"/>
        <item m="1" x="2580"/>
        <item m="1" x="2579"/>
        <item m="1" x="2578"/>
        <item m="1" x="2577"/>
        <item m="1" x="2576"/>
        <item m="1" x="2575"/>
        <item m="1" x="2574"/>
        <item m="1" x="2573"/>
        <item m="1" x="2572"/>
        <item m="1" x="2571"/>
        <item m="1" x="2570"/>
        <item m="1" x="2569"/>
        <item m="1" x="2568"/>
        <item m="1" x="2567"/>
        <item m="1" x="2566"/>
        <item m="1" x="2565"/>
        <item m="1" x="2564"/>
        <item m="1" x="2563"/>
        <item m="1" x="2562"/>
        <item m="1" x="2561"/>
        <item m="1" x="2560"/>
        <item m="1" x="2559"/>
        <item m="1" x="2558"/>
        <item m="1" x="2557"/>
        <item m="1" x="2556"/>
        <item m="1" x="2555"/>
        <item m="1" x="2554"/>
        <item m="1" x="2553"/>
        <item m="1" x="2552"/>
        <item m="1" x="2551"/>
        <item m="1" x="2550"/>
        <item m="1" x="2549"/>
        <item m="1" x="2548"/>
        <item m="1" x="2547"/>
        <item m="1" x="2546"/>
        <item m="1" x="2545"/>
        <item m="1" x="2544"/>
        <item m="1" x="2543"/>
        <item m="1" x="2542"/>
        <item m="1" x="2541"/>
        <item m="1" x="2540"/>
        <item m="1" x="2539"/>
        <item m="1" x="2538"/>
        <item m="1" x="2537"/>
        <item m="1" x="2536"/>
        <item m="1" x="2535"/>
        <item m="1" x="2534"/>
        <item m="1" x="2533"/>
        <item m="1" x="2532"/>
        <item m="1" x="2531"/>
        <item m="1" x="2530"/>
        <item m="1" x="2529"/>
        <item m="1" x="2528"/>
        <item m="1" x="2527"/>
        <item m="1" x="2526"/>
        <item m="1" x="2525"/>
        <item m="1" x="2524"/>
        <item m="1" x="2523"/>
        <item m="1" x="2522"/>
        <item m="1" x="2521"/>
        <item m="1" x="2520"/>
        <item m="1" x="2519"/>
        <item m="1" x="2518"/>
        <item m="1" x="2517"/>
        <item m="1" x="2516"/>
        <item m="1" x="2515"/>
        <item m="1" x="2514"/>
        <item m="1" x="2513"/>
        <item m="1" x="2512"/>
        <item m="1" x="2511"/>
        <item m="1" x="2510"/>
        <item m="1" x="2509"/>
        <item m="1" x="2508"/>
        <item m="1" x="2507"/>
        <item m="1" x="2506"/>
        <item m="1" x="2505"/>
        <item m="1" x="2504"/>
        <item m="1" x="2503"/>
        <item m="1" x="2502"/>
        <item m="1" x="2501"/>
        <item m="1" x="2500"/>
        <item m="1" x="2499"/>
        <item m="1" x="2498"/>
        <item m="1" x="2497"/>
        <item m="1" x="2496"/>
        <item m="1" x="2495"/>
        <item m="1" x="2494"/>
        <item m="1" x="2493"/>
        <item m="1" x="2492"/>
        <item m="1" x="2491"/>
        <item m="1" x="2490"/>
        <item m="1" x="2489"/>
        <item m="1" x="2488"/>
        <item m="1" x="2487"/>
        <item m="1" x="2486"/>
        <item m="1" x="2485"/>
        <item m="1" x="2484"/>
        <item m="1" x="2483"/>
        <item m="1" x="2482"/>
        <item m="1" x="2481"/>
        <item m="1" x="2480"/>
        <item m="1" x="2479"/>
        <item m="1" x="2478"/>
        <item m="1" x="2477"/>
        <item m="1" x="2476"/>
        <item m="1" x="2475"/>
        <item m="1" x="2474"/>
        <item m="1" x="2473"/>
        <item m="1" x="2472"/>
        <item m="1" x="2471"/>
        <item m="1" x="2470"/>
        <item m="1" x="2469"/>
        <item m="1" x="2468"/>
        <item m="1" x="2467"/>
        <item m="1" x="2466"/>
        <item m="1" x="2465"/>
        <item m="1" x="2464"/>
        <item m="1" x="2463"/>
        <item m="1" x="2462"/>
        <item m="1" x="2461"/>
        <item m="1" x="2460"/>
        <item m="1" x="2459"/>
        <item m="1" x="2458"/>
        <item m="1" x="2457"/>
        <item m="1" x="2456"/>
        <item m="1" x="2455"/>
        <item m="1" x="2454"/>
        <item m="1" x="2453"/>
        <item m="1" x="2452"/>
        <item m="1" x="2451"/>
        <item m="1" x="2450"/>
        <item m="1" x="2449"/>
        <item m="1" x="2448"/>
        <item m="1" x="2447"/>
        <item m="1" x="2446"/>
        <item m="1" x="2445"/>
        <item m="1" x="2444"/>
        <item m="1" x="2443"/>
        <item m="1" x="2442"/>
        <item m="1" x="2441"/>
        <item m="1" x="2440"/>
        <item m="1" x="2439"/>
        <item m="1" x="2438"/>
        <item m="1" x="2437"/>
        <item m="1" x="2436"/>
        <item m="1" x="2435"/>
        <item m="1" x="2434"/>
        <item m="1" x="2433"/>
        <item m="1" x="2432"/>
        <item m="1" x="2431"/>
        <item m="1" x="2430"/>
        <item m="1" x="2429"/>
        <item m="1" x="2428"/>
        <item m="1" x="2427"/>
        <item m="1" x="2426"/>
        <item m="1" x="2425"/>
        <item m="1" x="2424"/>
        <item m="1" x="2423"/>
        <item m="1" x="2422"/>
        <item m="1" x="2421"/>
        <item m="1" x="2420"/>
        <item m="1" x="2419"/>
        <item m="1" x="2418"/>
        <item m="1" x="2417"/>
        <item m="1" x="2416"/>
        <item m="1" x="2415"/>
        <item m="1" x="2414"/>
        <item m="1" x="2413"/>
        <item m="1" x="2412"/>
        <item m="1" x="2411"/>
        <item m="1" x="2410"/>
        <item m="1" x="2409"/>
        <item m="1" x="2408"/>
        <item m="1" x="2407"/>
        <item m="1" x="2406"/>
        <item m="1" x="2405"/>
        <item m="1" x="2404"/>
        <item m="1" x="2403"/>
        <item m="1" x="2402"/>
        <item m="1" x="2401"/>
        <item m="1" x="2400"/>
        <item m="1" x="2399"/>
        <item m="1" x="2875"/>
        <item m="1" x="2874"/>
        <item m="1" x="2873"/>
        <item m="1" x="2872"/>
        <item m="1" x="2871"/>
        <item m="1" x="2870"/>
        <item m="1" x="2869"/>
        <item m="1" x="2868"/>
        <item m="1" x="2867"/>
        <item m="1" x="2866"/>
        <item m="1" x="2865"/>
        <item m="1" x="2864"/>
        <item m="1" x="2863"/>
        <item m="1" x="2862"/>
        <item m="1" x="2861"/>
        <item m="1" x="2860"/>
        <item m="1" x="2859"/>
        <item m="1" x="2858"/>
        <item m="1" x="2857"/>
        <item m="1" x="2856"/>
        <item m="1" x="2855"/>
        <item m="1" x="2854"/>
        <item m="1" x="2853"/>
        <item m="1" x="2852"/>
        <item m="1" x="2851"/>
        <item m="1" x="2850"/>
        <item m="1" x="2849"/>
        <item m="1" x="2848"/>
        <item m="1" x="2847"/>
        <item m="1" x="2846"/>
        <item m="1" x="2845"/>
        <item m="1" x="2844"/>
        <item m="1" x="2843"/>
        <item m="1" x="2842"/>
        <item m="1" x="2841"/>
        <item m="1" x="2840"/>
        <item m="1" x="2839"/>
        <item m="1" x="2838"/>
        <item m="1" x="2837"/>
        <item m="1" x="2836"/>
        <item m="1" x="2835"/>
        <item m="1" x="2834"/>
        <item m="1" x="2833"/>
        <item m="1" x="2832"/>
        <item m="1" x="2831"/>
        <item m="1" x="2830"/>
        <item m="1" x="2829"/>
        <item m="1" x="2828"/>
        <item m="1" x="2827"/>
        <item m="1" x="2826"/>
        <item m="1" x="2825"/>
        <item m="1" x="2824"/>
        <item m="1" x="2823"/>
        <item m="1" x="2822"/>
        <item m="1" x="2821"/>
        <item m="1" x="2820"/>
        <item m="1" x="2819"/>
        <item m="1" x="2818"/>
        <item m="1" x="2817"/>
        <item m="1" x="2816"/>
        <item m="1" x="2815"/>
        <item m="1" x="2814"/>
        <item m="1" x="2813"/>
        <item m="1" x="2812"/>
        <item m="1" x="2811"/>
        <item m="1" x="2810"/>
        <item m="1" x="2809"/>
        <item m="1" x="2808"/>
        <item m="1" x="2807"/>
        <item m="1" x="2806"/>
        <item m="1" x="2805"/>
        <item m="1" x="2804"/>
        <item m="1" x="2803"/>
        <item m="1" x="2802"/>
        <item m="1" x="2801"/>
        <item m="1" x="2800"/>
        <item m="1" x="2799"/>
        <item m="1" x="2798"/>
        <item m="1" x="2797"/>
        <item m="1" x="2796"/>
        <item m="1" x="2795"/>
        <item m="1" x="2794"/>
        <item m="1" x="2793"/>
        <item m="1" x="2792"/>
        <item m="1" x="2791"/>
        <item m="1" x="2790"/>
        <item m="1" x="2789"/>
        <item m="1" x="2788"/>
        <item m="1" x="2787"/>
        <item m="1" x="2786"/>
        <item m="1" x="2785"/>
        <item m="1" x="2784"/>
        <item m="1" x="2783"/>
        <item m="1" x="2782"/>
        <item m="1" x="2781"/>
        <item m="1" x="2780"/>
        <item m="1" x="2779"/>
        <item m="1" x="2778"/>
        <item m="1" x="2777"/>
        <item m="1" x="2776"/>
        <item m="1" x="2775"/>
        <item m="1" x="2774"/>
        <item m="1" x="2773"/>
        <item m="1" x="2772"/>
        <item m="1" x="2771"/>
        <item m="1" x="2770"/>
        <item m="1" x="2769"/>
        <item m="1" x="2768"/>
        <item m="1" x="2767"/>
        <item m="1" x="2766"/>
        <item m="1" x="2765"/>
        <item m="1" x="2764"/>
        <item m="1" x="2763"/>
        <item m="1" x="2762"/>
        <item m="1" x="2761"/>
        <item m="1" x="2760"/>
        <item m="1" x="1656"/>
        <item m="1" x="1655"/>
        <item m="1" x="1654"/>
        <item m="1" x="1653"/>
        <item m="1" x="1652"/>
        <item m="1" x="1651"/>
        <item m="1" x="1650"/>
        <item m="1" x="1649"/>
        <item m="1" x="1648"/>
        <item m="1" x="1647"/>
        <item m="1" x="1646"/>
        <item m="1" x="1645"/>
        <item m="1" x="1644"/>
        <item m="1" x="1643"/>
        <item m="1" x="1642"/>
        <item m="1" x="1641"/>
        <item m="1" x="1640"/>
        <item m="1" x="1639"/>
        <item m="1" x="1638"/>
        <item m="1" x="1637"/>
        <item m="1" x="1636"/>
        <item m="1" x="1635"/>
        <item m="1" x="1634"/>
        <item m="1" x="1633"/>
        <item m="1" x="1632"/>
        <item m="1" x="1631"/>
        <item m="1" x="1630"/>
        <item m="1" x="1629"/>
        <item m="1" x="1628"/>
        <item m="1" x="1627"/>
        <item m="1" x="1626"/>
        <item m="1" x="1625"/>
        <item m="1" x="1624"/>
        <item m="1" x="1623"/>
        <item m="1" x="1622"/>
        <item m="1" x="1621"/>
        <item m="1" x="1620"/>
        <item m="1" x="1619"/>
        <item m="1" x="1618"/>
        <item m="1" x="1617"/>
        <item m="1" x="1616"/>
        <item m="1" x="1615"/>
        <item m="1" x="1614"/>
        <item m="1" x="1613"/>
        <item m="1" x="1612"/>
        <item m="1" x="1611"/>
        <item m="1" x="1610"/>
        <item m="1" x="1609"/>
        <item m="1" x="1608"/>
        <item m="1" x="1607"/>
        <item m="1" x="1606"/>
        <item m="1" x="1605"/>
        <item m="1" x="1604"/>
        <item m="1" x="1603"/>
        <item m="1" x="1602"/>
        <item m="1" x="1601"/>
        <item m="1" x="1600"/>
        <item m="1" x="1599"/>
        <item m="1" x="1598"/>
        <item m="1" x="1597"/>
        <item m="1" x="1596"/>
        <item m="1" x="1595"/>
        <item m="1" x="1594"/>
        <item m="1" x="1593"/>
        <item m="1" x="1592"/>
        <item m="1" x="1591"/>
        <item m="1" x="1590"/>
        <item m="1" x="1589"/>
        <item m="1" x="1588"/>
        <item m="1" x="1587"/>
        <item m="1" x="1586"/>
        <item m="1" x="1585"/>
        <item m="1" x="1584"/>
        <item m="1" x="1583"/>
        <item m="1" x="1582"/>
        <item m="1" x="1581"/>
        <item m="1" x="1580"/>
        <item m="1" x="1579"/>
        <item m="1" x="1578"/>
        <item m="1" x="1577"/>
        <item m="1" x="1576"/>
        <item m="1" x="1575"/>
        <item m="1" x="1574"/>
        <item m="1" x="1573"/>
        <item m="1" x="1572"/>
        <item m="1" x="1571"/>
        <item m="1" x="1570"/>
        <item m="1" x="1569"/>
        <item m="1" x="1568"/>
        <item m="1" x="1567"/>
        <item m="1" x="1566"/>
        <item m="1" x="1565"/>
        <item m="1" x="1564"/>
        <item m="1" x="1563"/>
        <item m="1" x="1562"/>
        <item m="1" x="1561"/>
        <item m="1" x="1560"/>
        <item m="1" x="1559"/>
        <item m="1" x="1558"/>
        <item m="1" x="1557"/>
        <item m="1" x="1556"/>
        <item m="1" x="1555"/>
        <item m="1" x="1554"/>
        <item m="1" x="1553"/>
        <item m="1" x="1552"/>
        <item m="1" x="1551"/>
        <item m="1" x="1550"/>
        <item m="1" x="1549"/>
        <item m="1" x="1548"/>
        <item m="1" x="1547"/>
        <item m="1" x="1546"/>
        <item m="1" x="1545"/>
        <item m="1" x="1544"/>
        <item m="1" x="1543"/>
        <item m="1" x="1542"/>
        <item m="1" x="1541"/>
        <item m="1" x="1540"/>
        <item m="1" x="1539"/>
        <item m="1" x="1538"/>
        <item m="1" x="1537"/>
        <item m="1" x="1536"/>
        <item m="1" x="1535"/>
        <item m="1" x="1534"/>
        <item m="1" x="1533"/>
        <item m="1" x="1532"/>
        <item m="1" x="1531"/>
        <item m="1" x="1530"/>
        <item m="1" x="1529"/>
        <item m="1" x="1528"/>
        <item m="1" x="1527"/>
        <item m="1" x="1526"/>
        <item m="1" x="1525"/>
        <item m="1" x="1524"/>
        <item m="1" x="1523"/>
        <item m="1" x="1522"/>
        <item m="1" x="1521"/>
        <item m="1" x="1520"/>
        <item m="1" x="1519"/>
        <item m="1" x="1518"/>
        <item m="1" x="1517"/>
        <item m="1" x="1516"/>
        <item m="1" x="1515"/>
        <item m="1" x="1514"/>
        <item m="1" x="1513"/>
        <item m="1" x="1512"/>
        <item m="1" x="1511"/>
        <item m="1" x="1510"/>
        <item m="1" x="1509"/>
        <item m="1" x="1508"/>
        <item m="1" x="1507"/>
        <item m="1" x="1506"/>
        <item m="1" x="1505"/>
        <item m="1" x="1504"/>
        <item m="1" x="1503"/>
        <item m="1" x="1502"/>
        <item m="1" x="1501"/>
        <item m="1" x="1500"/>
        <item m="1" x="1499"/>
        <item m="1" x="1498"/>
        <item m="1" x="1497"/>
        <item m="1" x="1496"/>
        <item m="1" x="1495"/>
        <item m="1" x="1494"/>
        <item m="1" x="1493"/>
        <item m="1" x="1492"/>
        <item m="1" x="1491"/>
        <item m="1" x="1490"/>
        <item m="1" x="1489"/>
        <item m="1" x="1488"/>
        <item m="1" x="1487"/>
        <item m="1" x="1486"/>
        <item m="1" x="1485"/>
        <item m="1" x="1484"/>
        <item m="1" x="1483"/>
        <item m="1" x="1482"/>
        <item m="1" x="1481"/>
        <item m="1" x="1480"/>
        <item m="1" x="1479"/>
        <item m="1" x="1478"/>
        <item m="1" x="1477"/>
        <item m="1" x="1476"/>
        <item m="1" x="1475"/>
        <item m="1" x="1474"/>
        <item m="1" x="1473"/>
        <item m="1" x="1472"/>
        <item m="1" x="1471"/>
        <item m="1" x="1470"/>
        <item m="1" x="1469"/>
        <item m="1" x="1468"/>
        <item m="1" x="1467"/>
        <item m="1" x="1466"/>
        <item m="1" x="1465"/>
        <item m="1" x="1464"/>
        <item m="1" x="1463"/>
        <item m="1" x="1462"/>
        <item m="1" x="1461"/>
        <item m="1" x="1460"/>
        <item m="1" x="1459"/>
        <item m="1" x="1458"/>
        <item m="1" x="1457"/>
        <item m="1" x="1456"/>
        <item m="1" x="1455"/>
        <item m="1" x="1454"/>
        <item m="1" x="1453"/>
        <item m="1" x="1452"/>
        <item m="1" x="1451"/>
        <item m="1" x="1450"/>
        <item m="1" x="1449"/>
        <item m="1" x="1448"/>
        <item m="1" x="1447"/>
        <item m="1" x="1446"/>
        <item m="1" x="1445"/>
        <item m="1" x="1444"/>
        <item m="1" x="1443"/>
        <item m="1" x="1442"/>
        <item m="1" x="1441"/>
        <item m="1" x="1440"/>
        <item m="1" x="1439"/>
        <item m="1" x="1438"/>
        <item m="1" x="1437"/>
        <item m="1" x="1436"/>
        <item m="1" x="1435"/>
        <item m="1" x="1434"/>
        <item m="1" x="1433"/>
        <item m="1" x="1432"/>
        <item m="1" x="1431"/>
        <item m="1" x="1430"/>
        <item m="1" x="1429"/>
        <item m="1" x="1428"/>
        <item m="1" x="1427"/>
        <item m="1" x="1426"/>
        <item m="1" x="1425"/>
        <item m="1" x="1424"/>
        <item m="1" x="1423"/>
        <item m="1" x="1422"/>
        <item m="1" x="1421"/>
        <item m="1" x="1420"/>
        <item m="1" x="1419"/>
        <item m="1" x="1418"/>
        <item m="1" x="1417"/>
        <item m="1" x="1416"/>
        <item m="1" x="1415"/>
        <item m="1" x="1414"/>
        <item m="1" x="1413"/>
        <item m="1" x="1412"/>
        <item m="1" x="1411"/>
        <item m="1" x="1410"/>
        <item m="1" x="1409"/>
        <item m="1" x="1408"/>
        <item m="1" x="1407"/>
        <item m="1" x="1406"/>
        <item m="1" x="1405"/>
        <item m="1" x="1404"/>
        <item m="1" x="1403"/>
        <item m="1" x="1402"/>
        <item m="1" x="1401"/>
        <item m="1" x="1400"/>
        <item m="1" x="1399"/>
        <item m="1" x="1398"/>
        <item m="1" x="1397"/>
        <item m="1" x="1396"/>
        <item m="1" x="1395"/>
        <item m="1" x="1394"/>
        <item m="1" x="1393"/>
        <item m="1" x="1392"/>
        <item m="1" x="1391"/>
        <item m="1" x="1390"/>
        <item m="1" x="1389"/>
        <item m="1" x="1388"/>
        <item m="1" x="1387"/>
        <item m="1" x="1386"/>
        <item m="1" x="1385"/>
        <item m="1" x="1384"/>
        <item m="1" x="1383"/>
        <item m="1" x="1382"/>
        <item m="1" x="1381"/>
        <item m="1" x="1380"/>
        <item m="1" x="1379"/>
        <item m="1" x="1378"/>
        <item m="1" x="1377"/>
        <item m="1" x="1376"/>
        <item m="1" x="1375"/>
        <item m="1" x="1374"/>
        <item m="1" x="1373"/>
        <item m="1" x="1372"/>
        <item m="1" x="1371"/>
        <item m="1" x="1370"/>
        <item m="1" x="1369"/>
        <item m="1" x="1368"/>
        <item m="1" x="1367"/>
        <item m="1" x="1366"/>
        <item m="1" x="1365"/>
        <item m="1" x="1364"/>
        <item m="1" x="1363"/>
        <item m="1" x="1362"/>
        <item m="1" x="1361"/>
        <item m="1" x="1360"/>
        <item m="1" x="1359"/>
        <item m="1" x="1358"/>
        <item m="1" x="1357"/>
        <item m="1" x="1356"/>
        <item m="1" x="1355"/>
        <item m="1" x="1354"/>
        <item m="1" x="1353"/>
        <item m="1" x="1352"/>
        <item m="1" x="1351"/>
        <item m="1" x="1350"/>
        <item m="1" x="1349"/>
        <item m="1" x="1348"/>
        <item m="1" x="1347"/>
        <item m="1" x="1346"/>
        <item m="1" x="1345"/>
        <item m="1" x="1344"/>
        <item m="1" x="1343"/>
        <item m="1" x="1342"/>
        <item m="1" x="1341"/>
        <item m="1" x="1340"/>
        <item m="1" x="1339"/>
        <item m="1" x="1338"/>
        <item m="1" x="1337"/>
        <item m="1" x="1336"/>
        <item m="1" x="1335"/>
        <item m="1" x="1334"/>
        <item m="1" x="1333"/>
        <item m="1" x="1332"/>
        <item m="1" x="1331"/>
        <item m="1" x="1330"/>
        <item m="1" x="1329"/>
        <item m="1" x="447"/>
        <item m="1" x="446"/>
        <item m="1" x="445"/>
        <item m="1" x="444"/>
        <item m="1" x="443"/>
        <item m="1" x="442"/>
        <item m="1" x="441"/>
        <item m="1" x="440"/>
        <item m="1" x="439"/>
        <item m="1" x="438"/>
        <item m="1" x="437"/>
        <item m="1" x="436"/>
        <item m="1" x="435"/>
        <item m="1" x="434"/>
        <item m="1" x="433"/>
        <item m="1" x="432"/>
        <item m="1" x="431"/>
        <item m="1" x="430"/>
        <item m="1" x="429"/>
        <item m="1" x="428"/>
        <item m="1" x="427"/>
        <item m="1" x="426"/>
        <item m="1" x="425"/>
        <item m="1" x="424"/>
        <item m="1" x="423"/>
        <item m="1" x="422"/>
        <item m="1" x="421"/>
        <item m="1" x="420"/>
        <item m="1" x="419"/>
        <item m="1" x="418"/>
        <item m="1" x="417"/>
        <item m="1" x="416"/>
        <item m="1" x="415"/>
        <item m="1" x="414"/>
        <item m="1" x="413"/>
        <item m="1" x="412"/>
        <item m="1" x="411"/>
        <item m="1" x="410"/>
        <item m="1" x="409"/>
        <item m="1" x="408"/>
        <item m="1" x="407"/>
        <item m="1" x="406"/>
        <item m="1" x="405"/>
        <item m="1" x="404"/>
        <item m="1" x="403"/>
        <item m="1" x="402"/>
        <item m="1" x="401"/>
        <item m="1" x="400"/>
        <item m="1" x="399"/>
        <item m="1" x="398"/>
        <item m="1" x="397"/>
        <item m="1" x="396"/>
        <item m="1" x="395"/>
        <item m="1" x="394"/>
        <item m="1" x="393"/>
        <item m="1" x="392"/>
        <item m="1" x="391"/>
        <item m="1" x="390"/>
        <item m="1" x="389"/>
        <item m="1" x="388"/>
        <item m="1" x="387"/>
        <item m="1" x="386"/>
        <item m="1" x="385"/>
        <item m="1" x="384"/>
        <item m="1" x="383"/>
        <item m="1" x="382"/>
        <item m="1" x="381"/>
        <item m="1" x="380"/>
        <item m="1" x="379"/>
        <item m="1" x="378"/>
        <item m="1" x="377"/>
        <item m="1" x="376"/>
        <item m="1" x="375"/>
        <item m="1" x="374"/>
        <item m="1" x="373"/>
        <item m="1" x="372"/>
        <item m="1" x="371"/>
        <item m="1" x="370"/>
        <item m="1" x="369"/>
        <item m="1" x="368"/>
        <item m="1" x="367"/>
        <item m="1" x="366"/>
        <item m="1" x="365"/>
        <item m="1" x="364"/>
        <item m="1" x="363"/>
        <item m="1" x="362"/>
        <item m="1" x="361"/>
        <item m="1" x="360"/>
        <item m="1" x="359"/>
        <item m="1" x="358"/>
        <item m="1" x="357"/>
        <item m="1" x="356"/>
        <item m="1" x="355"/>
        <item m="1" x="354"/>
        <item m="1" x="353"/>
        <item m="1" x="352"/>
        <item m="1" x="351"/>
        <item m="1" x="350"/>
        <item m="1" x="349"/>
        <item m="1" x="348"/>
        <item m="1" x="347"/>
        <item m="1" x="346"/>
        <item m="1" x="345"/>
        <item m="1" x="344"/>
        <item m="1" x="343"/>
        <item m="1" x="342"/>
        <item m="1" x="341"/>
        <item m="1" x="340"/>
        <item m="1" x="339"/>
        <item m="1" x="338"/>
        <item m="1" x="337"/>
        <item m="1" x="336"/>
        <item m="1" x="335"/>
        <item m="1" x="334"/>
        <item m="1" x="333"/>
        <item m="1" x="332"/>
        <item m="1" x="331"/>
        <item m="1" x="330"/>
        <item m="1" x="329"/>
        <item m="1" x="328"/>
        <item m="1" x="327"/>
        <item m="1" x="326"/>
        <item m="1" x="325"/>
        <item m="1" x="324"/>
        <item m="1" x="323"/>
        <item m="1" x="322"/>
        <item m="1" x="321"/>
        <item m="1" x="320"/>
        <item m="1" x="319"/>
        <item m="1" x="318"/>
        <item m="1" x="317"/>
        <item m="1" x="316"/>
        <item m="1" x="315"/>
        <item m="1" x="314"/>
        <item m="1" x="313"/>
        <item m="1" x="312"/>
        <item m="1" x="311"/>
        <item m="1" x="310"/>
        <item m="1" x="309"/>
        <item m="1" x="308"/>
        <item m="1" x="307"/>
        <item m="1" x="306"/>
        <item m="1" x="305"/>
        <item m="1" x="304"/>
        <item m="1" x="303"/>
        <item m="1" x="302"/>
        <item m="1" x="301"/>
        <item m="1" x="300"/>
        <item m="1" x="299"/>
        <item m="1" x="298"/>
        <item m="1" x="297"/>
        <item m="1" x="296"/>
        <item m="1" x="295"/>
        <item m="1" x="294"/>
        <item m="1" x="293"/>
        <item m="1" x="292"/>
        <item m="1" x="291"/>
        <item m="1" x="290"/>
        <item m="1" x="289"/>
        <item m="1" x="288"/>
        <item m="1" x="287"/>
        <item m="1" x="286"/>
        <item m="1" x="285"/>
        <item m="1" x="284"/>
        <item m="1" x="283"/>
        <item m="1" x="282"/>
        <item m="1" x="281"/>
        <item m="1" x="280"/>
        <item m="1" x="279"/>
        <item m="1" x="278"/>
        <item m="1" x="277"/>
        <item m="1" x="276"/>
        <item m="1" x="275"/>
        <item m="1" x="274"/>
        <item m="1" x="273"/>
        <item m="1" x="272"/>
        <item m="1" x="271"/>
        <item m="1" x="270"/>
        <item m="1" x="269"/>
        <item m="1" x="268"/>
        <item m="1" x="267"/>
        <item m="1" x="266"/>
        <item m="1" x="265"/>
        <item m="1" x="264"/>
        <item m="1" x="263"/>
        <item m="1" x="262"/>
        <item m="1" x="261"/>
        <item m="1" x="260"/>
        <item m="1" x="259"/>
        <item m="1" x="258"/>
        <item m="1" x="257"/>
        <item m="1" x="256"/>
        <item m="1" x="255"/>
        <item m="1" x="254"/>
        <item m="1" x="253"/>
        <item m="1" x="252"/>
        <item m="1" x="251"/>
        <item m="1" x="250"/>
        <item m="1" x="249"/>
        <item m="1" x="248"/>
        <item m="1" x="247"/>
        <item m="1" x="246"/>
        <item m="1" x="245"/>
        <item m="1" x="244"/>
        <item m="1" x="243"/>
        <item m="1" x="242"/>
        <item m="1" x="241"/>
        <item m="1" x="240"/>
        <item m="1" x="239"/>
        <item m="1" x="238"/>
        <item m="1" x="237"/>
        <item m="1" x="236"/>
        <item m="1" x="235"/>
        <item m="1" x="234"/>
        <item m="1" x="233"/>
        <item m="1" x="232"/>
        <item m="1" x="231"/>
        <item m="1" x="230"/>
        <item m="1" x="229"/>
        <item m="1" x="228"/>
        <item m="1" x="227"/>
        <item m="1" x="226"/>
        <item m="1" x="225"/>
        <item m="1" x="224"/>
        <item m="1" x="2978"/>
        <item m="1" x="223"/>
        <item m="1" x="222"/>
        <item m="1" x="221"/>
        <item m="1" x="220"/>
        <item m="1" x="219"/>
        <item m="1" x="218"/>
        <item m="1" x="217"/>
        <item m="1" x="216"/>
        <item m="1" x="215"/>
        <item m="1" x="214"/>
        <item m="1" x="213"/>
        <item m="1" x="212"/>
        <item m="1" x="211"/>
        <item m="1" x="210"/>
        <item m="1" x="2977"/>
        <item m="1" x="2976"/>
        <item m="1" x="2975"/>
        <item m="1" x="2974"/>
        <item m="1" x="2973"/>
        <item m="1" x="2972"/>
        <item m="1" x="209"/>
        <item m="1" x="208"/>
        <item m="1" x="2971"/>
        <item m="1" x="207"/>
        <item m="1" x="2970"/>
        <item m="1" x="2969"/>
        <item m="1" x="2968"/>
        <item m="1" x="2967"/>
        <item m="1" x="206"/>
        <item m="1" x="205"/>
        <item m="1" x="2966"/>
        <item m="1" x="204"/>
        <item m="1" x="203"/>
        <item m="1" x="202"/>
        <item m="1" x="201"/>
        <item m="1" x="200"/>
        <item m="1" x="199"/>
        <item m="1" x="198"/>
        <item m="1" x="197"/>
        <item m="1" x="196"/>
        <item m="1" x="195"/>
        <item m="1" x="194"/>
        <item m="1" x="193"/>
        <item m="1" x="192"/>
        <item m="1" x="191"/>
        <item m="1" x="2965"/>
        <item m="1" x="190"/>
        <item m="1" x="2964"/>
        <item m="1" x="189"/>
        <item m="1" x="2963"/>
        <item m="1" x="2962"/>
        <item m="1" x="2961"/>
        <item m="1" x="2960"/>
        <item m="1" x="2959"/>
        <item m="1" x="2958"/>
        <item m="1" x="2957"/>
        <item m="1" x="2956"/>
        <item m="1" x="2955"/>
        <item m="1" x="2954"/>
        <item m="1" x="2953"/>
        <item m="1" x="2952"/>
        <item m="1" x="2951"/>
        <item m="1" x="2950"/>
        <item m="1" x="2949"/>
        <item m="1" x="2948"/>
        <item m="1" x="2947"/>
        <item m="1" x="188"/>
        <item m="1" x="2946"/>
        <item m="1" x="2945"/>
        <item m="1" x="2944"/>
        <item m="1" x="2943"/>
        <item m="1" x="2942"/>
        <item m="1" x="187"/>
        <item m="1" x="2941"/>
        <item m="1" x="186"/>
        <item m="1" x="2940"/>
        <item m="1" x="185"/>
        <item m="1" x="2939"/>
        <item m="1" x="2938"/>
        <item m="1" x="2937"/>
        <item m="1" x="2936"/>
        <item m="1" x="2935"/>
        <item m="1" x="2934"/>
        <item m="1" x="2933"/>
        <item m="1" x="184"/>
        <item m="1" x="2932"/>
        <item m="1" x="2931"/>
        <item m="1" x="2930"/>
        <item m="1" x="2929"/>
        <item m="1" x="2928"/>
        <item m="1" x="2927"/>
        <item m="1" x="2926"/>
        <item m="1" x="2925"/>
        <item m="1" x="2924"/>
        <item m="1" x="2923"/>
        <item m="1" x="183"/>
        <item m="1" x="182"/>
        <item m="1" x="2922"/>
        <item m="1" x="181"/>
        <item m="1" x="180"/>
        <item m="1" x="179"/>
        <item m="1" x="178"/>
        <item m="1" x="177"/>
        <item m="1" x="176"/>
        <item m="1" x="175"/>
        <item m="1" x="174"/>
        <item m="1" x="173"/>
        <item m="1" x="172"/>
        <item m="1" x="171"/>
        <item m="1" x="170"/>
        <item m="1" x="169"/>
        <item m="1" x="168"/>
        <item m="1" x="167"/>
        <item m="1" x="166"/>
        <item m="1" x="165"/>
        <item m="1" x="164"/>
        <item m="1" x="163"/>
        <item m="1" x="162"/>
        <item m="1" x="161"/>
        <item m="1" x="160"/>
        <item m="1" x="159"/>
        <item m="1" x="158"/>
        <item m="1" x="2921"/>
        <item m="1" x="157"/>
        <item m="1" x="2920"/>
        <item m="1" x="2919"/>
        <item m="1" x="2918"/>
        <item m="1" x="2917"/>
        <item m="1" x="2916"/>
        <item m="1" x="156"/>
        <item m="1" x="2915"/>
        <item m="1" x="155"/>
        <item m="1" x="2914"/>
        <item m="1" x="154"/>
        <item m="1" x="2913"/>
        <item m="1" x="2912"/>
        <item m="1" x="2911"/>
        <item m="1" x="2910"/>
        <item m="1" x="2909"/>
        <item m="1" x="2908"/>
        <item m="1" x="2907"/>
        <item m="1" x="153"/>
        <item m="1" x="2906"/>
        <item m="1" x="2905"/>
        <item m="1" x="2904"/>
        <item m="1" x="2903"/>
        <item m="1" x="2902"/>
        <item m="1" x="2901"/>
        <item m="1" x="2900"/>
        <item m="1" x="2899"/>
        <item m="1" x="2898"/>
        <item m="1" x="2897"/>
        <item m="1" x="152"/>
        <item m="1" x="151"/>
        <item m="1" x="150"/>
        <item m="1" x="149"/>
        <item m="1" x="148"/>
        <item m="1" x="147"/>
        <item m="1" x="146"/>
        <item m="1" x="145"/>
        <item m="1" x="144"/>
        <item m="1" x="2896"/>
        <item m="1" x="143"/>
        <item m="1" x="2895"/>
        <item m="1" x="2894"/>
        <item m="1" x="2893"/>
        <item m="1" x="2892"/>
        <item m="1" x="142"/>
        <item m="1" x="2891"/>
        <item m="1" x="2890"/>
        <item m="1" x="2889"/>
        <item m="1" x="2888"/>
        <item m="1" x="2887"/>
        <item m="1" x="141"/>
        <item m="1" x="3260"/>
        <item m="1" x="3259"/>
        <item m="1" x="3258"/>
        <item m="1" x="3257"/>
        <item m="1" x="3256"/>
        <item m="1" x="3255"/>
        <item m="1" x="3254"/>
        <item m="1" x="3253"/>
        <item m="1" x="3252"/>
        <item m="1" x="3251"/>
        <item m="1" x="3250"/>
        <item m="1" x="3249"/>
        <item m="1" x="3248"/>
        <item m="1" x="3247"/>
        <item m="1" x="3246"/>
        <item m="1" x="3245"/>
        <item m="1" x="3244"/>
        <item m="1" x="3243"/>
        <item m="1" x="3242"/>
        <item m="1" x="3241"/>
        <item m="1" x="3240"/>
        <item m="1" x="3239"/>
        <item m="1" x="3238"/>
        <item m="1" x="3237"/>
        <item m="1" x="3236"/>
        <item m="1" x="3235"/>
        <item m="1" x="3234"/>
        <item m="1" x="3233"/>
        <item m="1" x="3232"/>
        <item m="1" x="3231"/>
        <item m="1" x="3230"/>
        <item m="1" x="3229"/>
        <item m="1" x="3228"/>
        <item m="1" x="3227"/>
        <item m="1" x="3226"/>
        <item m="1" x="3225"/>
        <item m="1" x="3224"/>
        <item m="1" x="3223"/>
        <item m="1" x="3222"/>
        <item m="1" x="3221"/>
        <item m="1" x="3220"/>
        <item m="1" x="3219"/>
        <item m="1" x="3218"/>
        <item m="1" x="3217"/>
        <item m="1" x="3216"/>
        <item m="1" x="3215"/>
        <item m="1" x="3214"/>
        <item m="1" x="3213"/>
        <item m="1" x="3212"/>
        <item m="1" x="3211"/>
        <item m="1" x="3210"/>
        <item m="1" x="3209"/>
        <item m="1" x="3208"/>
        <item m="1" x="3207"/>
        <item m="1" x="3206"/>
        <item m="1" x="3205"/>
        <item m="1" x="3204"/>
        <item m="1" x="3203"/>
        <item m="1" x="3202"/>
        <item m="1" x="3201"/>
        <item m="1" x="3200"/>
        <item m="1" x="3199"/>
        <item m="1" x="3198"/>
        <item m="1" x="3197"/>
        <item m="1" x="3196"/>
        <item m="1" x="3195"/>
        <item m="1" x="3194"/>
        <item m="1" x="3193"/>
        <item m="1" x="3192"/>
        <item m="1" x="3191"/>
        <item m="1" x="3190"/>
        <item m="1" x="3189"/>
        <item m="1" x="3188"/>
        <item m="1" x="3187"/>
        <item m="1" x="3186"/>
        <item m="1" x="3185"/>
        <item m="1" x="3184"/>
        <item m="1" x="3183"/>
        <item m="1" x="3182"/>
        <item m="1" x="3181"/>
        <item m="1" x="3180"/>
        <item m="1" x="3179"/>
        <item m="1" x="3178"/>
        <item m="1" x="3177"/>
        <item m="1" x="3176"/>
        <item m="1" x="3175"/>
        <item m="1" x="3174"/>
        <item m="1" x="3173"/>
        <item m="1" x="3172"/>
        <item m="1" x="3171"/>
        <item m="1" x="3170"/>
        <item m="1" x="3169"/>
        <item m="1" x="3168"/>
        <item m="1" x="3167"/>
        <item m="1" x="3166"/>
        <item m="1" x="3165"/>
        <item m="1" x="3164"/>
        <item m="1" x="3163"/>
        <item m="1" x="3162"/>
        <item m="1" x="3161"/>
        <item m="1" x="3160"/>
        <item m="1" x="3159"/>
        <item m="1" x="3158"/>
        <item m="1" x="3157"/>
        <item m="1" x="3156"/>
        <item m="1" x="3155"/>
        <item m="1" x="3154"/>
        <item m="1" x="3153"/>
        <item m="1" x="3152"/>
        <item m="1" x="3151"/>
        <item m="1" x="3150"/>
        <item m="1" x="3149"/>
        <item m="1" x="3148"/>
        <item m="1" x="3147"/>
        <item m="1" x="3146"/>
        <item m="1" x="3145"/>
        <item m="1" x="3144"/>
        <item m="1" x="3143"/>
        <item m="1" x="3142"/>
        <item m="1" x="3141"/>
        <item m="1" x="3140"/>
        <item m="1" x="3139"/>
        <item m="1" x="3138"/>
        <item m="1" x="3137"/>
        <item m="1" x="3136"/>
        <item m="1" x="3135"/>
        <item m="1" x="3134"/>
        <item m="1" x="3133"/>
        <item m="1" x="3132"/>
        <item m="1" x="3131"/>
        <item m="1" x="3130"/>
        <item m="1" x="3129"/>
        <item m="1" x="3128"/>
        <item m="1" x="3127"/>
        <item m="1" x="3126"/>
        <item m="1" x="3125"/>
        <item m="1" x="3124"/>
        <item m="1" x="3123"/>
        <item m="1" x="3122"/>
        <item m="1" x="3121"/>
        <item m="1" x="3120"/>
        <item m="1" x="3119"/>
        <item m="1" x="3118"/>
        <item m="1" x="3117"/>
        <item m="1" x="3116"/>
        <item m="1" x="3115"/>
        <item m="1" x="3114"/>
        <item m="1" x="3113"/>
        <item m="1" x="3112"/>
        <item m="1" x="3111"/>
        <item m="1" x="3110"/>
        <item m="1" x="3109"/>
        <item m="1" x="3108"/>
        <item m="1" x="3107"/>
        <item m="1" x="3106"/>
        <item m="1" x="3105"/>
        <item m="1" x="3104"/>
        <item m="1" x="3103"/>
        <item m="1" x="3102"/>
        <item m="1" x="3101"/>
        <item m="1" x="3100"/>
        <item m="1" x="3099"/>
        <item m="1" x="3098"/>
        <item m="1" x="3097"/>
        <item m="1" x="3096"/>
        <item m="1" x="3095"/>
        <item m="1" x="3094"/>
        <item m="1" x="3093"/>
        <item m="1" x="3092"/>
        <item m="1" x="3091"/>
        <item m="1" x="3090"/>
        <item m="1" x="3089"/>
        <item m="1" x="3088"/>
        <item m="1" x="3087"/>
        <item m="1" x="3086"/>
        <item m="1" x="3085"/>
        <item m="1" x="3084"/>
        <item m="1" x="3083"/>
        <item m="1" x="3082"/>
        <item m="1" x="3081"/>
        <item m="1" x="3080"/>
        <item m="1" x="3079"/>
        <item m="1" x="3078"/>
        <item m="1" x="3077"/>
        <item m="1" x="3076"/>
        <item m="1" x="3075"/>
        <item m="1" x="3074"/>
        <item m="1" x="3073"/>
        <item m="1" x="3072"/>
        <item m="1" x="3071"/>
        <item m="1" x="3070"/>
        <item m="1" x="3069"/>
        <item m="1" x="3068"/>
        <item m="1" x="3067"/>
        <item m="1" x="3066"/>
        <item m="1" x="3065"/>
        <item m="1" x="3064"/>
        <item m="1" x="3063"/>
        <item m="1" x="3062"/>
        <item m="1" x="3061"/>
        <item m="1" x="3060"/>
        <item m="1" x="3059"/>
        <item m="1" x="3058"/>
        <item m="1" x="3057"/>
        <item m="1" x="3056"/>
        <item m="1" x="3055"/>
        <item m="1" x="3054"/>
        <item m="1" x="3053"/>
        <item m="1" x="3052"/>
        <item m="1" x="3051"/>
        <item m="1" x="3050"/>
        <item m="1" x="3049"/>
        <item m="1" x="3048"/>
        <item m="1" x="3047"/>
        <item m="1" x="3046"/>
        <item m="1" x="3045"/>
        <item m="1" x="3044"/>
        <item m="1" x="3043"/>
        <item m="1" x="3042"/>
        <item m="1" x="3041"/>
        <item m="1" x="3040"/>
        <item m="1" x="3039"/>
        <item m="1" x="3038"/>
        <item m="1" x="3037"/>
        <item m="1" x="3036"/>
        <item m="1" x="3035"/>
        <item m="1" x="3034"/>
        <item m="1" x="3033"/>
        <item m="1" x="3032"/>
        <item m="1" x="3031"/>
        <item m="1" x="3030"/>
        <item m="1" x="3029"/>
        <item m="1" x="3028"/>
        <item m="1" x="3027"/>
        <item m="1" x="3026"/>
        <item m="1" x="3025"/>
        <item m="1" x="3024"/>
        <item m="1" x="3023"/>
        <item m="1" x="3022"/>
        <item m="1" x="3021"/>
        <item m="1" x="3020"/>
        <item m="1" x="3019"/>
        <item m="1" x="3018"/>
        <item m="1" x="3017"/>
        <item m="1" x="3016"/>
        <item m="1" x="3015"/>
        <item m="1" x="3014"/>
        <item m="1" x="3013"/>
        <item m="1" x="3012"/>
        <item m="1" x="3011"/>
        <item m="1" x="3010"/>
        <item m="1" x="3009"/>
        <item m="1" x="3008"/>
        <item m="1" x="3007"/>
        <item m="1" x="3006"/>
        <item m="1" x="3005"/>
        <item m="1" x="3004"/>
        <item m="1" x="3003"/>
        <item m="1" x="3002"/>
        <item m="1" x="3001"/>
        <item m="1" x="3000"/>
        <item m="1" x="2999"/>
        <item m="1" x="2998"/>
        <item m="1" x="2997"/>
        <item m="1" x="2996"/>
        <item m="1" x="2995"/>
        <item m="1" x="2994"/>
        <item m="1" x="2993"/>
        <item m="1" x="2992"/>
        <item m="1" x="2991"/>
        <item m="1" x="2990"/>
        <item m="1" x="2989"/>
        <item m="1" x="2988"/>
        <item m="1" x="2987"/>
        <item m="1" x="2986"/>
        <item m="1" x="2985"/>
        <item m="1" x="2984"/>
        <item m="1" x="2983"/>
        <item m="1" x="2982"/>
        <item m="1" x="2981"/>
        <item m="1" x="2980"/>
        <item m="1" x="2979"/>
        <item m="1" x="1094"/>
        <item m="1" x="1093"/>
        <item m="1" x="1092"/>
        <item m="1" x="1091"/>
        <item m="1" x="1090"/>
        <item m="1" x="1089"/>
        <item m="1" x="1088"/>
        <item m="1" x="1087"/>
        <item m="1" x="1086"/>
        <item m="1" x="1085"/>
        <item m="1" x="1084"/>
        <item m="1" x="1083"/>
        <item m="1" x="1082"/>
        <item m="1" x="1081"/>
        <item m="1" x="1080"/>
        <item m="1" x="1079"/>
        <item m="1" x="1078"/>
        <item m="1" x="1077"/>
        <item m="1" x="1076"/>
        <item m="1" x="1075"/>
        <item m="1" x="1074"/>
        <item m="1" x="1073"/>
        <item m="1" x="1072"/>
        <item m="1" x="1071"/>
        <item m="1" x="1070"/>
        <item m="1" x="1069"/>
        <item m="1" x="1068"/>
        <item m="1" x="1067"/>
        <item m="1" x="1066"/>
        <item m="1" x="1065"/>
        <item m="1" x="1064"/>
        <item m="1" x="1063"/>
        <item m="1" x="1062"/>
        <item m="1" x="1061"/>
        <item m="1" x="1060"/>
        <item m="1" x="1059"/>
        <item m="1" x="1058"/>
        <item m="1" x="1057"/>
        <item m="1" x="1056"/>
        <item m="1" x="1055"/>
        <item m="1" x="1054"/>
        <item m="1" x="1053"/>
        <item m="1" x="1052"/>
        <item m="1" x="1051"/>
        <item m="1" x="1050"/>
        <item m="1" x="1049"/>
        <item m="1" x="1048"/>
        <item m="1" x="1047"/>
        <item m="1" x="1046"/>
        <item m="1" x="1045"/>
        <item m="1" x="1044"/>
        <item m="1" x="1043"/>
        <item m="1" x="1042"/>
        <item m="1" x="1041"/>
        <item m="1" x="1040"/>
        <item m="1" x="1039"/>
        <item m="1" x="1038"/>
        <item m="1" x="1037"/>
        <item m="1" x="1036"/>
        <item m="1" x="1035"/>
        <item m="1" x="1034"/>
        <item m="1" x="1033"/>
        <item m="1" x="1032"/>
        <item m="1" x="1031"/>
        <item m="1" x="1030"/>
        <item m="1" x="1029"/>
        <item m="1" x="1028"/>
        <item m="1" x="1027"/>
        <item m="1" x="1026"/>
        <item m="1" x="1025"/>
        <item m="1" x="1024"/>
        <item m="1" x="1023"/>
        <item m="1" x="1022"/>
        <item m="1" x="1021"/>
        <item m="1" x="1020"/>
        <item m="1" x="1019"/>
        <item m="1" x="1018"/>
        <item m="1" x="1017"/>
        <item m="1" x="1016"/>
        <item m="1" x="1015"/>
        <item m="1" x="1014"/>
        <item m="1" x="1013"/>
        <item m="1" x="1012"/>
        <item m="1" x="1011"/>
        <item m="1" x="1010"/>
        <item m="1" x="1268"/>
        <item m="1" x="1267"/>
        <item m="1" x="1266"/>
        <item m="1" x="1265"/>
        <item m="1" x="1264"/>
        <item m="1" x="1263"/>
        <item m="1" x="1262"/>
        <item m="1" x="1261"/>
        <item m="1" x="1260"/>
        <item m="1" x="1259"/>
        <item m="1" x="1258"/>
        <item m="1" x="1257"/>
        <item m="1" x="1256"/>
        <item m="1" x="1255"/>
        <item m="1" x="1254"/>
        <item m="1" x="1253"/>
        <item m="1" x="1252"/>
        <item m="1" x="1251"/>
        <item m="1" x="1250"/>
        <item m="1" x="1249"/>
        <item m="1" x="1248"/>
        <item m="1" x="1247"/>
        <item m="1" x="1246"/>
        <item m="1" x="1245"/>
        <item m="1" x="1244"/>
        <item m="1" x="1243"/>
        <item m="1" x="1242"/>
        <item m="1" x="1241"/>
        <item m="1" x="1240"/>
        <item m="1" x="1239"/>
        <item m="1" x="1238"/>
        <item m="1" x="1237"/>
        <item m="1" x="1236"/>
        <item m="1" x="1235"/>
        <item m="1" x="1234"/>
        <item m="1" x="1233"/>
        <item m="1" x="1232"/>
        <item m="1" x="1231"/>
        <item m="1" x="3355"/>
        <item m="1" x="3354"/>
        <item m="1" x="3353"/>
        <item m="1" x="3352"/>
        <item m="1" x="3351"/>
        <item m="1" x="3350"/>
        <item m="1" x="3349"/>
        <item m="1" x="3348"/>
        <item m="1" x="3347"/>
        <item m="1" x="3346"/>
        <item m="1" x="3345"/>
        <item m="1" x="3344"/>
        <item m="1" x="3343"/>
        <item m="1" x="3342"/>
        <item m="1" x="3341"/>
        <item m="1" x="3340"/>
        <item m="1" x="3339"/>
        <item m="1" x="3338"/>
        <item m="1" x="3337"/>
        <item m="1" x="3336"/>
        <item m="1" x="3335"/>
        <item m="1" x="3334"/>
        <item m="1" x="3333"/>
        <item m="1" x="3332"/>
        <item m="1" x="3331"/>
        <item m="1" x="3330"/>
        <item m="1" x="3329"/>
        <item m="1" x="3328"/>
        <item m="1" x="3327"/>
        <item m="1" x="3326"/>
        <item m="1" x="3325"/>
        <item m="1" x="3324"/>
        <item m="1" x="3323"/>
        <item m="1" x="3322"/>
        <item m="1" x="3321"/>
        <item m="1" x="3320"/>
        <item m="1" x="3319"/>
        <item m="1" x="3318"/>
        <item m="1" x="3317"/>
        <item m="1" x="3316"/>
        <item m="1" x="3315"/>
        <item m="1" x="3314"/>
        <item m="1" x="3313"/>
        <item m="1" x="3312"/>
        <item m="1" x="3311"/>
        <item m="1" x="3310"/>
        <item m="1" x="3309"/>
        <item m="1" x="3308"/>
        <item m="1" x="3307"/>
        <item m="1" x="3306"/>
        <item m="1" x="3305"/>
        <item m="1" x="3304"/>
        <item m="1" x="3303"/>
        <item m="1" x="3302"/>
        <item m="1" x="3301"/>
        <item m="1" x="3300"/>
        <item m="1" x="3299"/>
        <item m="1" x="3298"/>
        <item m="1" x="3297"/>
        <item m="1" x="3296"/>
        <item m="1" x="3295"/>
        <item m="1" x="3294"/>
        <item m="1" x="3293"/>
        <item m="1" x="3292"/>
        <item m="1" x="3291"/>
        <item m="1" x="3290"/>
        <item m="1" x="3289"/>
        <item m="1" x="3288"/>
        <item m="1" x="3287"/>
        <item m="1" x="3286"/>
        <item m="1" x="3285"/>
        <item m="1" x="3284"/>
        <item m="1" x="3283"/>
        <item m="1" x="3282"/>
        <item m="1" x="3281"/>
        <item m="1" x="3280"/>
        <item m="1" x="3279"/>
        <item m="1" x="3278"/>
        <item m="1" x="3277"/>
        <item m="1" x="3276"/>
        <item m="1" x="3275"/>
        <item m="1" x="3274"/>
        <item m="1" x="3273"/>
        <item m="1" x="3272"/>
        <item m="1" x="3271"/>
        <item m="1" x="3270"/>
        <item m="1" x="3269"/>
        <item m="1" x="3268"/>
        <item m="1" x="3267"/>
        <item m="1" x="3266"/>
        <item m="1" x="3265"/>
        <item m="1" x="3264"/>
        <item m="1" x="3263"/>
        <item m="1" x="3262"/>
        <item m="1" x="3261"/>
        <item m="1" x="3439"/>
        <item m="1" x="3438"/>
        <item m="1" x="3437"/>
        <item m="1" x="3436"/>
        <item m="1" x="3435"/>
        <item m="1" x="3434"/>
        <item m="1" x="3433"/>
        <item m="1" x="3432"/>
        <item m="1" x="3431"/>
        <item m="1" x="3430"/>
        <item m="1" x="3429"/>
        <item m="1" x="3428"/>
        <item m="1" x="3427"/>
        <item m="1" x="3426"/>
        <item m="1" x="3425"/>
        <item m="1" x="3424"/>
        <item m="1" x="3423"/>
        <item m="1" x="3422"/>
        <item m="1" x="3421"/>
        <item m="1" x="3420"/>
        <item m="1" x="3419"/>
        <item m="1" x="3418"/>
        <item m="1" x="3417"/>
        <item m="1" x="3416"/>
        <item m="1" x="3415"/>
        <item m="1" x="3414"/>
        <item m="1" x="3413"/>
        <item m="1" x="3412"/>
        <item m="1" x="3411"/>
        <item m="1" x="3410"/>
        <item m="1" x="3409"/>
        <item m="1" x="3408"/>
        <item m="1" x="3407"/>
        <item m="1" x="3406"/>
        <item m="1" x="3405"/>
        <item m="1" x="3404"/>
        <item m="1" x="3403"/>
        <item m="1" x="3402"/>
        <item m="1" x="3401"/>
        <item m="1" x="3400"/>
        <item m="1" x="3399"/>
        <item m="1" x="3398"/>
        <item m="1" x="3397"/>
        <item m="1" x="3396"/>
        <item m="1" x="3395"/>
        <item m="1" x="3394"/>
        <item m="1" x="3393"/>
        <item m="1" x="3392"/>
        <item m="1" x="3391"/>
        <item m="1" x="3390"/>
        <item m="1" x="3389"/>
        <item m="1" x="3388"/>
        <item m="1" x="3387"/>
        <item m="1" x="3386"/>
        <item m="1" x="3385"/>
        <item m="1" x="3384"/>
        <item m="1" x="3383"/>
        <item m="1" x="3382"/>
        <item m="1" x="3381"/>
        <item m="1" x="3380"/>
        <item m="1" x="3379"/>
        <item m="1" x="3378"/>
        <item m="1" x="3377"/>
        <item m="1" x="3376"/>
        <item m="1" x="3375"/>
        <item m="1" x="3374"/>
        <item m="1" x="3373"/>
        <item m="1" x="3372"/>
        <item m="1" x="3371"/>
        <item m="1" x="3370"/>
        <item m="1" x="3369"/>
        <item m="1" x="3565"/>
        <item m="1" x="3564"/>
        <item m="1" x="3563"/>
        <item m="1" x="3562"/>
        <item m="1" x="3561"/>
        <item m="1" x="3560"/>
        <item m="1" x="3559"/>
        <item m="1" x="3558"/>
        <item m="1" x="3557"/>
        <item m="1" x="3556"/>
        <item m="1" x="3555"/>
        <item m="1" x="3554"/>
        <item m="1" x="3553"/>
        <item m="1" x="3552"/>
        <item m="1" x="3551"/>
        <item m="1" x="3550"/>
        <item m="1" x="3549"/>
        <item m="1" x="3548"/>
        <item m="1" x="3547"/>
        <item m="1" x="3546"/>
        <item m="1" x="3545"/>
        <item m="1" x="3544"/>
        <item m="1" x="3543"/>
        <item m="1" x="3542"/>
        <item m="1" x="3541"/>
        <item m="1" x="3540"/>
        <item m="1" x="3539"/>
        <item m="1" x="3538"/>
        <item m="1" x="3537"/>
        <item m="1" x="3536"/>
        <item m="1" x="3535"/>
        <item m="1" x="3534"/>
        <item m="1" x="3533"/>
        <item m="1" x="3532"/>
        <item m="1" x="3531"/>
        <item m="1" x="3530"/>
        <item m="1" x="3529"/>
        <item m="1" x="3528"/>
        <item m="1" x="3527"/>
        <item m="1" x="3526"/>
        <item m="1" x="3525"/>
        <item m="1" x="3524"/>
        <item m="1" x="3523"/>
        <item m="1" x="3522"/>
        <item m="1" x="3521"/>
        <item m="1" x="3520"/>
        <item m="1" x="3519"/>
        <item m="1" x="3518"/>
        <item m="1" x="3517"/>
        <item m="1" x="3516"/>
        <item m="1" x="3515"/>
        <item m="1" x="3514"/>
        <item m="1" x="3513"/>
        <item m="1" x="3512"/>
        <item m="1" x="3511"/>
        <item m="1" x="3510"/>
        <item m="1" x="3509"/>
        <item m="1" x="3508"/>
        <item m="1" x="3507"/>
        <item m="1" x="3506"/>
        <item m="1" x="3505"/>
        <item m="1" x="3504"/>
        <item m="1" x="3503"/>
        <item m="1" x="3502"/>
        <item m="1" x="3501"/>
        <item m="1" x="3500"/>
        <item m="1" x="3499"/>
        <item m="1" x="3498"/>
        <item m="1" x="3497"/>
        <item m="1" x="3496"/>
        <item m="1" x="3495"/>
        <item m="1" x="3494"/>
        <item m="1" x="3493"/>
        <item m="1" x="3492"/>
        <item m="1" x="3491"/>
        <item m="1" x="3490"/>
        <item m="1" x="3489"/>
        <item m="1" x="3488"/>
        <item m="1" x="3487"/>
        <item m="1" x="3486"/>
        <item m="1" x="3485"/>
        <item m="1" x="3484"/>
        <item m="1" x="3483"/>
        <item m="1" x="3482"/>
        <item m="1" x="3481"/>
        <item m="1" x="3480"/>
        <item m="1" x="3479"/>
        <item m="1" x="3478"/>
        <item m="1" x="3477"/>
        <item m="1" x="3476"/>
        <item m="1" x="3475"/>
        <item m="1" x="3474"/>
        <item m="1" x="3473"/>
        <item m="1" x="3472"/>
        <item m="1" x="3471"/>
        <item m="1" x="3470"/>
        <item m="1" x="3469"/>
        <item m="1" x="3468"/>
        <item m="1" x="3467"/>
        <item m="1" x="3466"/>
        <item m="1" x="3465"/>
        <item m="1" x="3464"/>
        <item m="1" x="3463"/>
        <item m="1" x="3462"/>
        <item m="1" x="3461"/>
        <item m="1" x="3460"/>
        <item m="1" x="3459"/>
        <item m="1" x="3458"/>
        <item m="1" x="3457"/>
        <item m="1" x="3456"/>
        <item m="1" x="3455"/>
        <item m="1" x="3454"/>
        <item m="1" x="3453"/>
        <item m="1" x="3452"/>
        <item m="1" x="3451"/>
        <item m="1" x="3450"/>
        <item m="1" x="3449"/>
        <item m="1" x="3448"/>
        <item m="1" x="3447"/>
        <item m="1" x="3446"/>
        <item m="1" x="3445"/>
        <item m="1" x="3444"/>
        <item m="1" x="3443"/>
        <item m="1" x="3442"/>
        <item m="1" x="3441"/>
        <item m="1" x="3440"/>
        <item m="1" x="3872"/>
        <item m="1" x="3871"/>
        <item m="1" x="3870"/>
        <item m="1" x="3869"/>
        <item m="1" x="3868"/>
        <item m="1" x="3867"/>
        <item m="1" x="3866"/>
        <item m="1" x="3865"/>
        <item m="1" x="3864"/>
        <item m="1" x="3863"/>
        <item m="1" x="3862"/>
        <item m="1" x="3861"/>
        <item m="1" x="3860"/>
        <item m="1" x="3859"/>
        <item m="1" x="3858"/>
        <item m="1" x="3857"/>
        <item m="1" x="3856"/>
        <item m="1" x="3855"/>
        <item m="1" x="3854"/>
        <item m="1" x="3853"/>
        <item m="1" x="3852"/>
        <item m="1" x="3851"/>
        <item m="1" x="3850"/>
        <item m="1" x="3849"/>
        <item m="1" x="3848"/>
        <item m="1" x="3847"/>
        <item m="1" x="3846"/>
        <item m="1" x="3845"/>
        <item m="1" x="3844"/>
        <item m="1" x="3843"/>
        <item m="1" x="3842"/>
        <item m="1" x="3841"/>
        <item m="1" x="3840"/>
        <item m="1" x="3839"/>
        <item m="1" x="3838"/>
        <item m="1" x="3837"/>
        <item m="1" x="3836"/>
        <item m="1" x="3835"/>
        <item m="1" x="3834"/>
        <item m="1" x="3833"/>
        <item m="1" x="3832"/>
        <item m="1" x="3831"/>
        <item m="1" x="3830"/>
        <item m="1" x="3829"/>
        <item m="1" x="3828"/>
        <item m="1" x="3827"/>
        <item m="1" x="3826"/>
        <item m="1" x="3825"/>
        <item m="1" x="3824"/>
        <item m="1" x="3823"/>
        <item m="1" x="3822"/>
        <item m="1" x="3821"/>
        <item m="1" x="3820"/>
        <item m="1" x="3819"/>
        <item m="1" x="3818"/>
        <item m="1" x="3817"/>
        <item m="1" x="3816"/>
        <item m="1" x="3815"/>
        <item m="1" x="3814"/>
        <item m="1" x="3813"/>
        <item m="1" x="3812"/>
        <item m="1" x="3811"/>
        <item m="1" x="3810"/>
        <item m="1" x="3809"/>
        <item m="1" x="3808"/>
        <item m="1" x="3807"/>
        <item m="1" x="3806"/>
        <item m="1" x="3805"/>
        <item m="1" x="3804"/>
        <item m="1" x="3803"/>
        <item m="1" x="3802"/>
        <item m="1" x="3801"/>
        <item m="1" x="3800"/>
        <item m="1" x="3799"/>
        <item m="1" x="3798"/>
        <item m="1" x="3797"/>
        <item m="1" x="3796"/>
        <item m="1" x="3795"/>
        <item m="1" x="3794"/>
        <item m="1" x="3793"/>
        <item m="1" x="3792"/>
        <item m="1" x="3791"/>
        <item m="1" x="3790"/>
        <item m="1" x="3789"/>
        <item m="1" x="3788"/>
        <item m="1" x="3787"/>
        <item m="1" x="3786"/>
        <item m="1" x="3785"/>
        <item m="1" x="3784"/>
        <item m="1" x="3783"/>
        <item m="1" x="3782"/>
        <item m="1" x="3781"/>
        <item m="1" x="3780"/>
        <item m="1" x="3779"/>
        <item m="1" x="3778"/>
        <item m="1" x="3777"/>
        <item m="1" x="3776"/>
        <item m="1" x="3775"/>
        <item m="1" x="3774"/>
        <item m="1" x="3773"/>
        <item m="1" x="3772"/>
        <item m="1" x="3771"/>
        <item m="1" x="3770"/>
        <item m="1" x="3769"/>
        <item m="1" x="3768"/>
        <item m="1" x="3767"/>
        <item m="1" x="3766"/>
        <item m="1" x="3765"/>
        <item m="1" x="3764"/>
        <item m="1" x="3763"/>
        <item m="1" x="3762"/>
        <item m="1" x="3761"/>
        <item m="1" x="3760"/>
        <item m="1" x="3759"/>
        <item m="1" x="3758"/>
        <item m="1" x="3757"/>
        <item m="1" x="3756"/>
        <item m="1" x="3755"/>
        <item m="1" x="3754"/>
        <item m="1" x="3753"/>
        <item m="1" x="3752"/>
        <item m="1" x="3751"/>
        <item m="1" x="3750"/>
        <item m="1" x="3749"/>
        <item m="1" x="3748"/>
        <item m="1" x="3747"/>
        <item m="1" x="3746"/>
        <item m="1" x="3745"/>
        <item m="1" x="3744"/>
        <item m="1" x="3743"/>
        <item m="1" x="3742"/>
        <item m="1" x="3741"/>
        <item m="1" x="3740"/>
        <item m="1" x="3739"/>
        <item m="1" x="3738"/>
        <item m="1" x="3737"/>
        <item m="1" x="3736"/>
        <item m="1" x="3735"/>
        <item m="1" x="3734"/>
        <item m="1" x="3733"/>
        <item m="1" x="3732"/>
        <item m="1" x="3731"/>
        <item m="1" x="3730"/>
        <item m="1" x="3729"/>
        <item m="1" x="3728"/>
        <item m="1" x="3727"/>
        <item m="1" x="3726"/>
        <item m="1" x="3725"/>
        <item m="1" x="3724"/>
        <item m="1" x="3723"/>
        <item m="1" x="3722"/>
        <item m="1" x="3721"/>
        <item m="1" x="3720"/>
        <item m="1" x="3719"/>
        <item m="1" x="3718"/>
        <item m="1" x="3717"/>
        <item m="1" x="3716"/>
        <item m="1" x="3715"/>
        <item m="1" x="3714"/>
        <item m="1" x="3713"/>
        <item m="1" x="3712"/>
        <item m="1" x="3711"/>
        <item m="1" x="3710"/>
        <item m="1" x="3709"/>
        <item m="1" x="3708"/>
        <item m="1" x="3707"/>
        <item m="1" x="3706"/>
        <item m="1" x="3705"/>
        <item m="1" x="3704"/>
        <item m="1" x="3703"/>
        <item m="1" x="3702"/>
        <item m="1" x="3701"/>
        <item m="1" x="3700"/>
        <item m="1" x="3699"/>
        <item m="1" x="3698"/>
        <item m="1" x="3697"/>
        <item m="1" x="3696"/>
        <item m="1" x="3695"/>
        <item m="1" x="3694"/>
        <item m="1" x="3693"/>
        <item m="1" x="3692"/>
        <item m="1" x="3691"/>
        <item m="1" x="3690"/>
        <item m="1" x="3689"/>
        <item m="1" x="3688"/>
        <item m="1" x="3687"/>
        <item m="1" x="3686"/>
        <item m="1" x="3685"/>
        <item m="1" x="3684"/>
        <item m="1" x="3683"/>
        <item m="1" x="3682"/>
        <item m="1" x="3681"/>
        <item m="1" x="3680"/>
        <item m="1" x="3679"/>
        <item m="1" x="3678"/>
        <item m="1" x="3677"/>
        <item m="1" x="3676"/>
        <item m="1" x="3675"/>
        <item m="1" x="3674"/>
        <item m="1" x="3673"/>
        <item m="1" x="3672"/>
        <item m="1" x="3671"/>
        <item m="1" x="3670"/>
        <item m="1" x="3669"/>
        <item m="1" x="3668"/>
        <item m="1" x="3667"/>
        <item m="1" x="3666"/>
        <item m="1" x="3665"/>
        <item m="1" x="3664"/>
        <item m="1" x="3663"/>
        <item m="1" x="3662"/>
        <item m="1" x="3661"/>
        <item m="1" x="3660"/>
        <item m="1" x="3659"/>
        <item m="1" x="3658"/>
        <item m="1" x="3657"/>
        <item m="1" x="3656"/>
        <item m="1" x="3655"/>
        <item m="1" x="3654"/>
        <item m="1" x="3653"/>
        <item m="1" x="3652"/>
        <item m="1" x="3651"/>
        <item m="1" x="3650"/>
        <item m="1" x="3649"/>
        <item m="1" x="3648"/>
        <item m="1" x="3647"/>
        <item m="1" x="3646"/>
        <item m="1" x="3645"/>
        <item m="1" x="3644"/>
        <item m="1" x="3643"/>
        <item m="1" x="3642"/>
        <item m="1" x="3641"/>
        <item m="1" x="3640"/>
        <item m="1" x="3639"/>
        <item m="1" x="3638"/>
        <item m="1" x="3637"/>
        <item m="1" x="3636"/>
        <item m="1" x="3635"/>
        <item m="1" x="3634"/>
        <item m="1" x="3633"/>
        <item m="1" x="3632"/>
        <item m="1" x="3631"/>
        <item m="1" x="3630"/>
        <item m="1" x="3629"/>
        <item m="1" x="3628"/>
        <item m="1" x="3627"/>
        <item m="1" x="3626"/>
        <item m="1" x="3625"/>
        <item m="1" x="3624"/>
        <item m="1" x="3623"/>
        <item m="1" x="3622"/>
        <item m="1" x="3621"/>
        <item m="1" x="3620"/>
        <item m="1" x="3619"/>
        <item m="1" x="3618"/>
        <item m="1" x="3617"/>
        <item m="1" x="3616"/>
        <item m="1" x="3615"/>
        <item m="1" x="3614"/>
        <item m="1" x="3613"/>
        <item m="1" x="3612"/>
        <item m="1" x="3611"/>
        <item m="1" x="3610"/>
        <item m="1" x="3609"/>
        <item m="1" x="3608"/>
        <item m="1" x="3607"/>
        <item m="1" x="3606"/>
        <item m="1" x="3605"/>
        <item m="1" x="3604"/>
        <item m="1" x="3603"/>
        <item m="1" x="3602"/>
        <item m="1" x="3601"/>
        <item m="1" x="3600"/>
        <item m="1" x="3599"/>
        <item m="1" x="3598"/>
        <item m="1" x="3597"/>
        <item m="1" x="3596"/>
        <item m="1" x="3595"/>
        <item m="1" x="3594"/>
        <item m="1" x="3593"/>
        <item m="1" x="3592"/>
        <item m="1" x="3591"/>
        <item m="1" x="3590"/>
        <item m="1" x="3589"/>
        <item m="1" x="3588"/>
        <item m="1" x="3587"/>
        <item m="1" x="3586"/>
        <item m="1" x="3585"/>
        <item m="1" x="3584"/>
        <item m="1" x="3583"/>
        <item m="1" x="3582"/>
        <item m="1" x="3581"/>
        <item m="1" x="3580"/>
        <item m="1" x="3579"/>
        <item m="1" x="3578"/>
        <item m="1" x="3577"/>
        <item m="1" x="3576"/>
        <item m="1" x="3575"/>
        <item m="1" x="3574"/>
        <item m="1" x="3573"/>
        <item m="1" x="3572"/>
        <item m="1" x="3571"/>
        <item m="1" x="3570"/>
        <item m="1" x="3569"/>
        <item m="1" x="3568"/>
        <item m="1" x="3567"/>
        <item m="1" x="3566"/>
        <item m="1" x="4057"/>
        <item m="1" x="4056"/>
        <item m="1" x="4055"/>
        <item m="1" x="4054"/>
        <item m="1" x="4053"/>
        <item m="1" x="4052"/>
        <item m="1" x="4051"/>
        <item m="1" x="4050"/>
        <item m="1" x="4049"/>
        <item m="1" x="4048"/>
        <item m="1" x="4047"/>
        <item m="1" x="4046"/>
        <item m="1" x="4045"/>
        <item m="1" x="4044"/>
        <item m="1" x="4043"/>
        <item m="1" x="4042"/>
        <item m="1" x="4041"/>
        <item m="1" x="4040"/>
        <item m="1" x="4039"/>
        <item m="1" x="4038"/>
        <item m="1" x="4037"/>
        <item m="1" x="4036"/>
        <item m="1" x="4035"/>
        <item m="1" x="4034"/>
        <item m="1" x="4033"/>
        <item m="1" x="4032"/>
        <item m="1" x="4031"/>
        <item m="1" x="4030"/>
        <item m="1" x="4029"/>
        <item m="1" x="4028"/>
        <item m="1" x="4027"/>
        <item m="1" x="4026"/>
        <item m="1" x="4025"/>
        <item m="1" x="4024"/>
        <item m="1" x="4023"/>
        <item m="1" x="4022"/>
        <item m="1" x="4021"/>
        <item m="1" x="4020"/>
        <item m="1" x="4019"/>
        <item m="1" x="4018"/>
        <item m="1" x="4017"/>
        <item m="1" x="4016"/>
        <item m="1" x="4015"/>
        <item m="1" x="4014"/>
        <item m="1" x="4013"/>
        <item m="1" x="4012"/>
        <item m="1" x="4011"/>
        <item m="1" x="4010"/>
        <item m="1" x="4009"/>
        <item m="1" x="4008"/>
        <item m="1" x="4007"/>
        <item m="1" x="4006"/>
        <item m="1" x="4005"/>
        <item m="1" x="4004"/>
        <item m="1" x="4003"/>
        <item m="1" x="4002"/>
        <item m="1" x="4001"/>
        <item m="1" x="4000"/>
        <item m="1" x="3999"/>
        <item m="1" x="3998"/>
        <item m="1" x="3997"/>
        <item m="1" x="3996"/>
        <item m="1" x="3995"/>
        <item m="1" x="3994"/>
        <item m="1" x="3993"/>
        <item m="1" x="3992"/>
        <item m="1" x="3991"/>
        <item m="1" x="3990"/>
        <item m="1" x="3989"/>
        <item m="1" x="3988"/>
        <item m="1" x="3987"/>
        <item m="1" x="3986"/>
        <item m="1" x="3985"/>
        <item m="1" x="3984"/>
        <item m="1" x="3983"/>
        <item m="1" x="3982"/>
        <item m="1" x="3981"/>
        <item m="1" x="3980"/>
        <item m="1" x="3979"/>
        <item m="1" x="3978"/>
        <item m="1" x="3977"/>
        <item m="1" x="3976"/>
        <item m="1" x="3975"/>
        <item m="1" x="3974"/>
        <item m="1" x="3973"/>
        <item m="1" x="3972"/>
        <item m="1" x="3971"/>
        <item m="1" x="3970"/>
        <item m="1" x="3969"/>
        <item m="1" x="3968"/>
        <item m="1" x="3967"/>
        <item m="1" x="3966"/>
        <item m="1" x="3965"/>
        <item m="1" x="3964"/>
        <item m="1" x="3963"/>
        <item m="1" x="3962"/>
        <item m="1" x="3961"/>
        <item m="1" x="3960"/>
        <item m="1" x="3959"/>
        <item m="1" x="3958"/>
        <item m="1" x="3957"/>
        <item m="1" x="3956"/>
        <item m="1" x="3955"/>
        <item m="1" x="3954"/>
        <item m="1" x="3953"/>
        <item m="1" x="3952"/>
        <item m="1" x="3951"/>
        <item m="1" x="3950"/>
        <item m="1" x="3949"/>
        <item m="1" x="3948"/>
        <item m="1" x="3947"/>
        <item m="1" x="3946"/>
        <item m="1" x="3945"/>
        <item m="1" x="3944"/>
        <item m="1" x="3943"/>
        <item m="1" x="3942"/>
        <item m="1" x="3941"/>
        <item m="1" x="3940"/>
        <item m="1" x="3939"/>
        <item m="1" x="3938"/>
        <item m="1" x="3937"/>
        <item m="1" x="3936"/>
        <item m="1" x="3935"/>
        <item m="1" x="3934"/>
        <item m="1" x="3933"/>
        <item m="1" x="3932"/>
        <item m="1" x="3931"/>
        <item m="1" x="3930"/>
        <item m="1" x="3929"/>
        <item m="1" x="3928"/>
        <item m="1" x="3927"/>
        <item m="1" x="3926"/>
        <item m="1" x="3925"/>
        <item m="1" x="3924"/>
        <item m="1" x="3923"/>
        <item m="1" x="3922"/>
        <item m="1" x="3921"/>
        <item m="1" x="3920"/>
        <item m="1" x="3919"/>
        <item m="1" x="3918"/>
        <item m="1" x="3917"/>
        <item m="1" x="3916"/>
        <item m="1" x="3915"/>
        <item m="1" x="3914"/>
        <item m="1" x="3913"/>
        <item m="1" x="3912"/>
        <item m="1" x="3911"/>
        <item m="1" x="3910"/>
        <item m="1" x="3909"/>
        <item m="1" x="3908"/>
        <item m="1" x="3907"/>
        <item m="1" x="3906"/>
        <item m="1" x="3905"/>
        <item m="1" x="3904"/>
        <item m="1" x="3903"/>
        <item m="1" x="3902"/>
        <item m="1" x="3901"/>
        <item m="1" x="3900"/>
        <item m="1" x="3899"/>
        <item m="1" x="3898"/>
        <item m="1" x="3897"/>
        <item m="1" x="3896"/>
        <item m="1" x="3895"/>
        <item m="1" x="3894"/>
        <item m="1" x="3893"/>
        <item m="1" x="3892"/>
        <item m="1" x="3891"/>
        <item m="1" x="3890"/>
        <item m="1" x="3889"/>
        <item m="1" x="3888"/>
        <item m="1" x="3887"/>
        <item m="1" x="3886"/>
        <item m="1" x="3885"/>
        <item m="1" x="3884"/>
        <item m="1" x="3883"/>
        <item m="1" x="3882"/>
        <item m="1" x="3881"/>
        <item m="1" x="3880"/>
        <item m="1" x="3879"/>
        <item m="1" x="3878"/>
        <item m="1" x="3877"/>
        <item m="1" x="3876"/>
        <item m="1" x="3875"/>
        <item m="1" x="3874"/>
        <item m="1" x="3873"/>
        <item m="1" x="4248"/>
        <item m="1" x="4247"/>
        <item m="1" x="4246"/>
        <item m="1" x="4245"/>
        <item m="1" x="4244"/>
        <item m="1" x="4243"/>
        <item m="1" x="4242"/>
        <item m="1" x="4241"/>
        <item m="1" x="4240"/>
        <item m="1" x="4239"/>
        <item m="1" x="4238"/>
        <item m="1" x="4237"/>
        <item m="1" x="4236"/>
        <item m="1" x="4235"/>
        <item m="1" x="4234"/>
        <item m="1" x="4233"/>
        <item m="1" x="4232"/>
        <item m="1" x="4231"/>
        <item m="1" x="4230"/>
        <item m="1" x="4229"/>
        <item m="1" x="4228"/>
        <item m="1" x="4227"/>
        <item m="1" x="4226"/>
        <item m="1" x="4225"/>
        <item m="1" x="4224"/>
        <item m="1" x="4223"/>
        <item m="1" x="4222"/>
        <item m="1" x="4221"/>
        <item m="1" x="4220"/>
        <item m="1" x="4219"/>
        <item m="1" x="4218"/>
        <item m="1" x="4217"/>
        <item m="1" x="4216"/>
        <item m="1" x="4215"/>
        <item m="1" x="4214"/>
        <item m="1" x="4213"/>
        <item m="1" x="4212"/>
        <item m="1" x="4211"/>
        <item m="1" x="4210"/>
        <item m="1" x="4209"/>
        <item m="1" x="4208"/>
        <item m="1" x="4207"/>
        <item m="1" x="4206"/>
        <item m="1" x="4205"/>
        <item m="1" x="4204"/>
        <item m="1" x="4203"/>
        <item m="1" x="4202"/>
        <item m="1" x="4201"/>
        <item m="1" x="4200"/>
        <item m="1" x="4199"/>
        <item m="1" x="4198"/>
        <item m="1" x="4197"/>
        <item m="1" x="4196"/>
        <item m="1" x="4195"/>
        <item m="1" x="4194"/>
        <item m="1" x="4193"/>
        <item m="1" x="4192"/>
        <item m="1" x="4191"/>
        <item m="1" x="4190"/>
        <item m="1" x="3368"/>
        <item m="1" x="3367"/>
        <item m="1" x="3366"/>
        <item m="1" x="3365"/>
        <item m="1" x="3364"/>
        <item m="1" x="3363"/>
        <item m="1" x="3362"/>
        <item m="1" x="3361"/>
        <item m="1" x="3360"/>
        <item m="1" x="3359"/>
        <item m="1" x="3358"/>
        <item m="1" x="3357"/>
        <item m="1" x="3356"/>
        <item m="1" x="4189"/>
        <item m="1" x="4188"/>
        <item m="1" x="4187"/>
        <item m="1" x="4186"/>
        <item m="1" x="4185"/>
        <item m="1" x="4184"/>
        <item m="1" x="4183"/>
        <item m="1" x="4182"/>
        <item m="1" x="4181"/>
        <item m="1" x="4180"/>
        <item m="1" x="4179"/>
        <item m="1" x="4178"/>
        <item m="1" x="4177"/>
        <item m="1" x="4176"/>
        <item m="1" x="4175"/>
        <item m="1" x="4174"/>
        <item m="1" x="4173"/>
        <item m="1" x="4172"/>
        <item m="1" x="4171"/>
        <item m="1" x="4170"/>
        <item m="1" x="4169"/>
        <item m="1" x="4168"/>
        <item m="1" x="4167"/>
        <item m="1" x="4166"/>
        <item m="1" x="4165"/>
        <item m="1" x="4164"/>
        <item m="1" x="4163"/>
        <item m="1" x="4162"/>
        <item m="1" x="4161"/>
        <item m="1" x="4160"/>
        <item m="1" x="4159"/>
        <item m="1" x="4158"/>
        <item m="1" x="4157"/>
        <item m="1" x="4156"/>
        <item m="1" x="4155"/>
        <item m="1" x="4154"/>
        <item m="1" x="4153"/>
        <item m="1" x="4152"/>
        <item m="1" x="4151"/>
        <item m="1" x="4150"/>
        <item m="1" x="4149"/>
        <item m="1" x="4148"/>
        <item m="1" x="4147"/>
        <item m="1" x="4146"/>
        <item m="1" x="4145"/>
        <item m="1" x="4144"/>
        <item m="1" x="4143"/>
        <item m="1" x="4142"/>
        <item m="1" x="4141"/>
        <item m="1" x="4140"/>
        <item m="1" x="4139"/>
        <item m="1" x="4138"/>
        <item m="1" x="4137"/>
        <item m="1" x="4136"/>
        <item m="1" x="4135"/>
        <item m="1" x="4134"/>
        <item m="1" x="4133"/>
        <item m="1" x="4132"/>
        <item m="1" x="4131"/>
        <item m="1" x="4130"/>
        <item m="1" x="4129"/>
        <item m="1" x="4128"/>
        <item m="1" x="4127"/>
        <item m="1" x="4126"/>
        <item m="1" x="4125"/>
        <item m="1" x="4124"/>
        <item m="1" x="4123"/>
        <item m="1" x="4122"/>
        <item m="1" x="4121"/>
        <item m="1" x="4120"/>
        <item m="1" x="4119"/>
        <item m="1" x="4118"/>
        <item m="1" x="4117"/>
        <item m="1" x="4116"/>
        <item m="1" x="4115"/>
        <item m="1" x="4114"/>
        <item m="1" x="4113"/>
        <item m="1" x="4112"/>
        <item m="1" x="4111"/>
        <item m="1" x="4110"/>
        <item m="1" x="4109"/>
        <item m="1" x="4108"/>
        <item m="1" x="4107"/>
        <item m="1" x="4106"/>
        <item m="1" x="4105"/>
        <item m="1" x="4104"/>
        <item m="1" x="4103"/>
        <item m="1" x="4102"/>
        <item m="1" x="4101"/>
        <item m="1" x="4100"/>
        <item m="1" x="4099"/>
        <item m="1" x="4098"/>
        <item m="1" x="4097"/>
        <item m="1" x="4096"/>
        <item m="1" x="4095"/>
        <item m="1" x="4094"/>
        <item m="1" x="4093"/>
        <item m="1" x="4092"/>
        <item m="1" x="4091"/>
        <item m="1" x="4090"/>
        <item m="1" x="4089"/>
        <item m="1" x="4088"/>
        <item m="1" x="4087"/>
        <item m="1" x="4086"/>
        <item m="1" x="4085"/>
        <item m="1" x="4084"/>
        <item m="1" x="4083"/>
        <item m="1" x="4082"/>
        <item m="1" x="4081"/>
        <item m="1" x="4080"/>
        <item m="1" x="4079"/>
        <item m="1" x="4078"/>
        <item m="1" x="4077"/>
        <item m="1" x="4076"/>
        <item m="1" x="4075"/>
        <item m="1" x="4074"/>
        <item m="1" x="4073"/>
        <item m="1" x="4072"/>
        <item m="1" x="4071"/>
        <item m="1" x="4070"/>
        <item m="1" x="4069"/>
        <item m="1" x="4068"/>
        <item m="1" x="4067"/>
        <item m="1" x="4066"/>
        <item m="1" x="4065"/>
        <item m="1" x="4064"/>
        <item m="1" x="4063"/>
        <item m="1" x="4062"/>
        <item m="1" x="4061"/>
        <item m="1" x="4060"/>
        <item m="1" x="4059"/>
        <item m="1" x="4058"/>
        <item m="1" x="4616"/>
        <item m="1" x="4615"/>
        <item m="1" x="4614"/>
        <item m="1" x="4613"/>
        <item m="1" x="4612"/>
        <item m="1" x="4611"/>
        <item m="1" x="4610"/>
        <item m="1" x="4609"/>
        <item m="1" x="4608"/>
        <item m="1" x="4607"/>
        <item m="1" x="4606"/>
        <item m="1" x="4605"/>
        <item m="1" x="4604"/>
        <item m="1" x="4603"/>
        <item m="1" x="4602"/>
        <item m="1" x="4601"/>
        <item m="1" x="4600"/>
        <item m="1" x="4599"/>
        <item m="1" x="4598"/>
        <item m="1" x="4597"/>
        <item m="1" x="4596"/>
        <item m="1" x="4595"/>
        <item m="1" x="4594"/>
        <item m="1" x="4593"/>
        <item m="1" x="4592"/>
        <item m="1" x="4591"/>
        <item m="1" x="4590"/>
        <item m="1" x="4589"/>
        <item m="1" x="4588"/>
        <item m="1" x="4587"/>
        <item m="1" x="4586"/>
        <item m="1" x="4585"/>
        <item m="1" x="4584"/>
        <item m="1" x="4583"/>
        <item m="1" x="4582"/>
        <item m="1" x="4581"/>
        <item m="1" x="4580"/>
        <item m="1" x="4579"/>
        <item m="1" x="4578"/>
        <item m="1" x="4577"/>
        <item m="1" x="4576"/>
        <item m="1" x="4575"/>
        <item m="1" x="4574"/>
        <item m="1" x="4573"/>
        <item m="1" x="4572"/>
        <item m="1" x="4571"/>
        <item m="1" x="4570"/>
        <item m="1" x="4569"/>
        <item m="1" x="4568"/>
        <item m="1" x="4567"/>
        <item m="1" x="4566"/>
        <item m="1" x="4565"/>
        <item m="1" x="4564"/>
        <item m="1" x="4563"/>
        <item m="1" x="4562"/>
        <item m="1" x="4561"/>
        <item m="1" x="4560"/>
        <item m="1" x="4559"/>
        <item m="1" x="4558"/>
        <item m="1" x="4557"/>
        <item m="1" x="4556"/>
        <item m="1" x="4555"/>
        <item m="1" x="4554"/>
        <item m="1" x="4553"/>
        <item m="1" x="4552"/>
        <item m="1" x="4551"/>
        <item m="1" x="4550"/>
        <item m="1" x="4549"/>
        <item m="1" x="4548"/>
        <item m="1" x="4547"/>
        <item m="1" x="4546"/>
        <item m="1" x="4545"/>
        <item m="1" x="4544"/>
        <item m="1" x="4543"/>
        <item m="1" x="4542"/>
        <item m="1" x="4541"/>
        <item m="1" x="4540"/>
        <item m="1" x="4539"/>
        <item m="1" x="4538"/>
        <item m="1" x="4537"/>
        <item m="1" x="4536"/>
        <item m="1" x="4535"/>
        <item m="1" x="4534"/>
        <item m="1" x="4533"/>
        <item m="1" x="4532"/>
        <item m="1" x="4531"/>
        <item m="1" x="4530"/>
        <item m="1" x="4529"/>
        <item m="1" x="4528"/>
        <item m="1" x="4527"/>
        <item m="1" x="4526"/>
        <item m="1" x="4525"/>
        <item m="1" x="4524"/>
        <item m="1" x="4523"/>
        <item m="1" x="4522"/>
        <item m="1" x="4521"/>
        <item m="1" x="4520"/>
        <item m="1" x="4519"/>
        <item m="1" x="4518"/>
        <item m="1" x="4517"/>
        <item m="1" x="4516"/>
        <item m="1" x="4515"/>
        <item m="1" x="4514"/>
        <item m="1" x="4513"/>
        <item m="1" x="4512"/>
        <item m="1" x="4511"/>
        <item m="1" x="4510"/>
        <item m="1" x="4509"/>
        <item m="1" x="4508"/>
        <item m="1" x="4507"/>
        <item m="1" x="4506"/>
        <item m="1" x="4505"/>
        <item m="1" x="4504"/>
        <item m="1" x="4503"/>
        <item m="1" x="4502"/>
        <item m="1" x="4501"/>
        <item m="1" x="4500"/>
        <item m="1" x="4499"/>
        <item m="1" x="4498"/>
        <item m="1" x="4497"/>
        <item m="1" x="4496"/>
        <item m="1" x="4495"/>
        <item m="1" x="4494"/>
        <item m="1" x="4493"/>
        <item m="1" x="4492"/>
        <item m="1" x="4491"/>
        <item m="1" x="4490"/>
        <item m="1" x="4489"/>
        <item m="1" x="4488"/>
        <item m="1" x="4487"/>
        <item m="1" x="4486"/>
        <item m="1" x="4485"/>
        <item m="1" x="4484"/>
        <item m="1" x="4483"/>
        <item m="1" x="4482"/>
        <item m="1" x="4481"/>
        <item m="1" x="4480"/>
        <item m="1" x="4479"/>
        <item m="1" x="4478"/>
        <item m="1" x="4477"/>
        <item m="1" x="4476"/>
        <item m="1" x="4475"/>
        <item m="1" x="4474"/>
        <item m="1" x="4473"/>
        <item m="1" x="4472"/>
        <item m="1" x="4471"/>
        <item m="1" x="4470"/>
        <item m="1" x="4469"/>
        <item m="1" x="4468"/>
        <item m="1" x="4467"/>
        <item m="1" x="4466"/>
        <item m="1" x="4465"/>
        <item m="1" x="4464"/>
        <item m="1" x="4463"/>
        <item m="1" x="4462"/>
        <item m="1" x="4461"/>
        <item m="1" x="4460"/>
        <item m="1" x="4459"/>
        <item m="1" x="4458"/>
        <item m="1" x="4457"/>
        <item m="1" x="4456"/>
        <item m="1" x="4455"/>
        <item m="1" x="4454"/>
        <item m="1" x="4453"/>
        <item m="1" x="4452"/>
        <item m="1" x="4451"/>
        <item m="1" x="4450"/>
        <item m="1" x="4449"/>
        <item m="1" x="4448"/>
        <item m="1" x="4447"/>
        <item m="1" x="4446"/>
        <item m="1" x="4445"/>
        <item m="1" x="4444"/>
        <item m="1" x="4443"/>
        <item m="1" x="4442"/>
        <item m="1" x="4441"/>
        <item m="1" x="4440"/>
        <item m="1" x="4439"/>
        <item m="1" x="4438"/>
        <item m="1" x="4437"/>
        <item m="1" x="4436"/>
        <item m="1" x="4435"/>
        <item m="1" x="4434"/>
        <item m="1" x="4433"/>
        <item m="1" x="4432"/>
        <item m="1" x="4431"/>
        <item m="1" x="4430"/>
        <item m="1" x="4429"/>
        <item m="1" x="4428"/>
        <item m="1" x="4427"/>
        <item m="1" x="4426"/>
        <item m="1" x="4425"/>
        <item m="1" x="4424"/>
        <item m="1" x="4423"/>
        <item m="1" x="4422"/>
        <item m="1" x="4421"/>
        <item m="1" x="4420"/>
        <item m="1" x="4419"/>
        <item m="1" x="4418"/>
        <item m="1" x="4417"/>
        <item m="1" x="4416"/>
        <item m="1" x="4415"/>
        <item m="1" x="4414"/>
        <item m="1" x="4413"/>
        <item m="1" x="4412"/>
        <item m="1" x="4411"/>
        <item m="1" x="4410"/>
        <item m="1" x="4409"/>
        <item m="1" x="4408"/>
        <item m="1" x="4407"/>
        <item m="1" x="4406"/>
        <item m="1" x="4405"/>
        <item m="1" x="4404"/>
        <item m="1" x="4403"/>
        <item m="1" x="4402"/>
        <item m="1" x="4401"/>
        <item m="1" x="4400"/>
        <item m="1" x="4399"/>
        <item m="1" x="4398"/>
        <item m="1" x="4397"/>
        <item m="1" x="4396"/>
        <item m="1" x="4395"/>
        <item m="1" x="4394"/>
        <item m="1" x="4393"/>
        <item m="1" x="4392"/>
        <item m="1" x="4391"/>
        <item m="1" x="4390"/>
        <item m="1" x="4389"/>
        <item m="1" x="4388"/>
        <item m="1" x="4387"/>
        <item m="1" x="4386"/>
        <item m="1" x="4385"/>
        <item m="1" x="4384"/>
        <item m="1" x="4383"/>
        <item m="1" x="4382"/>
        <item m="1" x="4381"/>
        <item m="1" x="4380"/>
        <item m="1" x="4379"/>
        <item m="1" x="4378"/>
        <item m="1" x="4377"/>
        <item m="1" x="4376"/>
        <item m="1" x="4375"/>
        <item m="1" x="4374"/>
        <item m="1" x="4373"/>
        <item m="1" x="4372"/>
        <item m="1" x="4371"/>
        <item m="1" x="4370"/>
        <item m="1" x="4369"/>
        <item m="1" x="4368"/>
        <item m="1" x="4367"/>
        <item m="1" x="4366"/>
        <item m="1" x="4365"/>
        <item m="1" x="4364"/>
        <item m="1" x="4363"/>
        <item m="1" x="4362"/>
        <item m="1" x="4361"/>
        <item m="1" x="4360"/>
        <item m="1" x="4359"/>
        <item m="1" x="4358"/>
        <item m="1" x="4357"/>
        <item m="1" x="4356"/>
        <item m="1" x="4355"/>
        <item m="1" x="4354"/>
        <item m="1" x="4353"/>
        <item m="1" x="4352"/>
        <item m="1" x="4351"/>
        <item m="1" x="4350"/>
        <item m="1" x="4349"/>
        <item m="1" x="4348"/>
        <item m="1" x="4347"/>
        <item m="1" x="4346"/>
        <item m="1" x="4345"/>
        <item m="1" x="4344"/>
        <item m="1" x="4343"/>
        <item m="1" x="4342"/>
        <item m="1" x="4341"/>
        <item m="1" x="4340"/>
        <item m="1" x="4339"/>
        <item m="1" x="4338"/>
        <item m="1" x="4337"/>
        <item m="1" x="4336"/>
        <item m="1" x="4335"/>
        <item m="1" x="4334"/>
        <item m="1" x="4333"/>
        <item m="1" x="4332"/>
        <item m="1" x="4331"/>
        <item m="1" x="4330"/>
        <item m="1" x="4329"/>
        <item m="1" x="4328"/>
        <item m="1" x="4327"/>
        <item m="1" x="4326"/>
        <item m="1" x="4325"/>
        <item m="1" x="4324"/>
        <item m="1" x="4323"/>
        <item m="1" x="4322"/>
        <item m="1" x="4321"/>
        <item m="1" x="4320"/>
        <item m="1" x="4319"/>
        <item m="1" x="4318"/>
        <item m="1" x="4317"/>
        <item m="1" x="4316"/>
        <item m="1" x="4315"/>
        <item m="1" x="4314"/>
        <item m="1" x="4313"/>
        <item m="1" x="4312"/>
        <item m="1" x="4311"/>
        <item m="1" x="4310"/>
        <item m="1" x="4309"/>
        <item m="1" x="4308"/>
        <item m="1" x="4307"/>
        <item m="1" x="4306"/>
        <item m="1" x="4305"/>
        <item m="1" x="4304"/>
        <item m="1" x="4303"/>
        <item m="1" x="4302"/>
        <item m="1" x="4301"/>
        <item m="1" x="4300"/>
        <item m="1" x="4299"/>
        <item m="1" x="4298"/>
        <item m="1" x="4297"/>
        <item m="1" x="4296"/>
        <item m="1" x="4295"/>
        <item m="1" x="4294"/>
        <item m="1" x="4293"/>
        <item m="1" x="4292"/>
        <item m="1" x="4291"/>
        <item m="1" x="4290"/>
        <item m="1" x="4289"/>
        <item m="1" x="4288"/>
        <item m="1" x="4287"/>
        <item m="1" x="4286"/>
        <item m="1" x="4285"/>
        <item m="1" x="4284"/>
        <item m="1" x="4283"/>
        <item m="1" x="4282"/>
        <item m="1" x="4281"/>
        <item m="1" x="4280"/>
        <item m="1" x="4279"/>
        <item m="1" x="4278"/>
        <item m="1" x="4277"/>
        <item m="1" x="4276"/>
        <item m="1" x="4275"/>
        <item m="1" x="4274"/>
        <item m="1" x="4273"/>
        <item m="1" x="4272"/>
        <item m="1" x="4271"/>
        <item m="1" x="4270"/>
        <item m="1" x="4269"/>
        <item m="1" x="4268"/>
        <item m="1" x="4267"/>
        <item m="1" x="4266"/>
        <item m="1" x="4265"/>
        <item m="1" x="4264"/>
        <item m="1" x="4263"/>
        <item m="1" x="4262"/>
        <item m="1" x="4261"/>
        <item m="1" x="4260"/>
        <item m="1" x="4259"/>
        <item m="1" x="4258"/>
        <item m="1" x="4257"/>
        <item m="1" x="4256"/>
        <item m="1" x="4255"/>
        <item m="1" x="4254"/>
        <item m="1" x="4253"/>
        <item m="1" x="4252"/>
        <item m="1" x="4251"/>
        <item m="1" x="4250"/>
        <item m="1" x="4249"/>
        <item m="1" x="4748"/>
        <item m="1" x="4747"/>
        <item m="1" x="4746"/>
        <item m="1" x="4745"/>
        <item m="1" x="4744"/>
        <item m="1" x="4743"/>
        <item m="1" x="4742"/>
        <item m="1" x="4741"/>
        <item m="1" x="4740"/>
        <item m="1" x="4739"/>
        <item m="1" x="4738"/>
        <item m="1" x="4737"/>
        <item m="1" x="4736"/>
        <item m="1" x="4735"/>
        <item m="1" x="4734"/>
        <item m="1" x="4733"/>
        <item m="1" x="4732"/>
        <item m="1" x="4731"/>
        <item m="1" x="4730"/>
        <item m="1" x="4729"/>
        <item m="1" x="4728"/>
        <item m="1" x="4727"/>
        <item m="1" x="4726"/>
        <item m="1" x="4725"/>
        <item m="1" x="4724"/>
        <item m="1" x="4723"/>
        <item m="1" x="4722"/>
        <item m="1" x="4721"/>
        <item m="1" x="4720"/>
        <item m="1" x="4719"/>
        <item m="1" x="4718"/>
        <item m="1" x="4717"/>
        <item m="1" x="4716"/>
        <item m="1" x="4715"/>
        <item m="1" x="4714"/>
        <item m="1" x="4713"/>
        <item m="1" x="4712"/>
        <item m="1" x="4711"/>
        <item m="1" x="4710"/>
        <item m="1" x="4709"/>
        <item m="1" x="4708"/>
        <item m="1" x="4707"/>
        <item m="1" x="4706"/>
        <item m="1" x="4705"/>
        <item m="1" x="4704"/>
        <item m="1" x="4703"/>
        <item m="1" x="4702"/>
        <item m="1" x="4701"/>
        <item m="1" x="4700"/>
        <item m="1" x="4699"/>
        <item m="1" x="4698"/>
        <item m="1" x="4697"/>
        <item m="1" x="4696"/>
        <item m="1" x="4695"/>
        <item m="1" x="4694"/>
        <item m="1" x="4693"/>
        <item m="1" x="4692"/>
        <item m="1" x="4691"/>
        <item m="1" x="4690"/>
        <item m="1" x="4689"/>
        <item m="1" x="4688"/>
        <item m="1" x="4687"/>
        <item m="1" x="4686"/>
        <item m="1" x="4685"/>
        <item m="1" x="4684"/>
        <item m="1" x="4683"/>
        <item m="1" x="4682"/>
        <item m="1" x="4681"/>
        <item m="1" x="4680"/>
        <item m="1" x="4679"/>
        <item m="1" x="4678"/>
        <item m="1" x="4677"/>
        <item m="1" x="4676"/>
        <item m="1" x="4675"/>
        <item m="1" x="4674"/>
        <item m="1" x="4673"/>
        <item m="1" x="4672"/>
        <item m="1" x="4671"/>
        <item m="1" x="4670"/>
        <item m="1" x="4669"/>
        <item m="1" x="4668"/>
        <item m="1" x="4667"/>
        <item m="1" x="4666"/>
        <item m="1" x="4665"/>
        <item m="1" x="4664"/>
        <item m="1" x="4663"/>
        <item m="1" x="4662"/>
        <item m="1" x="4661"/>
        <item m="1" x="4660"/>
        <item m="1" x="4659"/>
        <item m="1" x="4658"/>
        <item m="1" x="4657"/>
        <item m="1" x="4656"/>
        <item m="1" x="4655"/>
        <item m="1" x="4654"/>
        <item m="1" x="4653"/>
        <item m="1" x="4652"/>
        <item m="1" x="4651"/>
        <item m="1" x="4650"/>
        <item m="1" x="4649"/>
        <item m="1" x="4648"/>
        <item m="1" x="4647"/>
        <item m="1" x="4646"/>
        <item m="1" x="4645"/>
        <item m="1" x="4644"/>
        <item m="1" x="4643"/>
        <item m="1" x="4642"/>
        <item m="1" x="4641"/>
        <item m="1" x="4640"/>
        <item m="1" x="4639"/>
        <item m="1" x="4638"/>
        <item m="1" x="4637"/>
        <item m="1" x="4636"/>
        <item m="1" x="4635"/>
        <item m="1" x="4634"/>
        <item m="1" x="4633"/>
        <item m="1" x="4632"/>
        <item m="1" x="4631"/>
        <item m="1" x="4630"/>
        <item m="1" x="4629"/>
        <item m="1" x="4628"/>
        <item m="1" x="4627"/>
        <item m="1" x="4626"/>
        <item m="1" x="4625"/>
        <item m="1" x="4624"/>
        <item m="1" x="4623"/>
        <item m="1" x="4622"/>
        <item m="1" x="4621"/>
        <item m="1" x="4620"/>
        <item m="1" x="4619"/>
        <item m="1" x="4618"/>
        <item m="1" x="4617"/>
        <item m="1" x="2885"/>
        <item m="1" x="2884"/>
        <item m="1" x="2883"/>
        <item m="1" x="2882"/>
        <item m="1" x="2881"/>
        <item m="1" x="2880"/>
        <item m="1" x="2879"/>
        <item m="1" x="2878"/>
        <item m="1" x="2877"/>
        <item m="1" x="2876"/>
        <item m="1" x="4856"/>
        <item m="1" x="4855"/>
        <item m="1" x="4854"/>
        <item m="1" x="4853"/>
        <item m="1" x="4852"/>
        <item m="1" x="4851"/>
        <item m="1" x="4850"/>
        <item m="1" x="4849"/>
        <item m="1" x="4848"/>
        <item m="1" x="4847"/>
        <item m="1" x="4846"/>
        <item m="1" x="4845"/>
        <item m="1" x="4844"/>
        <item m="1" x="4843"/>
        <item m="1" x="4842"/>
        <item m="1" x="4841"/>
        <item m="1" x="4840"/>
        <item m="1" x="4839"/>
        <item m="1" x="4838"/>
        <item m="1" x="4837"/>
        <item m="1" x="4836"/>
        <item m="1" x="4835"/>
        <item m="1" x="4834"/>
        <item m="1" x="4833"/>
        <item m="1" x="4832"/>
        <item m="1" x="4831"/>
        <item m="1" x="4830"/>
        <item m="1" x="4829"/>
        <item m="1" x="4828"/>
        <item m="1" x="4827"/>
        <item m="1" x="4826"/>
        <item m="1" x="4825"/>
        <item m="1" x="4824"/>
        <item m="1" x="4823"/>
        <item m="1" x="4822"/>
        <item m="1" x="4821"/>
        <item m="1" x="4820"/>
        <item m="1" x="4819"/>
        <item m="1" x="4818"/>
        <item m="1" x="4817"/>
        <item m="1" x="4816"/>
        <item m="1" x="4815"/>
        <item m="1" x="4814"/>
        <item m="1" x="4813"/>
        <item m="1" x="4812"/>
        <item m="1" x="4811"/>
        <item m="1" x="4810"/>
        <item m="1" x="4809"/>
        <item m="1" x="4808"/>
        <item m="1" x="4807"/>
        <item m="1" x="4806"/>
        <item m="1" x="4805"/>
        <item m="1" x="4804"/>
        <item m="1" x="4803"/>
        <item m="1" x="4802"/>
        <item m="1" x="4801"/>
        <item m="1" x="4800"/>
        <item m="1" x="4799"/>
        <item m="1" x="4798"/>
        <item m="1" x="4797"/>
        <item m="1" x="4796"/>
        <item m="1" x="4795"/>
        <item m="1" x="4794"/>
        <item m="1" x="4793"/>
        <item m="1" x="4792"/>
        <item m="1" x="4791"/>
        <item m="1" x="4790"/>
        <item m="1" x="4789"/>
        <item m="1" x="4788"/>
        <item m="1" x="4787"/>
        <item m="1" x="4786"/>
        <item m="1" x="4785"/>
        <item m="1" x="4784"/>
        <item m="1" x="4783"/>
        <item m="1" x="4782"/>
        <item m="1" x="4781"/>
        <item m="1" x="4780"/>
        <item m="1" x="4779"/>
        <item m="1" x="4778"/>
        <item m="1" x="4777"/>
        <item m="1" x="4776"/>
        <item m="1" x="4775"/>
        <item m="1" x="4774"/>
        <item m="1" x="4773"/>
        <item m="1" x="4772"/>
        <item m="1" x="4771"/>
        <item m="1" x="4770"/>
        <item m="1" x="4769"/>
        <item m="1" x="4768"/>
        <item m="1" x="4767"/>
        <item m="1" x="4766"/>
        <item m="1" x="4765"/>
        <item m="1" x="4764"/>
        <item m="1" x="4763"/>
        <item m="1" x="4762"/>
        <item m="1" x="4761"/>
        <item m="1" x="4760"/>
        <item m="1" x="4759"/>
        <item m="1" x="4758"/>
        <item m="1" x="4757"/>
        <item m="1" x="4756"/>
        <item m="1" x="4755"/>
        <item m="1" x="4754"/>
        <item m="1" x="4753"/>
        <item m="1" x="4752"/>
        <item m="1" x="4751"/>
        <item m="1" x="4750"/>
        <item m="1" x="4749"/>
        <item m="1" x="5017"/>
        <item m="1" x="5016"/>
        <item m="1" x="5015"/>
        <item m="1" x="5014"/>
        <item m="1" x="5013"/>
        <item m="1" x="5012"/>
        <item m="1" x="5011"/>
        <item m="1" x="5010"/>
        <item m="1" x="5009"/>
        <item m="1" x="5008"/>
        <item m="1" x="5007"/>
        <item m="1" x="5006"/>
        <item m="1" x="5005"/>
        <item m="1" x="5004"/>
        <item m="1" x="5003"/>
        <item m="1" x="5002"/>
        <item m="1" x="5001"/>
        <item m="1" x="5000"/>
        <item m="1" x="4999"/>
        <item m="1" x="4998"/>
        <item m="1" x="4997"/>
        <item m="1" x="4996"/>
        <item m="1" x="4995"/>
        <item m="1" x="4994"/>
        <item m="1" x="4993"/>
        <item m="1" x="4992"/>
        <item m="1" x="4991"/>
        <item m="1" x="4990"/>
        <item m="1" x="4989"/>
        <item m="1" x="4988"/>
        <item m="1" x="4987"/>
        <item m="1" x="4986"/>
        <item m="1" x="4985"/>
        <item m="1" x="4984"/>
        <item m="1" x="4983"/>
        <item m="1" x="4982"/>
        <item m="1" x="4981"/>
        <item m="1" x="4980"/>
        <item m="1" x="4979"/>
        <item m="1" x="4978"/>
        <item m="1" x="4977"/>
        <item m="1" x="4976"/>
        <item m="1" x="4975"/>
        <item m="1" x="4974"/>
        <item m="1" x="4973"/>
        <item m="1" x="4972"/>
        <item m="1" x="4971"/>
        <item m="1" x="4970"/>
        <item m="1" x="4969"/>
        <item m="1" x="4968"/>
        <item m="1" x="4967"/>
        <item m="1" x="4966"/>
        <item m="1" x="4965"/>
        <item m="1" x="4964"/>
        <item m="1" x="4963"/>
        <item m="1" x="4962"/>
        <item m="1" x="4961"/>
        <item m="1" x="4960"/>
        <item m="1" x="4959"/>
        <item m="1" x="4958"/>
        <item m="1" x="4957"/>
        <item m="1" x="4956"/>
        <item m="1" x="4955"/>
        <item m="1" x="4954"/>
        <item m="1" x="4953"/>
        <item m="1" x="4952"/>
        <item m="1" x="4951"/>
        <item m="1" x="4950"/>
        <item m="1" x="4949"/>
        <item m="1" x="4948"/>
        <item m="1" x="4947"/>
        <item m="1" x="4946"/>
        <item m="1" x="4945"/>
        <item m="1" x="4944"/>
        <item m="1" x="4943"/>
        <item m="1" x="4942"/>
        <item m="1" x="4941"/>
        <item m="1" x="4940"/>
        <item m="1" x="4939"/>
        <item m="1" x="4938"/>
        <item m="1" x="4937"/>
        <item m="1" x="4936"/>
        <item m="1" x="4935"/>
        <item m="1" x="4934"/>
        <item m="1" x="4933"/>
        <item m="1" x="4932"/>
        <item m="1" x="4931"/>
        <item m="1" x="4930"/>
        <item m="1" x="4929"/>
        <item m="1" x="4928"/>
        <item m="1" x="4927"/>
        <item m="1" x="4926"/>
        <item m="1" x="4925"/>
        <item m="1" x="4924"/>
        <item m="1" x="4923"/>
        <item m="1" x="4922"/>
        <item m="1" x="4921"/>
        <item m="1" x="4920"/>
        <item m="1" x="4919"/>
        <item m="1" x="4918"/>
        <item m="1" x="4917"/>
        <item m="1" x="4916"/>
        <item m="1" x="4915"/>
        <item m="1" x="4914"/>
        <item m="1" x="4913"/>
        <item m="1" x="4912"/>
        <item m="1" x="4911"/>
        <item m="1" x="4910"/>
        <item m="1" x="4909"/>
        <item m="1" x="4908"/>
        <item m="1" x="4907"/>
        <item m="1" x="4906"/>
        <item m="1" x="4905"/>
        <item m="1" x="4904"/>
        <item m="1" x="4903"/>
        <item m="1" x="4902"/>
        <item m="1" x="4901"/>
        <item m="1" x="4900"/>
        <item m="1" x="4899"/>
        <item m="1" x="4898"/>
        <item m="1" x="4897"/>
        <item m="1" x="4896"/>
        <item m="1" x="4895"/>
        <item m="1" x="4894"/>
        <item m="1" x="4893"/>
        <item m="1" x="4892"/>
        <item m="1" x="4891"/>
        <item m="1" x="4890"/>
        <item m="1" x="4889"/>
        <item m="1" x="4888"/>
        <item m="1" x="4887"/>
        <item m="1" x="4886"/>
        <item m="1" x="4885"/>
        <item m="1" x="4884"/>
        <item m="1" x="4883"/>
        <item m="1" x="4882"/>
        <item m="1" x="4881"/>
        <item m="1" x="4880"/>
        <item m="1" x="4879"/>
        <item m="1" x="4878"/>
        <item m="1" x="4877"/>
        <item m="1" x="4876"/>
        <item m="1" x="4875"/>
        <item m="1" x="4874"/>
        <item m="1" x="4873"/>
        <item m="1" x="4872"/>
        <item m="1" x="4871"/>
        <item m="1" x="4870"/>
        <item m="1" x="4869"/>
        <item m="1" x="4868"/>
        <item m="1" x="4867"/>
        <item m="1" x="4866"/>
        <item m="1" x="4865"/>
        <item m="1" x="4864"/>
        <item m="1" x="4863"/>
        <item m="1" x="4862"/>
        <item m="1" x="4861"/>
        <item m="1" x="4860"/>
        <item m="1" x="4859"/>
        <item m="1" x="4858"/>
        <item m="1" x="4857"/>
        <item m="1" x="5374"/>
        <item m="1" x="5373"/>
        <item m="1" x="5372"/>
        <item m="1" x="5371"/>
        <item m="1" x="5370"/>
        <item m="1" x="5369"/>
        <item m="1" x="5368"/>
        <item m="1" x="5367"/>
        <item m="1" x="5366"/>
        <item m="1" x="5365"/>
        <item m="1" x="5364"/>
        <item m="1" x="5363"/>
        <item m="1" x="5362"/>
        <item m="1" x="5361"/>
        <item m="1" x="5360"/>
        <item m="1" x="5359"/>
        <item m="1" x="5358"/>
        <item m="1" x="5357"/>
        <item m="1" x="5356"/>
        <item m="1" x="5355"/>
        <item m="1" x="5354"/>
        <item m="1" x="5353"/>
        <item m="1" x="5352"/>
        <item m="1" x="5351"/>
        <item m="1" x="5350"/>
        <item m="1" x="5349"/>
        <item m="1" x="5348"/>
        <item m="1" x="5347"/>
        <item m="1" x="5346"/>
        <item m="1" x="5345"/>
        <item m="1" x="5344"/>
        <item m="1" x="5343"/>
        <item m="1" x="5342"/>
        <item m="1" x="5341"/>
        <item m="1" x="5340"/>
        <item m="1" x="5339"/>
        <item m="1" x="5338"/>
        <item m="1" x="5337"/>
        <item m="1" x="5336"/>
        <item m="1" x="5335"/>
        <item m="1" x="5334"/>
        <item m="1" x="5333"/>
        <item m="1" x="5332"/>
        <item m="1" x="5331"/>
        <item m="1" x="5330"/>
        <item m="1" x="5329"/>
        <item m="1" x="5328"/>
        <item m="1" x="5327"/>
        <item m="1" x="5326"/>
        <item m="1" x="5325"/>
        <item m="1" x="5324"/>
        <item m="1" x="5323"/>
        <item m="1" x="5322"/>
        <item m="1" x="5321"/>
        <item m="1" x="5320"/>
        <item m="1" x="5319"/>
        <item m="1" x="5318"/>
        <item m="1" x="5317"/>
        <item m="1" x="5316"/>
        <item m="1" x="5315"/>
        <item m="1" x="5314"/>
        <item m="1" x="5313"/>
        <item m="1" x="5312"/>
        <item m="1" x="5311"/>
        <item m="1" x="5310"/>
        <item m="1" x="5309"/>
        <item m="1" x="5308"/>
        <item m="1" x="5307"/>
        <item m="1" x="5306"/>
        <item m="1" x="5305"/>
        <item m="1" x="5304"/>
        <item m="1" x="5303"/>
        <item m="1" x="5302"/>
        <item m="1" x="5301"/>
        <item m="1" x="5300"/>
        <item m="1" x="5299"/>
        <item m="1" x="5298"/>
        <item m="1" x="5297"/>
        <item m="1" x="5296"/>
        <item m="1" x="5295"/>
        <item m="1" x="5294"/>
        <item m="1" x="5293"/>
        <item m="1" x="5292"/>
        <item m="1" x="5291"/>
        <item m="1" x="5290"/>
        <item m="1" x="5289"/>
        <item m="1" x="5288"/>
        <item m="1" x="5287"/>
        <item m="1" x="5286"/>
        <item m="1" x="5285"/>
        <item m="1" x="5284"/>
        <item m="1" x="5283"/>
        <item m="1" x="5282"/>
        <item m="1" x="5281"/>
        <item m="1" x="5280"/>
        <item m="1" x="5279"/>
        <item m="1" x="5278"/>
        <item m="1" x="5277"/>
        <item m="1" x="5276"/>
        <item m="1" x="5275"/>
        <item m="1" x="5274"/>
        <item m="1" x="5273"/>
        <item m="1" x="5272"/>
        <item m="1" x="5271"/>
        <item m="1" x="5270"/>
        <item m="1" x="5269"/>
        <item m="1" x="5268"/>
        <item m="1" x="5267"/>
        <item m="1" x="5266"/>
        <item m="1" x="5265"/>
        <item m="1" x="5264"/>
        <item m="1" x="5263"/>
        <item m="1" x="5262"/>
        <item m="1" x="5261"/>
        <item m="1" x="5260"/>
        <item m="1" x="5259"/>
        <item m="1" x="5258"/>
        <item m="1" x="5257"/>
        <item m="1" x="5256"/>
        <item m="1" x="5255"/>
        <item m="1" x="5254"/>
        <item m="1" x="5253"/>
        <item m="1" x="5252"/>
        <item m="1" x="5251"/>
        <item m="1" x="5250"/>
        <item m="1" x="5249"/>
        <item m="1" x="5248"/>
        <item m="1" x="5247"/>
        <item m="1" x="5246"/>
        <item m="1" x="5245"/>
        <item m="1" x="5244"/>
        <item m="1" x="5243"/>
        <item m="1" x="5242"/>
        <item m="1" x="5241"/>
        <item m="1" x="5240"/>
        <item m="1" x="5239"/>
        <item m="1" x="5238"/>
        <item m="1" x="5237"/>
        <item m="1" x="5236"/>
        <item m="1" x="5235"/>
        <item m="1" x="5234"/>
        <item m="1" x="5233"/>
        <item m="1" x="5232"/>
        <item m="1" x="5231"/>
        <item m="1" x="5230"/>
        <item m="1" x="5229"/>
        <item m="1" x="5228"/>
        <item m="1" x="5227"/>
        <item m="1" x="5226"/>
        <item m="1" x="5225"/>
        <item m="1" x="5224"/>
        <item m="1" x="5223"/>
        <item m="1" x="5222"/>
        <item m="1" x="5221"/>
        <item m="1" x="5220"/>
        <item m="1" x="5219"/>
        <item m="1" x="5218"/>
        <item m="1" x="5217"/>
        <item m="1" x="5216"/>
        <item m="1" x="5215"/>
        <item m="1" x="5214"/>
        <item m="1" x="5213"/>
        <item m="1" x="5212"/>
        <item m="1" x="5211"/>
        <item m="1" x="5210"/>
        <item m="1" x="5209"/>
        <item m="1" x="5208"/>
        <item m="1" x="5207"/>
        <item m="1" x="5206"/>
        <item m="1" x="5205"/>
        <item m="1" x="5204"/>
        <item m="1" x="5203"/>
        <item m="1" x="5202"/>
        <item m="1" x="5201"/>
        <item m="1" x="5200"/>
        <item m="1" x="5199"/>
        <item m="1" x="5198"/>
        <item m="1" x="5197"/>
        <item m="1" x="5196"/>
        <item m="1" x="5195"/>
        <item m="1" x="5194"/>
        <item m="1" x="5193"/>
        <item m="1" x="5192"/>
        <item m="1" x="5191"/>
        <item m="1" x="5190"/>
        <item m="1" x="5189"/>
        <item m="1" x="5188"/>
        <item m="1" x="5187"/>
        <item m="1" x="5186"/>
        <item m="1" x="5185"/>
        <item m="1" x="5184"/>
        <item m="1" x="5183"/>
        <item m="1" x="5182"/>
        <item m="1" x="5181"/>
        <item m="1" x="5180"/>
        <item m="1" x="5179"/>
        <item m="1" x="5178"/>
        <item m="1" x="5177"/>
        <item m="1" x="5176"/>
        <item m="1" x="5175"/>
        <item m="1" x="5174"/>
        <item m="1" x="5173"/>
        <item m="1" x="5172"/>
        <item m="1" x="5171"/>
        <item m="1" x="5170"/>
        <item m="1" x="5169"/>
        <item m="1" x="5168"/>
        <item m="1" x="5167"/>
        <item m="1" x="5166"/>
        <item m="1" x="5165"/>
        <item m="1" x="5164"/>
        <item m="1" x="5163"/>
        <item m="1" x="5162"/>
        <item m="1" x="5161"/>
        <item m="1" x="5160"/>
        <item m="1" x="5159"/>
        <item m="1" x="5158"/>
        <item m="1" x="5157"/>
        <item m="1" x="5156"/>
        <item m="1" x="5155"/>
        <item m="1" x="5154"/>
        <item m="1" x="5153"/>
        <item m="1" x="5152"/>
        <item m="1" x="5151"/>
        <item m="1" x="5150"/>
        <item m="1" x="5149"/>
        <item m="1" x="5148"/>
        <item m="1" x="5147"/>
        <item m="1" x="5146"/>
        <item m="1" x="5145"/>
        <item m="1" x="5144"/>
        <item m="1" x="5143"/>
        <item m="1" x="5142"/>
        <item m="1" x="5141"/>
        <item m="1" x="5140"/>
        <item m="1" x="5139"/>
        <item m="1" x="5138"/>
        <item m="1" x="5137"/>
        <item m="1" x="5136"/>
        <item m="1" x="5135"/>
        <item m="1" x="5134"/>
        <item m="1" x="5133"/>
        <item m="1" x="5132"/>
        <item m="1" x="5131"/>
        <item m="1" x="5130"/>
        <item m="1" x="5129"/>
        <item m="1" x="5128"/>
        <item m="1" x="5127"/>
        <item m="1" x="5126"/>
        <item m="1" x="5125"/>
        <item m="1" x="5124"/>
        <item m="1" x="5123"/>
        <item m="1" x="5122"/>
        <item m="1" x="5121"/>
        <item m="1" x="5120"/>
        <item m="1" x="5119"/>
        <item m="1" x="5118"/>
        <item m="1" x="5117"/>
        <item m="1" x="5116"/>
        <item m="1" x="5115"/>
        <item m="1" x="5114"/>
        <item m="1" x="5113"/>
        <item m="1" x="5112"/>
        <item m="1" x="5111"/>
        <item m="1" x="5110"/>
        <item m="1" x="5109"/>
        <item m="1" x="5108"/>
        <item m="1" x="5107"/>
        <item m="1" x="5106"/>
        <item m="1" x="5105"/>
        <item m="1" x="5104"/>
        <item m="1" x="5103"/>
        <item m="1" x="5102"/>
        <item m="1" x="5101"/>
        <item m="1" x="5100"/>
        <item m="1" x="5099"/>
        <item m="1" x="5098"/>
        <item m="1" x="5097"/>
        <item m="1" x="5096"/>
        <item m="1" x="5095"/>
        <item m="1" x="5094"/>
        <item m="1" x="5093"/>
        <item m="1" x="5092"/>
        <item m="1" x="5091"/>
        <item m="1" x="5090"/>
        <item m="1" x="5089"/>
        <item m="1" x="5088"/>
        <item m="1" x="5087"/>
        <item m="1" x="5086"/>
        <item m="1" x="5085"/>
        <item m="1" x="5084"/>
        <item m="1" x="5083"/>
        <item m="1" x="5082"/>
        <item m="1" x="5081"/>
        <item m="1" x="5080"/>
        <item m="1" x="5079"/>
        <item m="1" x="5078"/>
        <item m="1" x="5077"/>
        <item m="1" x="5076"/>
        <item m="1" x="5075"/>
        <item m="1" x="5074"/>
        <item m="1" x="5073"/>
        <item m="1" x="5072"/>
        <item m="1" x="5071"/>
        <item m="1" x="5070"/>
        <item m="1" x="5069"/>
        <item m="1" x="5068"/>
        <item m="1" x="5067"/>
        <item m="1" x="5066"/>
        <item m="1" x="5065"/>
        <item m="1" x="5064"/>
        <item m="1" x="5063"/>
        <item m="1" x="5062"/>
        <item m="1" x="5061"/>
        <item m="1" x="5060"/>
        <item m="1" x="5059"/>
        <item m="1" x="5058"/>
        <item m="1" x="5057"/>
        <item m="1" x="5056"/>
        <item m="1" x="5055"/>
        <item m="1" x="5054"/>
        <item m="1" x="5053"/>
        <item m="1" x="5052"/>
        <item m="1" x="5051"/>
        <item m="1" x="5050"/>
        <item m="1" x="5049"/>
        <item m="1" x="5048"/>
        <item m="1" x="5047"/>
        <item m="1" x="5046"/>
        <item m="1" x="5045"/>
        <item m="1" x="5044"/>
        <item m="1" x="5043"/>
        <item m="1" x="5042"/>
        <item m="1" x="5041"/>
        <item m="1" x="5040"/>
        <item m="1" x="5039"/>
        <item m="1" x="5038"/>
        <item m="1" x="5037"/>
        <item m="1" x="5036"/>
        <item m="1" x="5035"/>
        <item m="1" x="5034"/>
        <item m="1" x="5033"/>
        <item m="1" x="5032"/>
        <item m="1" x="5031"/>
        <item m="1" x="5030"/>
        <item m="1" x="5029"/>
        <item m="1" x="5028"/>
        <item m="1" x="5027"/>
        <item m="1" x="5026"/>
        <item m="1" x="5025"/>
        <item m="1" x="5024"/>
        <item m="1" x="5023"/>
        <item m="1" x="5022"/>
        <item m="1" x="5021"/>
        <item m="1" x="5020"/>
        <item m="1" x="5019"/>
        <item m="1" x="5018"/>
        <item m="1" x="5434"/>
        <item m="1" x="5433"/>
        <item m="1" x="5432"/>
        <item m="1" x="5431"/>
        <item m="1" x="5430"/>
        <item m="1" x="5429"/>
        <item m="1" x="5428"/>
        <item m="1" x="5427"/>
        <item m="1" x="5426"/>
        <item m="1" x="5425"/>
        <item m="1" x="5424"/>
        <item m="1" x="5423"/>
        <item m="1" x="5422"/>
        <item m="1" x="5421"/>
        <item m="1" x="5420"/>
        <item m="1" x="5419"/>
        <item m="1" x="5418"/>
        <item m="1" x="5417"/>
        <item m="1" x="5416"/>
        <item m="1" x="5415"/>
        <item m="1" x="5414"/>
        <item m="1" x="5413"/>
        <item m="1" x="5412"/>
        <item m="1" x="5411"/>
        <item m="1" x="5410"/>
        <item m="1" x="5409"/>
        <item m="1" x="5408"/>
        <item m="1" x="5407"/>
        <item m="1" x="5406"/>
        <item m="1" x="5405"/>
        <item m="1" x="5404"/>
        <item m="1" x="5403"/>
        <item m="1" x="5402"/>
        <item m="1" x="5401"/>
        <item m="1" x="5400"/>
        <item m="1" x="5399"/>
        <item m="1" x="5398"/>
        <item m="1" x="5397"/>
        <item m="1" x="5396"/>
        <item m="1" x="5395"/>
        <item m="1" x="5394"/>
        <item m="1" x="5393"/>
        <item m="1" x="5392"/>
        <item m="1" x="5391"/>
        <item m="1" x="5390"/>
        <item m="1" x="5389"/>
        <item m="1" x="5388"/>
        <item m="1" x="5387"/>
        <item m="1" x="5386"/>
        <item m="1" x="5385"/>
        <item m="1" x="5384"/>
        <item m="1" x="5383"/>
        <item m="1" x="5382"/>
        <item m="1" x="5381"/>
        <item m="1" x="5380"/>
        <item m="1" x="5379"/>
        <item m="1" x="5378"/>
        <item m="1" x="5377"/>
        <item m="1" x="5376"/>
        <item m="1" x="5375"/>
        <item m="1" x="5508"/>
        <item m="1" x="5507"/>
        <item m="1" x="5506"/>
        <item m="1" x="5505"/>
        <item m="1" x="5504"/>
        <item m="1" x="5503"/>
        <item m="1" x="5502"/>
        <item m="1" x="5501"/>
        <item m="1" x="5500"/>
        <item m="1" x="5499"/>
        <item m="1" x="5498"/>
        <item m="1" x="5497"/>
        <item m="1" x="5496"/>
        <item m="1" x="5495"/>
        <item m="1" x="5494"/>
        <item m="1" x="5493"/>
        <item m="1" x="5492"/>
        <item m="1" x="5491"/>
        <item m="1" x="5490"/>
        <item m="1" x="5489"/>
        <item m="1" x="5488"/>
        <item m="1" x="5487"/>
        <item m="1" x="5486"/>
        <item m="1" x="5485"/>
        <item m="1" x="5484"/>
        <item m="1" x="5483"/>
        <item m="1" x="5482"/>
        <item m="1" x="5481"/>
        <item m="1" x="5480"/>
        <item m="1" x="5479"/>
        <item m="1" x="5478"/>
        <item m="1" x="5477"/>
        <item m="1" x="5476"/>
        <item m="1" x="5475"/>
        <item m="1" x="5474"/>
        <item m="1" x="5473"/>
        <item m="1" x="5472"/>
        <item m="1" x="5471"/>
        <item m="1" x="5470"/>
        <item m="1" x="5469"/>
        <item m="1" x="5468"/>
        <item m="1" x="5467"/>
        <item m="1" x="5466"/>
        <item m="1" x="5465"/>
        <item m="1" x="5464"/>
        <item m="1" x="5463"/>
        <item m="1" x="5462"/>
        <item m="1" x="5461"/>
        <item m="1" x="5460"/>
        <item m="1" x="5459"/>
        <item m="1" x="5458"/>
        <item m="1" x="5457"/>
        <item m="1" x="5456"/>
        <item m="1" x="5455"/>
        <item m="1" x="5454"/>
        <item m="1" x="5453"/>
        <item m="1" x="5452"/>
        <item m="1" x="5451"/>
        <item m="1" x="5450"/>
        <item m="1" x="5449"/>
        <item m="1" x="5448"/>
        <item m="1" x="5447"/>
        <item m="1" x="5446"/>
        <item m="1" x="5445"/>
        <item m="1" x="5444"/>
        <item m="1" x="5443"/>
        <item m="1" x="5442"/>
        <item m="1" x="5441"/>
        <item m="1" x="5440"/>
        <item m="1" x="5439"/>
        <item m="1" x="5438"/>
        <item m="1" x="5437"/>
        <item m="1" x="5436"/>
        <item m="1" x="5435"/>
        <item m="1" x="5549"/>
        <item m="1" x="5536"/>
        <item m="1" x="5548"/>
        <item m="1" x="5542"/>
        <item m="1" x="5535"/>
        <item m="1" x="5629"/>
        <item m="1" x="5622"/>
        <item m="1" x="5584"/>
        <item m="1" x="5578"/>
        <item m="1" x="5626"/>
        <item m="1" x="5621"/>
        <item m="1" x="5575"/>
        <item m="1" x="5527"/>
        <item m="1" x="5516"/>
        <item m="1" x="5513"/>
        <item m="1" x="5574"/>
        <item m="1" x="5526"/>
        <item m="1" x="5515"/>
        <item m="1" x="5512"/>
        <item m="1" x="5595"/>
        <item m="1" x="5525"/>
        <item m="1" x="5612"/>
        <item m="1" x="5611"/>
        <item m="1" x="5610"/>
        <item m="1" x="5609"/>
        <item m="1" x="5587"/>
        <item m="1" x="5566"/>
        <item m="1" x="5562"/>
        <item m="1" x="5558"/>
        <item m="1" x="5551"/>
        <item m="1" x="5547"/>
        <item m="1" x="5543"/>
        <item m="1" x="5541"/>
        <item m="1" x="5534"/>
        <item m="1" x="5561"/>
        <item m="1" x="5576"/>
        <item m="1" x="5557"/>
        <item m="1" x="5556"/>
        <item m="1" x="5555"/>
        <item m="1" x="5550"/>
        <item m="1" x="5546"/>
        <item m="1" x="5540"/>
        <item m="1" x="5533"/>
        <item m="1" x="5560"/>
        <item m="1" x="5628"/>
        <item m="1" x="5620"/>
        <item m="1" x="5583"/>
        <item m="1" x="5577"/>
        <item m="1" x="5627"/>
        <item m="1" x="5524"/>
        <item m="1" x="5631"/>
        <item m="1" x="5630"/>
        <item m="1" x="5580"/>
        <item m="1" x="5615"/>
        <item m="1" x="5608"/>
        <item m="1" x="5563"/>
        <item m="1" x="5554"/>
        <item m="1" x="5539"/>
        <item m="1" x="5532"/>
        <item m="1" x="5553"/>
        <item m="1" x="5538"/>
        <item m="1" x="5531"/>
        <item m="1" x="5552"/>
        <item m="1" x="5537"/>
        <item m="1" x="5530"/>
        <item m="1" x="5545"/>
        <item m="1" x="5529"/>
        <item m="1" x="5544"/>
        <item m="1" x="5528"/>
        <item m="1" x="5594"/>
        <item m="1" x="5523"/>
        <item m="1" x="5593"/>
        <item m="1" x="5522"/>
        <item m="1" x="5604"/>
        <item m="1" x="5602"/>
        <item m="1" x="5573"/>
        <item m="1" x="5603"/>
        <item m="1" x="5601"/>
        <item m="1" x="5572"/>
        <item m="1" x="5567"/>
        <item m="1" x="5559"/>
        <item m="1" x="5625"/>
        <item m="1" x="5619"/>
        <item m="1" x="5597"/>
        <item m="1" x="5624"/>
        <item m="1" x="5618"/>
        <item m="1" x="5596"/>
        <item m="1" x="5571"/>
        <item m="1" x="5521"/>
        <item m="1" x="5514"/>
        <item m="1" x="5511"/>
        <item m="1" x="5592"/>
        <item m="1" x="5520"/>
        <item m="1" x="5510"/>
        <item m="1" x="5591"/>
        <item m="1" x="5519"/>
        <item m="1" x="5509"/>
        <item m="1" x="5590"/>
        <item m="1" x="5518"/>
        <item m="1" x="5614"/>
        <item m="1" x="5600"/>
        <item m="1" x="5588"/>
        <item m="1" x="5582"/>
        <item m="1" x="5570"/>
        <item m="1" x="5606"/>
        <item m="1" x="5605"/>
        <item m="1" x="5586"/>
        <item m="1" x="5581"/>
        <item m="1" x="5568"/>
        <item m="1" x="5565"/>
        <item m="1" x="5564"/>
        <item m="1" x="5623"/>
        <item m="1" x="5617"/>
        <item m="1" x="5589"/>
        <item m="1" x="5517"/>
        <item m="1" x="5616"/>
        <item m="1" x="5613"/>
        <item m="1" x="5607"/>
        <item m="1" x="5599"/>
        <item m="1" x="5598"/>
        <item m="1" x="5585"/>
        <item m="1" x="5579"/>
        <item m="1" x="5569"/>
        <item m="1" x="5888"/>
        <item m="1" x="5887"/>
        <item m="1" x="5886"/>
        <item m="1" x="5885"/>
        <item m="1" x="5884"/>
        <item m="1" x="5883"/>
        <item m="1" x="5882"/>
        <item m="1" x="5881"/>
        <item m="1" x="5880"/>
        <item m="1" x="5879"/>
        <item m="1" x="5878"/>
        <item m="1" x="5877"/>
        <item m="1" x="5876"/>
        <item m="1" x="5875"/>
        <item m="1" x="5874"/>
        <item m="1" x="5873"/>
        <item m="1" x="5872"/>
        <item m="1" x="5871"/>
        <item m="1" x="5870"/>
        <item m="1" x="5869"/>
        <item m="1" x="5868"/>
        <item m="1" x="5867"/>
        <item m="1" x="5866"/>
        <item m="1" x="5865"/>
        <item m="1" x="5864"/>
        <item m="1" x="5863"/>
        <item m="1" x="5862"/>
        <item m="1" x="5861"/>
        <item m="1" x="5860"/>
        <item m="1" x="5859"/>
        <item m="1" x="5858"/>
        <item m="1" x="5857"/>
        <item m="1" x="5856"/>
        <item m="1" x="5855"/>
        <item m="1" x="5854"/>
        <item m="1" x="5853"/>
        <item m="1" x="5852"/>
        <item m="1" x="5851"/>
        <item m="1" x="5850"/>
        <item m="1" x="5849"/>
        <item m="1" x="5848"/>
        <item m="1" x="5847"/>
        <item m="1" x="5846"/>
        <item m="1" x="5845"/>
        <item m="1" x="5844"/>
        <item m="1" x="5843"/>
        <item m="1" x="5842"/>
        <item m="1" x="5841"/>
        <item m="1" x="5840"/>
        <item m="1" x="5839"/>
        <item m="1" x="5838"/>
        <item m="1" x="5837"/>
        <item m="1" x="5836"/>
        <item m="1" x="5835"/>
        <item m="1" x="5834"/>
        <item m="1" x="5833"/>
        <item m="1" x="5832"/>
        <item m="1" x="5831"/>
        <item m="1" x="5830"/>
        <item m="1" x="5829"/>
        <item m="1" x="5828"/>
        <item m="1" x="5827"/>
        <item m="1" x="5826"/>
        <item m="1" x="5825"/>
        <item m="1" x="5824"/>
        <item m="1" x="5823"/>
        <item m="1" x="5822"/>
        <item m="1" x="5821"/>
        <item m="1" x="5820"/>
        <item m="1" x="5819"/>
        <item m="1" x="5818"/>
        <item m="1" x="5817"/>
        <item m="1" x="5816"/>
        <item m="1" x="5815"/>
        <item m="1" x="5814"/>
        <item m="1" x="5813"/>
        <item m="1" x="5812"/>
        <item m="1" x="5811"/>
        <item m="1" x="5810"/>
        <item m="1" x="5809"/>
        <item m="1" x="5808"/>
        <item m="1" x="5807"/>
        <item m="1" x="5806"/>
        <item m="1" x="5805"/>
        <item m="1" x="5804"/>
        <item m="1" x="5803"/>
        <item m="1" x="5802"/>
        <item m="1" x="5801"/>
        <item m="1" x="5800"/>
        <item m="1" x="5799"/>
        <item m="1" x="5798"/>
        <item m="1" x="5797"/>
        <item m="1" x="5796"/>
        <item m="1" x="5795"/>
        <item m="1" x="5794"/>
        <item m="1" x="5793"/>
        <item m="1" x="5792"/>
        <item m="1" x="5791"/>
        <item m="1" x="5790"/>
        <item m="1" x="5789"/>
        <item m="1" x="5788"/>
        <item m="1" x="5787"/>
        <item m="1" x="5786"/>
        <item m="1" x="5785"/>
        <item m="1" x="5784"/>
        <item m="1" x="5783"/>
        <item m="1" x="5782"/>
        <item m="1" x="5781"/>
        <item m="1" x="5780"/>
        <item m="1" x="5779"/>
        <item m="1" x="5778"/>
        <item m="1" x="5777"/>
        <item m="1" x="5776"/>
        <item m="1" x="5775"/>
        <item m="1" x="5774"/>
        <item m="1" x="5773"/>
        <item m="1" x="5772"/>
        <item m="1" x="5771"/>
        <item m="1" x="5770"/>
        <item m="1" x="5769"/>
        <item m="1" x="5768"/>
        <item m="1" x="5767"/>
        <item m="1" x="5766"/>
        <item m="1" x="5765"/>
        <item m="1" x="5764"/>
        <item m="1" x="5763"/>
        <item m="1" x="5762"/>
        <item m="1" x="5761"/>
        <item m="1" x="5760"/>
        <item m="1" x="5759"/>
        <item m="1" x="5758"/>
        <item m="1" x="5757"/>
        <item m="1" x="5756"/>
        <item m="1" x="5755"/>
        <item m="1" x="5754"/>
        <item m="1" x="5753"/>
        <item m="1" x="5752"/>
        <item m="1" x="5751"/>
        <item m="1" x="5750"/>
        <item m="1" x="5749"/>
        <item m="1" x="5748"/>
        <item m="1" x="5747"/>
        <item m="1" x="5746"/>
        <item m="1" x="5745"/>
        <item m="1" x="5744"/>
        <item m="1" x="5743"/>
        <item m="1" x="5742"/>
        <item m="1" x="5741"/>
        <item m="1" x="5740"/>
        <item m="1" x="5739"/>
        <item m="1" x="5738"/>
        <item m="1" x="5737"/>
        <item m="1" x="5736"/>
        <item m="1" x="5735"/>
        <item m="1" x="5734"/>
        <item m="1" x="5733"/>
        <item m="1" x="5732"/>
        <item m="1" x="5731"/>
        <item m="1" x="5730"/>
        <item m="1" x="5729"/>
        <item m="1" x="5728"/>
        <item m="1" x="5727"/>
        <item m="1" x="5726"/>
        <item m="1" x="5725"/>
        <item m="1" x="5724"/>
        <item m="1" x="5723"/>
        <item m="1" x="5722"/>
        <item m="1" x="5721"/>
        <item m="1" x="5720"/>
        <item m="1" x="5719"/>
        <item m="1" x="5718"/>
        <item m="1" x="5717"/>
        <item m="1" x="5716"/>
        <item m="1" x="5715"/>
        <item m="1" x="5714"/>
        <item m="1" x="5713"/>
        <item m="1" x="5712"/>
        <item m="1" x="5711"/>
        <item m="1" x="5710"/>
        <item m="1" x="5709"/>
        <item m="1" x="5708"/>
        <item m="1" x="5707"/>
        <item m="1" x="5706"/>
        <item m="1" x="5705"/>
        <item m="1" x="5704"/>
        <item m="1" x="5703"/>
        <item m="1" x="5702"/>
        <item m="1" x="5701"/>
        <item m="1" x="5700"/>
        <item m="1" x="5699"/>
        <item m="1" x="5698"/>
        <item m="1" x="5697"/>
        <item m="1" x="5696"/>
        <item m="1" x="5695"/>
        <item m="1" x="5694"/>
        <item m="1" x="5693"/>
        <item m="1" x="5692"/>
        <item m="1" x="5691"/>
        <item m="1" x="5690"/>
        <item m="1" x="5689"/>
        <item m="1" x="5688"/>
        <item m="1" x="5687"/>
        <item m="1" x="5686"/>
        <item m="1" x="5685"/>
        <item m="1" x="5684"/>
        <item m="1" x="5683"/>
        <item m="1" x="5682"/>
        <item m="1" x="5681"/>
        <item m="1" x="5680"/>
        <item m="1" x="5679"/>
        <item m="1" x="5678"/>
        <item m="1" x="5677"/>
        <item m="1" x="5676"/>
        <item m="1" x="5675"/>
        <item m="1" x="5674"/>
        <item m="1" x="5673"/>
        <item m="1" x="5672"/>
        <item m="1" x="5671"/>
        <item m="1" x="5670"/>
        <item m="1" x="5669"/>
        <item m="1" x="5668"/>
        <item m="1" x="5667"/>
        <item m="1" x="5666"/>
        <item m="1" x="5665"/>
        <item m="1" x="5664"/>
        <item m="1" x="5663"/>
        <item m="1" x="5662"/>
        <item m="1" x="5661"/>
        <item m="1" x="5660"/>
        <item m="1" x="5659"/>
        <item m="1" x="5658"/>
        <item m="1" x="5657"/>
        <item m="1" x="5656"/>
        <item m="1" x="5655"/>
        <item m="1" x="5654"/>
        <item m="1" x="5653"/>
        <item m="1" x="5652"/>
        <item m="1" x="5651"/>
        <item m="1" x="5650"/>
        <item m="1" x="5649"/>
        <item m="1" x="5648"/>
        <item m="1" x="5647"/>
        <item m="1" x="5646"/>
        <item m="1" x="5645"/>
        <item m="1" x="5644"/>
        <item m="1" x="5643"/>
        <item m="1" x="5642"/>
        <item m="1" x="5641"/>
        <item m="1" x="5640"/>
        <item m="1" x="5639"/>
        <item m="1" x="5638"/>
        <item m="1" x="5637"/>
        <item m="1" x="5636"/>
        <item m="1" x="5635"/>
        <item m="1" x="5634"/>
        <item m="1" x="5633"/>
        <item m="1" x="5632"/>
        <item m="1" x="5946"/>
        <item m="1" x="5945"/>
        <item m="1" x="5944"/>
        <item m="1" x="5943"/>
        <item m="1" x="5942"/>
        <item m="1" x="5941"/>
        <item m="1" x="5940"/>
        <item m="1" x="5939"/>
        <item m="1" x="5938"/>
        <item m="1" x="5937"/>
        <item m="1" x="5936"/>
        <item m="1" x="5935"/>
        <item m="1" x="5934"/>
        <item m="1" x="5933"/>
        <item m="1" x="5932"/>
        <item m="1" x="5931"/>
        <item m="1" x="5930"/>
        <item m="1" x="5929"/>
        <item m="1" x="5928"/>
        <item m="1" x="5927"/>
        <item m="1" x="5926"/>
        <item m="1" x="5925"/>
        <item m="1" x="5924"/>
        <item m="1" x="5923"/>
        <item m="1" x="5922"/>
        <item m="1" x="5921"/>
        <item m="1" x="5920"/>
        <item m="1" x="5919"/>
        <item m="1" x="5918"/>
        <item m="1" x="5917"/>
        <item m="1" x="5916"/>
        <item m="1" x="5915"/>
        <item m="1" x="5914"/>
        <item m="1" x="5913"/>
        <item m="1" x="5912"/>
        <item m="1" x="5911"/>
        <item m="1" x="5910"/>
        <item m="1" x="5909"/>
        <item m="1" x="5908"/>
        <item m="1" x="5907"/>
        <item m="1" x="5906"/>
        <item m="1" x="5905"/>
        <item m="1" x="5904"/>
        <item m="1" x="5903"/>
        <item m="1" x="5902"/>
        <item m="1" x="5901"/>
        <item m="1" x="5900"/>
        <item m="1" x="5899"/>
        <item m="1" x="5898"/>
        <item m="1" x="5897"/>
        <item m="1" x="5896"/>
        <item m="1" x="5895"/>
        <item m="1" x="5894"/>
        <item m="1" x="5893"/>
        <item m="1" x="5892"/>
        <item m="1" x="5891"/>
        <item m="1" x="5890"/>
        <item m="1" x="5889"/>
        <item m="1" x="6348"/>
        <item m="1" x="6347"/>
        <item m="1" x="6346"/>
        <item m="1" x="6345"/>
        <item m="1" x="6344"/>
        <item m="1" x="6343"/>
        <item m="1" x="6342"/>
        <item m="1" x="6341"/>
        <item m="1" x="6340"/>
        <item m="1" x="6339"/>
        <item m="1" x="6338"/>
        <item m="1" x="6337"/>
        <item m="1" x="6336"/>
        <item m="1" x="6335"/>
        <item m="1" x="6334"/>
        <item m="1" x="6333"/>
        <item m="1" x="6332"/>
        <item m="1" x="6331"/>
        <item m="1" x="6330"/>
        <item m="1" x="6329"/>
        <item m="1" x="6328"/>
        <item m="1" x="6327"/>
        <item m="1" x="6326"/>
        <item m="1" x="6325"/>
        <item m="1" x="6324"/>
        <item m="1" x="6323"/>
        <item m="1" x="6322"/>
        <item m="1" x="6321"/>
        <item m="1" x="6320"/>
        <item m="1" x="6319"/>
        <item m="1" x="6318"/>
        <item m="1" x="6317"/>
        <item m="1" x="6316"/>
        <item m="1" x="6315"/>
        <item m="1" x="6314"/>
        <item m="1" x="6313"/>
        <item m="1" x="6312"/>
        <item m="1" x="6311"/>
        <item m="1" x="6310"/>
        <item m="1" x="6309"/>
        <item m="1" x="6308"/>
        <item m="1" x="6307"/>
        <item m="1" x="6306"/>
        <item m="1" x="6305"/>
        <item m="1" x="6304"/>
        <item m="1" x="6303"/>
        <item m="1" x="6302"/>
        <item m="1" x="6301"/>
        <item m="1" x="6300"/>
        <item m="1" x="6299"/>
        <item m="1" x="6298"/>
        <item m="1" x="6297"/>
        <item m="1" x="6296"/>
        <item m="1" x="6295"/>
        <item m="1" x="6294"/>
        <item m="1" x="6293"/>
        <item m="1" x="6292"/>
        <item m="1" x="6291"/>
        <item m="1" x="6290"/>
        <item m="1" x="6289"/>
        <item m="1" x="6288"/>
        <item m="1" x="6287"/>
        <item m="1" x="6286"/>
        <item m="1" x="6285"/>
        <item m="1" x="6284"/>
        <item m="1" x="6283"/>
        <item m="1" x="6282"/>
        <item m="1" x="6281"/>
        <item m="1" x="6280"/>
        <item m="1" x="6279"/>
        <item m="1" x="6278"/>
        <item m="1" x="6277"/>
        <item m="1" x="6276"/>
        <item m="1" x="6275"/>
        <item m="1" x="6274"/>
        <item m="1" x="6273"/>
        <item m="1" x="6272"/>
        <item m="1" x="6271"/>
        <item m="1" x="6270"/>
        <item m="1" x="6269"/>
        <item m="1" x="6268"/>
        <item m="1" x="6267"/>
        <item m="1" x="6266"/>
        <item m="1" x="6265"/>
        <item m="1" x="6264"/>
        <item m="1" x="6263"/>
        <item m="1" x="6262"/>
        <item m="1" x="6261"/>
        <item m="1" x="6260"/>
        <item m="1" x="6259"/>
        <item m="1" x="6258"/>
        <item m="1" x="6257"/>
        <item m="1" x="6256"/>
        <item m="1" x="6255"/>
        <item m="1" x="6254"/>
        <item m="1" x="6253"/>
        <item m="1" x="6252"/>
        <item m="1" x="6251"/>
        <item m="1" x="6250"/>
        <item m="1" x="6249"/>
        <item m="1" x="6248"/>
        <item m="1" x="6247"/>
        <item m="1" x="6246"/>
        <item m="1" x="6245"/>
        <item m="1" x="6244"/>
        <item m="1" x="6243"/>
        <item m="1" x="6242"/>
        <item m="1" x="6241"/>
        <item m="1" x="6240"/>
        <item m="1" x="6239"/>
        <item m="1" x="6238"/>
        <item m="1" x="6237"/>
        <item m="1" x="6236"/>
        <item m="1" x="6235"/>
        <item m="1" x="6234"/>
        <item m="1" x="6233"/>
        <item m="1" x="6232"/>
        <item m="1" x="6231"/>
        <item m="1" x="6230"/>
        <item m="1" x="6229"/>
        <item m="1" x="6228"/>
        <item m="1" x="6227"/>
        <item m="1" x="6226"/>
        <item m="1" x="6225"/>
        <item m="1" x="6224"/>
        <item m="1" x="6223"/>
        <item m="1" x="6222"/>
        <item m="1" x="6221"/>
        <item m="1" x="6220"/>
        <item m="1" x="6219"/>
        <item m="1" x="6218"/>
        <item m="1" x="6217"/>
        <item m="1" x="6216"/>
        <item m="1" x="6215"/>
        <item m="1" x="6214"/>
        <item m="1" x="6213"/>
        <item m="1" x="6212"/>
        <item m="1" x="6211"/>
        <item m="1" x="6210"/>
        <item m="1" x="6209"/>
        <item m="1" x="6208"/>
        <item m="1" x="6207"/>
        <item m="1" x="6206"/>
        <item m="1" x="6205"/>
        <item m="1" x="6204"/>
        <item m="1" x="6203"/>
        <item m="1" x="6202"/>
        <item m="1" x="6201"/>
        <item m="1" x="6200"/>
        <item m="1" x="6199"/>
        <item m="1" x="6198"/>
        <item m="1" x="6197"/>
        <item m="1" x="6196"/>
        <item m="1" x="6195"/>
        <item m="1" x="6194"/>
        <item m="1" x="6193"/>
        <item m="1" x="6192"/>
        <item m="1" x="6191"/>
        <item m="1" x="6190"/>
        <item m="1" x="6189"/>
        <item m="1" x="6188"/>
        <item m="1" x="6187"/>
        <item m="1" x="6186"/>
        <item m="1" x="6185"/>
        <item m="1" x="6184"/>
        <item m="1" x="6183"/>
        <item m="1" x="6182"/>
        <item m="1" x="6181"/>
        <item m="1" x="6180"/>
        <item m="1" x="6179"/>
        <item m="1" x="6178"/>
        <item m="1" x="6177"/>
        <item m="1" x="6176"/>
        <item m="1" x="6175"/>
        <item m="1" x="6174"/>
        <item m="1" x="6173"/>
        <item m="1" x="6172"/>
        <item m="1" x="6171"/>
        <item m="1" x="6170"/>
        <item m="1" x="6169"/>
        <item m="1" x="6168"/>
        <item m="1" x="6167"/>
        <item m="1" x="6166"/>
        <item m="1" x="6165"/>
        <item m="1" x="6164"/>
        <item m="1" x="6163"/>
        <item m="1" x="6162"/>
        <item m="1" x="6161"/>
        <item m="1" x="6160"/>
        <item m="1" x="6159"/>
        <item m="1" x="6158"/>
        <item m="1" x="6157"/>
        <item m="1" x="6156"/>
        <item m="1" x="6155"/>
        <item m="1" x="6154"/>
        <item m="1" x="6153"/>
        <item m="1" x="6152"/>
        <item m="1" x="6151"/>
        <item m="1" x="6150"/>
        <item m="1" x="6149"/>
        <item m="1" x="6148"/>
        <item m="1" x="6147"/>
        <item m="1" x="6146"/>
        <item m="1" x="6145"/>
        <item m="1" x="6144"/>
        <item m="1" x="6143"/>
        <item m="1" x="6142"/>
        <item m="1" x="6141"/>
        <item m="1" x="6140"/>
        <item m="1" x="6139"/>
        <item m="1" x="6138"/>
        <item m="1" x="6137"/>
        <item m="1" x="6136"/>
        <item m="1" x="6135"/>
        <item m="1" x="6134"/>
        <item m="1" x="6133"/>
        <item m="1" x="6132"/>
        <item m="1" x="6131"/>
        <item m="1" x="6130"/>
        <item m="1" x="6129"/>
        <item m="1" x="6128"/>
        <item m="1" x="6127"/>
        <item m="1" x="6126"/>
        <item m="1" x="6125"/>
        <item m="1" x="6124"/>
        <item m="1" x="6123"/>
        <item m="1" x="6122"/>
        <item m="1" x="6121"/>
        <item m="1" x="6120"/>
        <item m="1" x="6119"/>
        <item m="1" x="6118"/>
        <item m="1" x="6117"/>
        <item m="1" x="6116"/>
        <item m="1" x="6115"/>
        <item m="1" x="6114"/>
        <item m="1" x="6113"/>
        <item m="1" x="6112"/>
        <item m="1" x="6111"/>
        <item m="1" x="6110"/>
        <item m="1" x="6109"/>
        <item m="1" x="6108"/>
        <item m="1" x="6107"/>
        <item m="1" x="6106"/>
        <item m="1" x="6105"/>
        <item m="1" x="6104"/>
        <item m="1" x="6103"/>
        <item m="1" x="6102"/>
        <item m="1" x="6101"/>
        <item m="1" x="6100"/>
        <item m="1" x="6099"/>
        <item m="1" x="6098"/>
        <item m="1" x="6097"/>
        <item m="1" x="6096"/>
        <item m="1" x="6095"/>
        <item m="1" x="6094"/>
        <item m="1" x="6093"/>
        <item m="1" x="6092"/>
        <item m="1" x="6091"/>
        <item m="1" x="6090"/>
        <item m="1" x="6089"/>
        <item m="1" x="6088"/>
        <item m="1" x="6087"/>
        <item m="1" x="6086"/>
        <item m="1" x="6085"/>
        <item m="1" x="6084"/>
        <item m="1" x="6083"/>
        <item m="1" x="6082"/>
        <item m="1" x="6081"/>
        <item m="1" x="6080"/>
        <item m="1" x="6079"/>
        <item m="1" x="6078"/>
        <item m="1" x="6077"/>
        <item m="1" x="6076"/>
        <item m="1" x="6075"/>
        <item m="1" x="6074"/>
        <item m="1" x="6073"/>
        <item m="1" x="6072"/>
        <item m="1" x="6071"/>
        <item m="1" x="6070"/>
        <item m="1" x="6069"/>
        <item m="1" x="6068"/>
        <item m="1" x="6067"/>
        <item m="1" x="6066"/>
        <item m="1" x="6065"/>
        <item m="1" x="6064"/>
        <item m="1" x="6063"/>
        <item m="1" x="6062"/>
        <item m="1" x="6061"/>
        <item m="1" x="6060"/>
        <item m="1" x="6059"/>
        <item m="1" x="6058"/>
        <item m="1" x="6057"/>
        <item m="1" x="6056"/>
        <item m="1" x="6055"/>
        <item m="1" x="6054"/>
        <item m="1" x="6053"/>
        <item m="1" x="6052"/>
        <item m="1" x="6051"/>
        <item m="1" x="6050"/>
        <item m="1" x="6049"/>
        <item m="1" x="6048"/>
        <item m="1" x="6047"/>
        <item m="1" x="6046"/>
        <item m="1" x="6045"/>
        <item m="1" x="6044"/>
        <item m="1" x="6043"/>
        <item m="1" x="6042"/>
        <item m="1" x="6041"/>
        <item m="1" x="6040"/>
        <item m="1" x="6039"/>
        <item m="1" x="6038"/>
        <item m="1" x="6037"/>
        <item m="1" x="6036"/>
        <item m="1" x="6035"/>
        <item m="1" x="6034"/>
        <item m="1" x="6033"/>
        <item m="1" x="6032"/>
        <item m="1" x="6031"/>
        <item m="1" x="6030"/>
        <item m="1" x="6029"/>
        <item m="1" x="6028"/>
        <item m="1" x="6027"/>
        <item m="1" x="6026"/>
        <item m="1" x="6025"/>
        <item m="1" x="6024"/>
        <item m="1" x="6023"/>
        <item m="1" x="6022"/>
        <item m="1" x="6021"/>
        <item m="1" x="6020"/>
        <item m="1" x="6019"/>
        <item m="1" x="6018"/>
        <item m="1" x="6017"/>
        <item m="1" x="6016"/>
        <item m="1" x="6015"/>
        <item m="1" x="6014"/>
        <item m="1" x="6013"/>
        <item m="1" x="6012"/>
        <item m="1" x="6011"/>
        <item m="1" x="6010"/>
        <item m="1" x="6009"/>
        <item m="1" x="6008"/>
        <item m="1" x="6007"/>
        <item m="1" x="6006"/>
        <item m="1" x="6005"/>
        <item m="1" x="6004"/>
        <item m="1" x="6003"/>
        <item m="1" x="6002"/>
        <item m="1" x="6001"/>
        <item m="1" x="6000"/>
        <item m="1" x="5999"/>
        <item m="1" x="5998"/>
        <item m="1" x="5997"/>
        <item m="1" x="5996"/>
        <item m="1" x="5995"/>
        <item m="1" x="5994"/>
        <item m="1" x="5993"/>
        <item m="1" x="5992"/>
        <item m="1" x="5991"/>
        <item m="1" x="5990"/>
        <item m="1" x="5989"/>
        <item m="1" x="5988"/>
        <item m="1" x="5987"/>
        <item m="1" x="5986"/>
        <item m="1" x="5985"/>
        <item m="1" x="5984"/>
        <item m="1" x="5983"/>
        <item m="1" x="5982"/>
        <item m="1" x="5981"/>
        <item m="1" x="5980"/>
        <item m="1" x="5979"/>
        <item m="1" x="5978"/>
        <item m="1" x="5977"/>
        <item m="1" x="5976"/>
        <item m="1" x="5975"/>
        <item m="1" x="5974"/>
        <item m="1" x="5973"/>
        <item m="1" x="5972"/>
        <item m="1" x="5971"/>
        <item m="1" x="5970"/>
        <item m="1" x="5969"/>
        <item m="1" x="5968"/>
        <item m="1" x="5967"/>
        <item m="1" x="5966"/>
        <item m="1" x="5965"/>
        <item m="1" x="5964"/>
        <item m="1" x="5963"/>
        <item m="1" x="5962"/>
        <item m="1" x="5961"/>
        <item m="1" x="5960"/>
        <item m="1" x="5959"/>
        <item m="1" x="5958"/>
        <item m="1" x="5957"/>
        <item m="1" x="5956"/>
        <item m="1" x="5955"/>
        <item m="1" x="5954"/>
        <item m="1" x="5953"/>
        <item m="1" x="5952"/>
        <item m="1" x="5951"/>
        <item m="1" x="5950"/>
        <item m="1" x="5949"/>
        <item m="1" x="5948"/>
        <item m="1" x="5947"/>
        <item m="1" x="6478"/>
        <item m="1" x="6477"/>
        <item m="1" x="6476"/>
        <item m="1" x="6475"/>
        <item m="1" x="6474"/>
        <item m="1" x="6473"/>
        <item m="1" x="6472"/>
        <item m="1" x="6471"/>
        <item m="1" x="6470"/>
        <item m="1" x="6469"/>
        <item m="1" x="6468"/>
        <item m="1" x="6467"/>
        <item m="1" x="6466"/>
        <item m="1" x="6465"/>
        <item m="1" x="6464"/>
        <item m="1" x="6463"/>
        <item m="1" x="6462"/>
        <item m="1" x="6461"/>
        <item m="1" x="6460"/>
        <item m="1" x="6459"/>
        <item m="1" x="6458"/>
        <item m="1" x="6457"/>
        <item m="1" x="6456"/>
        <item m="1" x="6455"/>
        <item m="1" x="6454"/>
        <item m="1" x="6453"/>
        <item m="1" x="6452"/>
        <item m="1" x="6451"/>
        <item m="1" x="6450"/>
        <item m="1" x="6449"/>
        <item m="1" x="6448"/>
        <item m="1" x="6447"/>
        <item m="1" x="6446"/>
        <item m="1" x="6445"/>
        <item m="1" x="6444"/>
        <item m="1" x="6443"/>
        <item m="1" x="6442"/>
        <item m="1" x="6441"/>
        <item m="1" x="6440"/>
        <item m="1" x="6439"/>
        <item m="1" x="6438"/>
        <item m="1" x="6437"/>
        <item m="1" x="6436"/>
        <item m="1" x="6435"/>
        <item m="1" x="6434"/>
        <item m="1" x="6433"/>
        <item m="1" x="6432"/>
        <item m="1" x="6431"/>
        <item m="1" x="6430"/>
        <item m="1" x="6429"/>
        <item m="1" x="6428"/>
        <item m="1" x="6427"/>
        <item m="1" x="6426"/>
        <item m="1" x="6425"/>
        <item m="1" x="6424"/>
        <item m="1" x="6423"/>
        <item m="1" x="6422"/>
        <item m="1" x="6421"/>
        <item m="1" x="6420"/>
        <item m="1" x="6419"/>
        <item m="1" x="6418"/>
        <item m="1" x="6417"/>
        <item m="1" x="6416"/>
        <item m="1" x="6415"/>
        <item m="1" x="6414"/>
        <item m="1" x="6413"/>
        <item m="1" x="6412"/>
        <item m="1" x="6411"/>
        <item m="1" x="6410"/>
        <item m="1" x="6409"/>
        <item m="1" x="6408"/>
        <item m="1" x="6407"/>
        <item m="1" x="6406"/>
        <item m="1" x="6405"/>
        <item m="1" x="6404"/>
        <item m="1" x="6403"/>
        <item m="1" x="6402"/>
        <item m="1" x="6401"/>
        <item m="1" x="6400"/>
        <item m="1" x="6399"/>
        <item m="1" x="6398"/>
        <item m="1" x="6397"/>
        <item m="1" x="6396"/>
        <item m="1" x="6395"/>
        <item m="1" x="6394"/>
        <item m="1" x="6393"/>
        <item m="1" x="6392"/>
        <item m="1" x="6391"/>
        <item m="1" x="6390"/>
        <item m="1" x="6389"/>
        <item m="1" x="6388"/>
        <item m="1" x="6387"/>
        <item m="1" x="6386"/>
        <item m="1" x="6385"/>
        <item m="1" x="6384"/>
        <item m="1" x="6383"/>
        <item m="1" x="6382"/>
        <item m="1" x="6381"/>
        <item m="1" x="6380"/>
        <item m="1" x="6379"/>
        <item m="1" x="6378"/>
        <item m="1" x="6377"/>
        <item m="1" x="6376"/>
        <item m="1" x="6375"/>
        <item m="1" x="6374"/>
        <item m="1" x="6373"/>
        <item m="1" x="6372"/>
        <item m="1" x="6371"/>
        <item m="1" x="6370"/>
        <item m="1" x="6369"/>
        <item m="1" x="6368"/>
        <item m="1" x="6367"/>
        <item m="1" x="6366"/>
        <item m="1" x="6365"/>
        <item m="1" x="6364"/>
        <item m="1" x="6363"/>
        <item m="1" x="6362"/>
        <item m="1" x="6361"/>
        <item m="1" x="6360"/>
        <item m="1" x="6359"/>
        <item m="1" x="6358"/>
        <item m="1" x="6357"/>
        <item m="1" x="6356"/>
        <item m="1" x="6355"/>
        <item m="1" x="6354"/>
        <item m="1" x="6353"/>
        <item m="1" x="6352"/>
        <item m="1" x="6351"/>
        <item m="1" x="6350"/>
        <item m="1" x="6349"/>
        <item m="1" x="6588"/>
        <item m="1" x="6587"/>
        <item m="1" x="6586"/>
        <item m="1" x="6585"/>
        <item m="1" x="6584"/>
        <item m="1" x="6583"/>
        <item m="1" x="6582"/>
        <item m="1" x="6581"/>
        <item m="1" x="6580"/>
        <item m="1" x="6579"/>
        <item m="1" x="6578"/>
        <item m="1" x="6577"/>
        <item m="1" x="6576"/>
        <item m="1" x="6575"/>
        <item m="1" x="6574"/>
        <item m="1" x="6573"/>
        <item m="1" x="6572"/>
        <item m="1" x="6571"/>
        <item m="1" x="6570"/>
        <item m="1" x="6569"/>
        <item m="1" x="6568"/>
        <item m="1" x="6567"/>
        <item m="1" x="6566"/>
        <item m="1" x="6565"/>
        <item m="1" x="6564"/>
        <item m="1" x="6563"/>
        <item m="1" x="6562"/>
        <item m="1" x="6561"/>
        <item m="1" x="6560"/>
        <item m="1" x="6559"/>
        <item m="1" x="6558"/>
        <item m="1" x="6557"/>
        <item m="1" x="6556"/>
        <item m="1" x="6555"/>
        <item m="1" x="6554"/>
        <item m="1" x="6553"/>
        <item m="1" x="6552"/>
        <item m="1" x="6551"/>
        <item m="1" x="6550"/>
        <item m="1" x="6549"/>
        <item m="1" x="6548"/>
        <item m="1" x="6547"/>
        <item m="1" x="6546"/>
        <item m="1" x="6545"/>
        <item m="1" x="6544"/>
        <item m="1" x="6543"/>
        <item m="1" x="6542"/>
        <item m="1" x="6541"/>
        <item m="1" x="6540"/>
        <item m="1" x="6539"/>
        <item m="1" x="6538"/>
        <item m="1" x="6537"/>
        <item m="1" x="6536"/>
        <item m="1" x="6535"/>
        <item m="1" x="6534"/>
        <item m="1" x="6533"/>
        <item m="1" x="6532"/>
        <item m="1" x="6531"/>
        <item m="1" x="6530"/>
        <item m="1" x="6529"/>
        <item m="1" x="6528"/>
        <item m="1" x="6527"/>
        <item m="1" x="6526"/>
        <item m="1" x="6525"/>
        <item m="1" x="6524"/>
        <item m="1" x="6523"/>
        <item m="1" x="6522"/>
        <item m="1" x="6521"/>
        <item m="1" x="6520"/>
        <item m="1" x="6519"/>
        <item m="1" x="6518"/>
        <item m="1" x="6517"/>
        <item m="1" x="6516"/>
        <item m="1" x="6515"/>
        <item m="1" x="6514"/>
        <item m="1" x="6513"/>
        <item m="1" x="6512"/>
        <item m="1" x="6511"/>
        <item m="1" x="6510"/>
        <item m="1" x="6509"/>
        <item m="1" x="6508"/>
        <item m="1" x="6507"/>
        <item m="1" x="6506"/>
        <item m="1" x="6505"/>
        <item m="1" x="6504"/>
        <item m="1" x="6503"/>
        <item m="1" x="6502"/>
        <item m="1" x="6501"/>
        <item m="1" x="6500"/>
        <item m="1" x="6499"/>
        <item m="1" x="6498"/>
        <item m="1" x="6497"/>
        <item m="1" x="6496"/>
        <item m="1" x="6495"/>
        <item m="1" x="6494"/>
        <item m="1" x="6493"/>
        <item m="1" x="6492"/>
        <item m="1" x="6491"/>
        <item m="1" x="6490"/>
        <item m="1" x="6489"/>
        <item m="1" x="6488"/>
        <item m="1" x="6487"/>
        <item m="1" x="6486"/>
        <item m="1" x="6485"/>
        <item m="1" x="6484"/>
        <item m="1" x="6483"/>
        <item m="1" x="6482"/>
        <item m="1" x="6481"/>
        <item m="1" x="6480"/>
        <item m="1" x="6479"/>
        <item m="1" x="6686"/>
        <item m="1" x="6685"/>
        <item m="1" x="6684"/>
        <item m="1" x="6683"/>
        <item m="1" x="6682"/>
        <item m="1" x="6681"/>
        <item m="1" x="6680"/>
        <item m="1" x="6679"/>
        <item m="1" x="6678"/>
        <item m="1" x="6677"/>
        <item m="1" x="6676"/>
        <item m="1" x="6675"/>
        <item m="1" x="6674"/>
        <item m="1" x="6673"/>
        <item m="1" x="6672"/>
        <item m="1" x="6671"/>
        <item m="1" x="6670"/>
        <item m="1" x="6669"/>
        <item m="1" x="6668"/>
        <item m="1" x="6667"/>
        <item m="1" x="6666"/>
        <item m="1" x="6665"/>
        <item m="1" x="6664"/>
        <item m="1" x="6663"/>
        <item m="1" x="6662"/>
        <item m="1" x="6661"/>
        <item m="1" x="6660"/>
        <item m="1" x="6659"/>
        <item m="1" x="6658"/>
        <item m="1" x="6657"/>
        <item m="1" x="6656"/>
        <item m="1" x="6655"/>
        <item m="1" x="6654"/>
        <item m="1" x="6653"/>
        <item m="1" x="6652"/>
        <item m="1" x="6651"/>
        <item m="1" x="6650"/>
        <item m="1" x="6649"/>
        <item m="1" x="6648"/>
        <item m="1" x="6647"/>
        <item m="1" x="6646"/>
        <item m="1" x="6645"/>
        <item m="1" x="6644"/>
        <item m="1" x="6643"/>
        <item m="1" x="6642"/>
        <item m="1" x="6641"/>
        <item m="1" x="6640"/>
        <item m="1" x="6639"/>
        <item m="1" x="6638"/>
        <item m="1" x="6637"/>
        <item m="1" x="6636"/>
        <item m="1" x="6635"/>
        <item m="1" x="6634"/>
        <item m="1" x="6633"/>
        <item m="1" x="6632"/>
        <item m="1" x="6631"/>
        <item m="1" x="6630"/>
        <item m="1" x="6629"/>
        <item m="1" x="6628"/>
        <item m="1" x="6627"/>
        <item m="1" x="6626"/>
        <item m="1" x="6625"/>
        <item m="1" x="6624"/>
        <item m="1" x="6623"/>
        <item m="1" x="6622"/>
        <item m="1" x="6621"/>
        <item m="1" x="6620"/>
        <item m="1" x="6619"/>
        <item m="1" x="6618"/>
        <item m="1" x="6617"/>
        <item m="1" x="6616"/>
        <item m="1" x="6615"/>
        <item m="1" x="6614"/>
        <item m="1" x="6613"/>
        <item m="1" x="6612"/>
        <item m="1" x="6611"/>
        <item m="1" x="6610"/>
        <item m="1" x="6609"/>
        <item m="1" x="6608"/>
        <item m="1" x="6607"/>
        <item m="1" x="6606"/>
        <item m="1" x="6605"/>
        <item m="1" x="6604"/>
        <item m="1" x="6603"/>
        <item m="1" x="6602"/>
        <item m="1" x="6601"/>
        <item m="1" x="6600"/>
        <item m="1" x="6599"/>
        <item m="1" x="6598"/>
        <item m="1" x="6597"/>
        <item m="1" x="6596"/>
        <item m="1" x="6595"/>
        <item m="1" x="6594"/>
        <item m="1" x="6593"/>
        <item m="1" x="6592"/>
        <item m="1" x="6591"/>
        <item m="1" x="6590"/>
        <item m="1" x="6589"/>
        <item m="1" x="7095"/>
        <item m="1" x="7094"/>
        <item m="1" x="7093"/>
        <item m="1" x="7092"/>
        <item m="1" x="7091"/>
        <item m="1" x="7090"/>
        <item m="1" x="7089"/>
        <item m="1" x="7088"/>
        <item m="1" x="7087"/>
        <item m="1" x="7086"/>
        <item m="1" x="7085"/>
        <item m="1" x="7084"/>
        <item m="1" x="7083"/>
        <item m="1" x="7082"/>
        <item m="1" x="7081"/>
        <item m="1" x="7080"/>
        <item m="1" x="7079"/>
        <item m="1" x="7078"/>
        <item m="1" x="7077"/>
        <item m="1" x="7076"/>
        <item m="1" x="7075"/>
        <item m="1" x="7074"/>
        <item m="1" x="7073"/>
        <item m="1" x="7072"/>
        <item m="1" x="7071"/>
        <item m="1" x="7070"/>
        <item m="1" x="7069"/>
        <item m="1" x="7068"/>
        <item m="1" x="7067"/>
        <item m="1" x="7066"/>
        <item m="1" x="7065"/>
        <item m="1" x="7064"/>
        <item m="1" x="7063"/>
        <item m="1" x="7062"/>
        <item m="1" x="7061"/>
        <item m="1" x="7060"/>
        <item m="1" x="7059"/>
        <item m="1" x="7058"/>
        <item m="1" x="7057"/>
        <item m="1" x="7056"/>
        <item m="1" x="7055"/>
        <item m="1" x="7054"/>
        <item m="1" x="7053"/>
        <item m="1" x="7052"/>
        <item m="1" x="7051"/>
        <item m="1" x="7050"/>
        <item m="1" x="7049"/>
        <item m="1" x="7048"/>
        <item m="1" x="7047"/>
        <item m="1" x="7046"/>
        <item m="1" x="7045"/>
        <item m="1" x="7044"/>
        <item m="1" x="7043"/>
        <item m="1" x="7042"/>
        <item m="1" x="7041"/>
        <item m="1" x="7040"/>
        <item m="1" x="7039"/>
        <item m="1" x="7038"/>
        <item m="1" x="7037"/>
        <item m="1" x="7036"/>
        <item m="1" x="7035"/>
        <item m="1" x="7034"/>
        <item m="1" x="7033"/>
        <item m="1" x="7032"/>
        <item m="1" x="7031"/>
        <item m="1" x="2398"/>
        <item m="1" x="2397"/>
        <item m="1" x="2396"/>
        <item m="1" x="2395"/>
        <item m="1" x="2394"/>
        <item m="1" x="2393"/>
        <item m="1" x="2392"/>
        <item m="1" x="7185"/>
        <item m="1" x="7184"/>
        <item m="1" x="7183"/>
        <item m="1" x="7182"/>
        <item m="1" x="7181"/>
        <item m="1" x="7180"/>
        <item m="1" x="7179"/>
        <item m="1" x="7178"/>
        <item m="1" x="7177"/>
        <item m="1" x="7176"/>
        <item m="1" x="7175"/>
        <item m="1" x="7174"/>
        <item m="1" x="7173"/>
        <item m="1" x="7172"/>
        <item m="1" x="7171"/>
        <item m="1" x="7170"/>
        <item m="1" x="7169"/>
        <item m="1" x="7168"/>
        <item m="1" x="7167"/>
        <item m="1" x="7166"/>
        <item m="1" x="7165"/>
        <item m="1" x="7164"/>
        <item m="1" x="7163"/>
        <item m="1" x="7162"/>
        <item m="1" x="7161"/>
        <item m="1" x="7160"/>
        <item m="1" x="7159"/>
        <item m="1" x="7158"/>
        <item m="1" x="7157"/>
        <item m="1" x="7156"/>
        <item m="1" x="7155"/>
        <item m="1" x="7154"/>
        <item m="1" x="7153"/>
        <item m="1" x="7152"/>
        <item m="1" x="7151"/>
        <item m="1" x="7150"/>
        <item m="1" x="7149"/>
        <item m="1" x="7148"/>
        <item m="1" x="7147"/>
        <item m="1" x="7146"/>
        <item m="1" x="7145"/>
        <item m="1" x="7144"/>
        <item m="1" x="7143"/>
        <item m="1" x="7142"/>
        <item m="1" x="7141"/>
        <item m="1" x="7140"/>
        <item m="1" x="7139"/>
        <item m="1" x="7138"/>
        <item m="1" x="7137"/>
        <item m="1" x="7136"/>
        <item m="1" x="7135"/>
        <item m="1" x="7134"/>
        <item m="1" x="7133"/>
        <item m="1" x="7132"/>
        <item m="1" x="7131"/>
        <item m="1" x="7130"/>
        <item m="1" x="7129"/>
        <item m="1" x="7128"/>
        <item m="1" x="7127"/>
        <item m="1" x="7126"/>
        <item m="1" x="7125"/>
        <item m="1" x="7124"/>
        <item m="1" x="7123"/>
        <item m="1" x="7122"/>
        <item m="1" x="7121"/>
        <item m="1" x="7120"/>
        <item m="1" x="7119"/>
        <item m="1" x="7118"/>
        <item m="1" x="7117"/>
        <item m="1" x="7116"/>
        <item m="1" x="7115"/>
        <item m="1" x="7114"/>
        <item m="1" x="7113"/>
        <item m="1" x="7112"/>
        <item m="1" x="7111"/>
        <item m="1" x="7110"/>
        <item m="1" x="7109"/>
        <item m="1" x="7108"/>
        <item m="1" x="7107"/>
        <item m="1" x="7106"/>
        <item m="1" x="7105"/>
        <item m="1" x="7104"/>
        <item m="1" x="7103"/>
        <item m="1" x="7102"/>
        <item m="1" x="7101"/>
        <item m="1" x="7100"/>
        <item m="1" x="7099"/>
        <item m="1" x="7098"/>
        <item m="1" x="7097"/>
        <item m="1" x="7096"/>
        <item m="1" x="7485"/>
        <item m="1" x="7484"/>
        <item m="1" x="7483"/>
        <item m="1" x="7482"/>
        <item m="1" x="7481"/>
        <item m="1" x="7480"/>
        <item m="1" x="7479"/>
        <item m="1" x="7478"/>
        <item m="1" x="7477"/>
        <item m="1" x="7476"/>
        <item m="1" x="7475"/>
        <item m="1" x="7474"/>
        <item m="1" x="7473"/>
        <item m="1" x="7472"/>
        <item m="1" x="7471"/>
        <item m="1" x="7470"/>
        <item m="1" x="7469"/>
        <item m="1" x="7468"/>
        <item m="1" x="7467"/>
        <item m="1" x="7466"/>
        <item m="1" x="7465"/>
        <item m="1" x="7464"/>
        <item m="1" x="7463"/>
        <item m="1" x="7462"/>
        <item m="1" x="7461"/>
        <item m="1" x="7460"/>
        <item m="1" x="7459"/>
        <item m="1" x="7458"/>
        <item m="1" x="7457"/>
        <item m="1" x="7456"/>
        <item m="1" x="7455"/>
        <item m="1" x="7454"/>
        <item m="1" x="7453"/>
        <item m="1" x="7452"/>
        <item m="1" x="7451"/>
        <item m="1" x="7450"/>
        <item m="1" x="7449"/>
        <item m="1" x="7448"/>
        <item m="1" x="7447"/>
        <item m="1" x="7446"/>
        <item m="1" x="7445"/>
        <item m="1" x="7444"/>
        <item m="1" x="7443"/>
        <item m="1" x="7442"/>
        <item m="1" x="7441"/>
        <item m="1" x="7440"/>
        <item m="1" x="7439"/>
        <item m="1" x="7438"/>
        <item m="1" x="7437"/>
        <item m="1" x="7436"/>
        <item m="1" x="7435"/>
        <item m="1" x="7434"/>
        <item m="1" x="7433"/>
        <item m="1" x="7432"/>
        <item m="1" x="7431"/>
        <item m="1" x="7430"/>
        <item m="1" x="7429"/>
        <item m="1" x="7428"/>
        <item m="1" x="7427"/>
        <item m="1" x="7426"/>
        <item m="1" x="7425"/>
        <item m="1" x="7424"/>
        <item m="1" x="7423"/>
        <item m="1" x="7422"/>
        <item m="1" x="7421"/>
        <item m="1" x="7420"/>
        <item m="1" x="7419"/>
        <item m="1" x="7418"/>
        <item m="1" x="7417"/>
        <item m="1" x="7416"/>
        <item m="1" x="7415"/>
        <item m="1" x="7414"/>
        <item m="1" x="7413"/>
        <item m="1" x="7412"/>
        <item m="1" x="7411"/>
        <item m="1" x="7410"/>
        <item m="1" x="7409"/>
        <item m="1" x="7408"/>
        <item m="1" x="7407"/>
        <item m="1" x="7406"/>
        <item m="1" x="7405"/>
        <item m="1" x="7404"/>
        <item m="1" x="7403"/>
        <item m="1" x="7402"/>
        <item m="1" x="7401"/>
        <item m="1" x="7400"/>
        <item m="1" x="7399"/>
        <item m="1" x="7398"/>
        <item m="1" x="7397"/>
        <item m="1" x="7396"/>
        <item m="1" x="7395"/>
        <item m="1" x="7394"/>
        <item m="1" x="7393"/>
        <item m="1" x="7392"/>
        <item m="1" x="7391"/>
        <item m="1" x="7390"/>
        <item m="1" x="7389"/>
        <item m="1" x="7388"/>
        <item m="1" x="7387"/>
        <item m="1" x="7386"/>
        <item m="1" x="7385"/>
        <item m="1" x="7384"/>
        <item m="1" x="7383"/>
        <item m="1" x="7382"/>
        <item m="1" x="7381"/>
        <item m="1" x="7380"/>
        <item m="1" x="7379"/>
        <item m="1" x="7378"/>
        <item m="1" x="7377"/>
        <item m="1" x="7376"/>
        <item m="1" x="7375"/>
        <item m="1" x="7374"/>
        <item m="1" x="7373"/>
        <item m="1" x="7372"/>
        <item m="1" x="7371"/>
        <item m="1" x="7370"/>
        <item m="1" x="7369"/>
        <item m="1" x="7368"/>
        <item m="1" x="7367"/>
        <item m="1" x="7366"/>
        <item m="1" x="7365"/>
        <item m="1" x="7364"/>
        <item m="1" x="7363"/>
        <item m="1" x="7362"/>
        <item m="1" x="7361"/>
        <item m="1" x="7360"/>
        <item m="1" x="7359"/>
        <item m="1" x="7358"/>
        <item m="1" x="7357"/>
        <item m="1" x="7356"/>
        <item m="1" x="7355"/>
        <item m="1" x="7354"/>
        <item m="1" x="7353"/>
        <item m="1" x="7352"/>
        <item m="1" x="7351"/>
        <item m="1" x="7350"/>
        <item m="1" x="7349"/>
        <item m="1" x="7348"/>
        <item m="1" x="7347"/>
        <item m="1" x="7346"/>
        <item m="1" x="7345"/>
        <item m="1" x="7344"/>
        <item m="1" x="7343"/>
        <item m="1" x="7342"/>
        <item m="1" x="7341"/>
        <item m="1" x="7340"/>
        <item m="1" x="7339"/>
        <item m="1" x="7338"/>
        <item m="1" x="7337"/>
        <item m="1" x="7336"/>
        <item m="1" x="7335"/>
        <item m="1" x="7334"/>
        <item m="1" x="7333"/>
        <item m="1" x="7332"/>
        <item m="1" x="7331"/>
        <item m="1" x="7330"/>
        <item m="1" x="7329"/>
        <item m="1" x="7328"/>
        <item m="1" x="7327"/>
        <item m="1" x="7326"/>
        <item m="1" x="7325"/>
        <item m="1" x="7324"/>
        <item m="1" x="7323"/>
        <item m="1" x="7322"/>
        <item m="1" x="7321"/>
        <item m="1" x="7320"/>
        <item m="1" x="7319"/>
        <item m="1" x="7318"/>
        <item m="1" x="7317"/>
        <item m="1" x="7316"/>
        <item m="1" x="7315"/>
        <item m="1" x="7314"/>
        <item m="1" x="7313"/>
        <item m="1" x="7312"/>
        <item m="1" x="7311"/>
        <item m="1" x="7310"/>
        <item m="1" x="7309"/>
        <item m="1" x="7308"/>
        <item m="1" x="7307"/>
        <item m="1" x="7306"/>
        <item m="1" x="7305"/>
        <item m="1" x="7304"/>
        <item m="1" x="7303"/>
        <item m="1" x="7302"/>
        <item m="1" x="7301"/>
        <item m="1" x="7300"/>
        <item m="1" x="7299"/>
        <item m="1" x="7298"/>
        <item m="1" x="7297"/>
        <item m="1" x="7296"/>
        <item m="1" x="7295"/>
        <item m="1" x="7294"/>
        <item m="1" x="7293"/>
        <item m="1" x="7292"/>
        <item m="1" x="7291"/>
        <item m="1" x="7290"/>
        <item m="1" x="7289"/>
        <item m="1" x="7288"/>
        <item m="1" x="7287"/>
        <item m="1" x="7286"/>
        <item m="1" x="7285"/>
        <item m="1" x="7284"/>
        <item m="1" x="7283"/>
        <item m="1" x="7282"/>
        <item m="1" x="7281"/>
        <item m="1" x="7280"/>
        <item m="1" x="7279"/>
        <item m="1" x="7278"/>
        <item m="1" x="7277"/>
        <item m="1" x="7276"/>
        <item m="1" x="7275"/>
        <item m="1" x="7274"/>
        <item m="1" x="7273"/>
        <item m="1" x="7272"/>
        <item m="1" x="7271"/>
        <item m="1" x="7270"/>
        <item m="1" x="7269"/>
        <item m="1" x="7268"/>
        <item m="1" x="7267"/>
        <item m="1" x="7266"/>
        <item m="1" x="7265"/>
        <item m="1" x="7264"/>
        <item m="1" x="7263"/>
        <item m="1" x="7262"/>
        <item m="1" x="7261"/>
        <item m="1" x="7260"/>
        <item m="1" x="7259"/>
        <item m="1" x="7258"/>
        <item m="1" x="7257"/>
        <item m="1" x="7256"/>
        <item m="1" x="7255"/>
        <item m="1" x="7254"/>
        <item m="1" x="7253"/>
        <item m="1" x="7252"/>
        <item m="1" x="7251"/>
        <item m="1" x="7250"/>
        <item m="1" x="7249"/>
        <item m="1" x="7248"/>
        <item m="1" x="7247"/>
        <item m="1" x="7246"/>
        <item m="1" x="7245"/>
        <item m="1" x="7244"/>
        <item m="1" x="7243"/>
        <item m="1" x="7242"/>
        <item m="1" x="7241"/>
        <item m="1" x="7240"/>
        <item m="1" x="7239"/>
        <item m="1" x="7238"/>
        <item m="1" x="7237"/>
        <item m="1" x="7236"/>
        <item m="1" x="7235"/>
        <item m="1" x="7234"/>
        <item m="1" x="7233"/>
        <item m="1" x="7232"/>
        <item m="1" x="7231"/>
        <item m="1" x="7230"/>
        <item m="1" x="7229"/>
        <item m="1" x="7228"/>
        <item m="1" x="7227"/>
        <item m="1" x="7226"/>
        <item m="1" x="7225"/>
        <item m="1" x="7224"/>
        <item m="1" x="7223"/>
        <item m="1" x="7222"/>
        <item m="1" x="7221"/>
        <item m="1" x="7220"/>
        <item m="1" x="7219"/>
        <item m="1" x="7218"/>
        <item m="1" x="7217"/>
        <item m="1" x="7216"/>
        <item m="1" x="7215"/>
        <item m="1" x="7214"/>
        <item m="1" x="7213"/>
        <item m="1" x="7212"/>
        <item m="1" x="7211"/>
        <item m="1" x="7210"/>
        <item m="1" x="7209"/>
        <item m="1" x="7208"/>
        <item m="1" x="7207"/>
        <item m="1" x="7206"/>
        <item m="1" x="7205"/>
        <item m="1" x="7204"/>
        <item m="1" x="7203"/>
        <item m="1" x="7202"/>
        <item m="1" x="7201"/>
        <item m="1" x="7200"/>
        <item m="1" x="7199"/>
        <item m="1" x="7198"/>
        <item m="1" x="7197"/>
        <item m="1" x="7196"/>
        <item m="1" x="7195"/>
        <item m="1" x="7194"/>
        <item m="1" x="7193"/>
        <item m="1" x="7192"/>
        <item m="1" x="7191"/>
        <item m="1" x="7190"/>
        <item m="1" x="7189"/>
        <item m="1" x="7188"/>
        <item m="1" x="7187"/>
        <item m="1" x="7186"/>
        <item m="1" x="7592"/>
        <item m="1" x="7591"/>
        <item m="1" x="7590"/>
        <item m="1" x="7589"/>
        <item m="1" x="7588"/>
        <item m="1" x="7587"/>
        <item m="1" x="7586"/>
        <item m="1" x="7585"/>
        <item m="1" x="7584"/>
        <item m="1" x="7583"/>
        <item m="1" x="7582"/>
        <item m="1" x="7581"/>
        <item m="1" x="7580"/>
        <item m="1" x="7579"/>
        <item m="1" x="7578"/>
        <item m="1" x="7577"/>
        <item m="1" x="7576"/>
        <item m="1" x="7575"/>
        <item m="1" x="7574"/>
        <item m="1" x="7573"/>
        <item m="1" x="7572"/>
        <item m="1" x="7571"/>
        <item m="1" x="7570"/>
        <item m="1" x="7569"/>
        <item m="1" x="7568"/>
        <item m="1" x="7567"/>
        <item m="1" x="7566"/>
        <item m="1" x="7565"/>
        <item m="1" x="7564"/>
        <item m="1" x="7563"/>
        <item m="1" x="7562"/>
        <item m="1" x="7561"/>
        <item m="1" x="7560"/>
        <item m="1" x="7559"/>
        <item m="1" x="7558"/>
        <item m="1" x="7557"/>
        <item m="1" x="7556"/>
        <item m="1" x="7555"/>
        <item m="1" x="7554"/>
        <item m="1" x="7553"/>
        <item m="1" x="7552"/>
        <item m="1" x="7551"/>
        <item m="1" x="7550"/>
        <item m="1" x="7549"/>
        <item m="1" x="7548"/>
        <item m="1" x="7547"/>
        <item m="1" x="7546"/>
        <item m="1" x="7545"/>
        <item m="1" x="7544"/>
        <item m="1" x="7543"/>
        <item m="1" x="7542"/>
        <item m="1" x="7541"/>
        <item m="1" x="7540"/>
        <item m="1" x="7539"/>
        <item m="1" x="7538"/>
        <item m="1" x="7537"/>
        <item m="1" x="7536"/>
        <item m="1" x="7535"/>
        <item m="1" x="7534"/>
        <item m="1" x="7533"/>
        <item m="1" x="7532"/>
        <item m="1" x="7531"/>
        <item m="1" x="7530"/>
        <item m="1" x="7529"/>
        <item m="1" x="7528"/>
        <item m="1" x="7527"/>
        <item m="1" x="7526"/>
        <item m="1" x="7525"/>
        <item m="1" x="7524"/>
        <item m="1" x="7523"/>
        <item m="1" x="7522"/>
        <item m="1" x="7521"/>
        <item m="1" x="7520"/>
        <item m="1" x="7519"/>
        <item m="1" x="7518"/>
        <item m="1" x="7517"/>
        <item m="1" x="7516"/>
        <item m="1" x="7515"/>
        <item m="1" x="7514"/>
        <item m="1" x="7513"/>
        <item m="1" x="7512"/>
        <item m="1" x="7511"/>
        <item m="1" x="7510"/>
        <item m="1" x="7509"/>
        <item m="1" x="7508"/>
        <item m="1" x="7507"/>
        <item m="1" x="7506"/>
        <item m="1" x="7505"/>
        <item m="1" x="7504"/>
        <item m="1" x="7503"/>
        <item m="1" x="7502"/>
        <item m="1" x="7501"/>
        <item m="1" x="7500"/>
        <item m="1" x="7499"/>
        <item m="1" x="7498"/>
        <item m="1" x="7497"/>
        <item m="1" x="7496"/>
        <item m="1" x="7495"/>
        <item m="1" x="7494"/>
        <item m="1" x="7493"/>
        <item m="1" x="7492"/>
        <item m="1" x="7491"/>
        <item m="1" x="7490"/>
        <item m="1" x="7489"/>
        <item m="1" x="7488"/>
        <item m="1" x="7487"/>
        <item m="1" x="7486"/>
        <item m="1" x="7030"/>
        <item m="1" x="7029"/>
        <item m="1" x="7028"/>
        <item m="1" x="7027"/>
        <item m="1" x="7026"/>
        <item m="1" x="7025"/>
        <item m="1" x="7024"/>
        <item m="1" x="7023"/>
        <item m="1" x="7022"/>
        <item m="1" x="7021"/>
        <item m="1" x="7020"/>
        <item m="1" x="7019"/>
        <item m="1" x="7018"/>
        <item m="1" x="7017"/>
        <item m="1" x="7016"/>
        <item m="1" x="7015"/>
        <item m="1" x="7014"/>
        <item m="1" x="7013"/>
        <item m="1" x="7012"/>
        <item m="1" x="7011"/>
        <item m="1" x="7010"/>
        <item m="1" x="7009"/>
        <item m="1" x="7008"/>
        <item m="1" x="7007"/>
        <item m="1" x="7006"/>
        <item m="1" x="7005"/>
        <item m="1" x="7004"/>
        <item m="1" x="7003"/>
        <item m="1" x="7002"/>
        <item m="1" x="7001"/>
        <item m="1" x="7000"/>
        <item m="1" x="6999"/>
        <item m="1" x="6998"/>
        <item m="1" x="6997"/>
        <item m="1" x="6996"/>
        <item m="1" x="6995"/>
        <item m="1" x="6994"/>
        <item m="1" x="6993"/>
        <item m="1" x="6992"/>
        <item m="1" x="6991"/>
        <item m="1" x="6990"/>
        <item m="1" x="6989"/>
        <item m="1" x="6988"/>
        <item m="1" x="6987"/>
        <item m="1" x="6986"/>
        <item m="1" x="6985"/>
        <item m="1" x="6984"/>
        <item m="1" x="6983"/>
        <item m="1" x="6982"/>
        <item m="1" x="6981"/>
        <item m="1" x="6980"/>
        <item m="1" x="6979"/>
        <item m="1" x="6978"/>
        <item m="1" x="6977"/>
        <item m="1" x="6976"/>
        <item m="1" x="6975"/>
        <item m="1" x="6974"/>
        <item m="1" x="6973"/>
        <item m="1" x="6972"/>
        <item m="1" x="6971"/>
        <item m="1" x="6970"/>
        <item m="1" x="6969"/>
        <item m="1" x="6968"/>
        <item m="1" x="6967"/>
        <item m="1" x="6966"/>
        <item m="1" x="6965"/>
        <item m="1" x="6964"/>
        <item m="1" x="6963"/>
        <item m="1" x="6962"/>
        <item m="1" x="6961"/>
        <item m="1" x="6960"/>
        <item m="1" x="6959"/>
        <item m="1" x="6958"/>
        <item m="1" x="6957"/>
        <item m="1" x="6956"/>
        <item m="1" x="6955"/>
        <item m="1" x="6954"/>
        <item m="1" x="6953"/>
        <item m="1" x="6952"/>
        <item m="1" x="6951"/>
        <item m="1" x="6950"/>
        <item m="1" x="6949"/>
        <item m="1" x="6948"/>
        <item m="1" x="6947"/>
        <item m="1" x="6946"/>
        <item m="1" x="6945"/>
        <item m="1" x="6944"/>
        <item m="1" x="6943"/>
        <item m="1" x="6942"/>
        <item m="1" x="6941"/>
        <item m="1" x="6940"/>
        <item m="1" x="6939"/>
        <item m="1" x="6938"/>
        <item m="1" x="6937"/>
        <item m="1" x="6936"/>
        <item m="1" x="6935"/>
        <item m="1" x="6934"/>
        <item m="1" x="6933"/>
        <item m="1" x="6932"/>
        <item m="1" x="6931"/>
        <item m="1" x="6930"/>
        <item m="1" x="6929"/>
        <item m="1" x="6928"/>
        <item m="1" x="6927"/>
        <item m="1" x="6926"/>
        <item m="1" x="6925"/>
        <item m="1" x="6924"/>
        <item m="1" x="6923"/>
        <item m="1" x="6922"/>
        <item m="1" x="6921"/>
        <item m="1" x="6920"/>
        <item m="1" x="6919"/>
        <item m="1" x="6918"/>
        <item m="1" x="6917"/>
        <item m="1" x="6916"/>
        <item m="1" x="6915"/>
        <item m="1" x="6914"/>
        <item m="1" x="6913"/>
        <item m="1" x="6912"/>
        <item m="1" x="6911"/>
        <item m="1" x="6910"/>
        <item m="1" x="6909"/>
        <item m="1" x="6908"/>
        <item m="1" x="6907"/>
        <item m="1" x="6906"/>
        <item m="1" x="6905"/>
        <item m="1" x="6904"/>
        <item m="1" x="6903"/>
        <item m="1" x="6902"/>
        <item m="1" x="6901"/>
        <item m="1" x="6900"/>
        <item m="1" x="6899"/>
        <item m="1" x="6898"/>
        <item m="1" x="6897"/>
        <item m="1" x="6896"/>
        <item m="1" x="6895"/>
        <item m="1" x="6894"/>
        <item m="1" x="6893"/>
        <item m="1" x="6892"/>
        <item m="1" x="6891"/>
        <item m="1" x="6890"/>
        <item m="1" x="6889"/>
        <item m="1" x="6888"/>
        <item m="1" x="6887"/>
        <item m="1" x="6886"/>
        <item m="1" x="6885"/>
        <item m="1" x="6884"/>
        <item m="1" x="6883"/>
        <item m="1" x="6882"/>
        <item m="1" x="6881"/>
        <item m="1" x="6880"/>
        <item m="1" x="6879"/>
        <item m="1" x="6878"/>
        <item m="1" x="6877"/>
        <item m="1" x="6876"/>
        <item m="1" x="6875"/>
        <item m="1" x="6874"/>
        <item m="1" x="6873"/>
        <item m="1" x="6872"/>
        <item m="1" x="6871"/>
        <item m="1" x="6870"/>
        <item m="1" x="6869"/>
        <item m="1" x="6868"/>
        <item m="1" x="6867"/>
        <item m="1" x="6866"/>
        <item m="1" x="6865"/>
        <item m="1" x="6864"/>
        <item m="1" x="6863"/>
        <item m="1" x="6862"/>
        <item m="1" x="6861"/>
        <item m="1" x="6860"/>
        <item m="1" x="6859"/>
        <item m="1" x="6858"/>
        <item m="1" x="6857"/>
        <item m="1" x="6856"/>
        <item m="1" x="6855"/>
        <item m="1" x="6854"/>
        <item m="1" x="6853"/>
        <item m="1" x="6852"/>
        <item m="1" x="6851"/>
        <item m="1" x="6850"/>
        <item m="1" x="6849"/>
        <item m="1" x="6848"/>
        <item m="1" x="6847"/>
        <item m="1" x="6846"/>
        <item m="1" x="6845"/>
        <item m="1" x="6844"/>
        <item m="1" x="6843"/>
        <item m="1" x="6842"/>
        <item m="1" x="6841"/>
        <item m="1" x="6840"/>
        <item m="1" x="6839"/>
        <item m="1" x="6838"/>
        <item m="1" x="6837"/>
        <item m="1" x="6836"/>
        <item m="1" x="6835"/>
        <item m="1" x="6834"/>
        <item m="1" x="6833"/>
        <item m="1" x="6832"/>
        <item m="1" x="6831"/>
        <item m="1" x="6830"/>
        <item m="1" x="6829"/>
        <item m="1" x="6828"/>
        <item m="1" x="6827"/>
        <item m="1" x="6826"/>
        <item m="1" x="6825"/>
        <item m="1" x="6824"/>
        <item m="1" x="6823"/>
        <item m="1" x="6822"/>
        <item m="1" x="6821"/>
        <item m="1" x="6820"/>
        <item m="1" x="6819"/>
        <item m="1" x="6818"/>
        <item m="1" x="6817"/>
        <item m="1" x="6816"/>
        <item m="1" x="6815"/>
        <item m="1" x="6814"/>
        <item m="1" x="6813"/>
        <item m="1" x="6812"/>
        <item m="1" x="6811"/>
        <item m="1" x="6810"/>
        <item m="1" x="6809"/>
        <item m="1" x="6808"/>
        <item m="1" x="6807"/>
        <item m="1" x="6806"/>
        <item m="1" x="6805"/>
        <item m="1" x="6804"/>
        <item m="1" x="6803"/>
        <item m="1" x="6802"/>
        <item m="1" x="6801"/>
        <item m="1" x="6800"/>
        <item m="1" x="6799"/>
        <item m="1" x="6798"/>
        <item m="1" x="6797"/>
        <item m="1" x="6796"/>
        <item m="1" x="6795"/>
        <item m="1" x="6794"/>
        <item m="1" x="6793"/>
        <item m="1" x="6792"/>
        <item m="1" x="6791"/>
        <item m="1" x="6790"/>
        <item m="1" x="6789"/>
        <item m="1" x="6788"/>
        <item m="1" x="6787"/>
        <item m="1" x="6786"/>
        <item m="1" x="6785"/>
        <item m="1" x="6784"/>
        <item m="1" x="6783"/>
        <item m="1" x="6782"/>
        <item m="1" x="6781"/>
        <item m="1" x="6780"/>
        <item m="1" x="6779"/>
        <item m="1" x="6778"/>
        <item m="1" x="6777"/>
        <item m="1" x="6776"/>
        <item m="1" x="6775"/>
        <item m="1" x="6774"/>
        <item m="1" x="6773"/>
        <item m="1" x="6772"/>
        <item m="1" x="6771"/>
        <item m="1" x="6770"/>
        <item m="1" x="6769"/>
        <item m="1" x="6768"/>
        <item m="1" x="6767"/>
        <item m="1" x="6766"/>
        <item m="1" x="6765"/>
        <item m="1" x="6764"/>
        <item m="1" x="6763"/>
        <item m="1" x="6762"/>
        <item m="1" x="6761"/>
        <item m="1" x="6760"/>
        <item m="1" x="6759"/>
        <item m="1" x="6758"/>
        <item m="1" x="6757"/>
        <item m="1" x="6756"/>
        <item m="1" x="6755"/>
        <item m="1" x="6754"/>
        <item m="1" x="6753"/>
        <item m="1" x="6752"/>
        <item m="1" x="6751"/>
        <item m="1" x="6750"/>
        <item m="1" x="6749"/>
        <item m="1" x="6748"/>
        <item m="1" x="6747"/>
        <item m="1" x="6746"/>
        <item m="1" x="6745"/>
        <item m="1" x="6744"/>
        <item m="1" x="6743"/>
        <item m="1" x="6742"/>
        <item m="1" x="6741"/>
        <item m="1" x="6740"/>
        <item m="1" x="6739"/>
        <item m="1" x="6738"/>
        <item m="1" x="6737"/>
        <item m="1" x="6736"/>
        <item m="1" x="6735"/>
        <item m="1" x="6734"/>
        <item m="1" x="6733"/>
        <item m="1" x="6732"/>
        <item m="1" x="6731"/>
        <item m="1" x="6730"/>
        <item m="1" x="6729"/>
        <item m="1" x="6728"/>
        <item m="1" x="6727"/>
        <item m="1" x="6726"/>
        <item m="1" x="6725"/>
        <item m="1" x="6724"/>
        <item m="1" x="6723"/>
        <item m="1" x="6722"/>
        <item m="1" x="6721"/>
        <item m="1" x="6720"/>
        <item m="1" x="6719"/>
        <item m="1" x="6718"/>
        <item m="1" x="6717"/>
        <item m="1" x="6716"/>
        <item m="1" x="6715"/>
        <item m="1" x="6714"/>
        <item m="1" x="6713"/>
        <item m="1" x="6712"/>
        <item m="1" x="6711"/>
        <item m="1" x="6710"/>
        <item m="1" x="6709"/>
        <item m="1" x="6708"/>
        <item m="1" x="6707"/>
        <item m="1" x="6706"/>
        <item m="1" x="6705"/>
        <item m="1" x="6704"/>
        <item m="1" x="6703"/>
        <item m="1" x="6702"/>
        <item m="1" x="6701"/>
        <item m="1" x="6700"/>
        <item m="1" x="6699"/>
        <item m="1" x="6698"/>
        <item m="1" x="6697"/>
        <item m="1" x="6696"/>
        <item m="1" x="6695"/>
        <item m="1" x="6694"/>
        <item m="1" x="6693"/>
        <item m="1" x="6692"/>
        <item m="1" x="6691"/>
        <item m="1" x="6690"/>
        <item m="1" x="6689"/>
        <item m="1" x="6688"/>
        <item m="1" x="6687"/>
        <item m="1" x="7669"/>
        <item m="1" x="7668"/>
        <item m="1" x="7667"/>
        <item m="1" x="7666"/>
        <item m="1" x="7665"/>
        <item m="1" x="7664"/>
        <item m="1" x="7663"/>
        <item m="1" x="7662"/>
        <item m="1" x="7661"/>
        <item m="1" x="7660"/>
        <item m="1" x="7659"/>
        <item m="1" x="7658"/>
        <item m="1" x="7657"/>
        <item m="1" x="7656"/>
        <item m="1" x="7655"/>
        <item m="1" x="7654"/>
        <item m="1" x="7653"/>
        <item m="1" x="7652"/>
        <item m="1" x="7651"/>
        <item m="1" x="7650"/>
        <item m="1" x="7649"/>
        <item m="1" x="7648"/>
        <item m="1" x="7647"/>
        <item m="1" x="7646"/>
        <item m="1" x="7645"/>
        <item m="1" x="7644"/>
        <item m="1" x="7643"/>
        <item m="1" x="7642"/>
        <item m="1" x="7641"/>
        <item m="1" x="7640"/>
        <item m="1" x="7639"/>
        <item m="1" x="7638"/>
        <item m="1" x="7637"/>
        <item m="1" x="7636"/>
        <item m="1" x="7635"/>
        <item m="1" x="7634"/>
        <item m="1" x="7633"/>
        <item m="1" x="7632"/>
        <item m="1" x="7631"/>
        <item m="1" x="7630"/>
        <item m="1" x="7629"/>
        <item m="1" x="7628"/>
        <item m="1" x="7627"/>
        <item m="1" x="7626"/>
        <item m="1" x="7625"/>
        <item m="1" x="7624"/>
        <item m="1" x="7623"/>
        <item m="1" x="7622"/>
        <item m="1" x="7621"/>
        <item m="1" x="7620"/>
        <item m="1" x="7619"/>
        <item m="1" x="7618"/>
        <item m="1" x="7617"/>
        <item m="1" x="7616"/>
        <item m="1" x="7615"/>
        <item m="1" x="7614"/>
        <item m="1" x="7613"/>
        <item m="1" x="7612"/>
        <item m="1" x="7611"/>
        <item m="1" x="7610"/>
        <item m="1" x="7609"/>
        <item m="1" x="7608"/>
        <item m="1" x="7607"/>
        <item m="1" x="7606"/>
        <item m="1" x="7605"/>
        <item m="1" x="7604"/>
        <item m="1" x="7603"/>
        <item m="1" x="7602"/>
        <item m="1" x="7601"/>
        <item m="1" x="7600"/>
        <item m="1" x="7599"/>
        <item m="1" x="7598"/>
        <item m="1" x="7597"/>
        <item m="1" x="7596"/>
        <item m="1" x="7595"/>
        <item m="1" x="7594"/>
        <item m="1" x="7593"/>
        <item m="1" x="7946"/>
        <item m="1" x="7945"/>
        <item m="1" x="7944"/>
        <item m="1" x="7943"/>
        <item m="1" x="7942"/>
        <item m="1" x="7941"/>
        <item m="1" x="7940"/>
        <item m="1" x="7939"/>
        <item m="1" x="7938"/>
        <item m="1" x="7937"/>
        <item m="1" x="7936"/>
        <item m="1" x="7935"/>
        <item m="1" x="7934"/>
        <item m="1" x="7933"/>
        <item m="1" x="7932"/>
        <item m="1" x="7931"/>
        <item m="1" x="7930"/>
        <item m="1" x="7929"/>
        <item m="1" x="7928"/>
        <item m="1" x="7927"/>
        <item m="1" x="7926"/>
        <item m="1" x="7925"/>
        <item m="1" x="7924"/>
        <item m="1" x="7923"/>
        <item m="1" x="7922"/>
        <item m="1" x="7921"/>
        <item m="1" x="7920"/>
        <item m="1" x="7919"/>
        <item m="1" x="7918"/>
        <item m="1" x="7917"/>
        <item m="1" x="7916"/>
        <item m="1" x="7915"/>
        <item m="1" x="7914"/>
        <item m="1" x="7913"/>
        <item m="1" x="7912"/>
        <item m="1" x="7911"/>
        <item m="1" x="7910"/>
        <item m="1" x="7909"/>
        <item m="1" x="7908"/>
        <item m="1" x="7907"/>
        <item m="1" x="7906"/>
        <item m="1" x="7905"/>
        <item m="1" x="7904"/>
        <item m="1" x="7903"/>
        <item m="1" x="7902"/>
        <item m="1" x="7901"/>
        <item m="1" x="7900"/>
        <item m="1" x="7899"/>
        <item m="1" x="7898"/>
        <item m="1" x="7897"/>
        <item m="1" x="7896"/>
        <item m="1" x="7895"/>
        <item m="1" x="7894"/>
        <item m="1" x="7893"/>
        <item m="1" x="7892"/>
        <item m="1" x="7891"/>
        <item m="1" x="7890"/>
        <item m="1" x="7889"/>
        <item m="1" x="7888"/>
        <item m="1" x="7887"/>
        <item m="1" x="7886"/>
        <item m="1" x="7885"/>
        <item m="1" x="7884"/>
        <item m="1" x="7883"/>
        <item m="1" x="7882"/>
        <item m="1" x="7881"/>
        <item m="1" x="7880"/>
        <item m="1" x="7879"/>
        <item m="1" x="7878"/>
        <item m="1" x="7877"/>
        <item m="1" x="7876"/>
        <item m="1" x="7875"/>
        <item m="1" x="7874"/>
        <item m="1" x="7873"/>
        <item m="1" x="7872"/>
        <item m="1" x="7871"/>
        <item m="1" x="7870"/>
        <item m="1" x="7869"/>
        <item m="1" x="7868"/>
        <item m="1" x="7867"/>
        <item m="1" x="7866"/>
        <item m="1" x="7865"/>
        <item m="1" x="7864"/>
        <item m="1" x="7863"/>
        <item m="1" x="7862"/>
        <item m="1" x="7861"/>
        <item m="1" x="7860"/>
        <item m="1" x="7859"/>
        <item m="1" x="7858"/>
        <item m="1" x="7857"/>
        <item m="1" x="7856"/>
        <item m="1" x="7855"/>
        <item m="1" x="7854"/>
        <item m="1" x="7853"/>
        <item m="1" x="7852"/>
        <item m="1" x="7851"/>
        <item m="1" x="7850"/>
        <item m="1" x="7849"/>
        <item m="1" x="7848"/>
        <item m="1" x="7847"/>
        <item m="1" x="7846"/>
        <item m="1" x="7845"/>
        <item m="1" x="7844"/>
        <item m="1" x="7843"/>
        <item m="1" x="7842"/>
        <item m="1" x="7841"/>
        <item m="1" x="7840"/>
        <item m="1" x="7839"/>
        <item m="1" x="7838"/>
        <item m="1" x="7837"/>
        <item m="1" x="7836"/>
        <item m="1" x="7835"/>
        <item m="1" x="7834"/>
        <item m="1" x="7833"/>
        <item m="1" x="7832"/>
        <item m="1" x="7831"/>
        <item m="1" x="7830"/>
        <item m="1" x="7829"/>
        <item m="1" x="7828"/>
        <item m="1" x="7827"/>
        <item m="1" x="7826"/>
        <item m="1" x="7825"/>
        <item m="1" x="7824"/>
        <item m="1" x="7823"/>
        <item m="1" x="7822"/>
        <item m="1" x="7821"/>
        <item m="1" x="7820"/>
        <item m="1" x="7819"/>
        <item m="1" x="7818"/>
        <item m="1" x="7817"/>
        <item m="1" x="7816"/>
        <item m="1" x="7815"/>
        <item m="1" x="7814"/>
        <item m="1" x="7813"/>
        <item m="1" x="7812"/>
        <item m="1" x="7811"/>
        <item m="1" x="7810"/>
        <item m="1" x="7809"/>
        <item m="1" x="7808"/>
        <item m="1" x="7807"/>
        <item m="1" x="7806"/>
        <item m="1" x="7805"/>
        <item m="1" x="7804"/>
        <item m="1" x="7803"/>
        <item m="1" x="7802"/>
        <item m="1" x="7801"/>
        <item m="1" x="7800"/>
        <item m="1" x="7799"/>
        <item m="1" x="7798"/>
        <item m="1" x="7797"/>
        <item m="1" x="7796"/>
        <item m="1" x="7795"/>
        <item m="1" x="7794"/>
        <item m="1" x="7793"/>
        <item m="1" x="7792"/>
        <item m="1" x="7791"/>
        <item m="1" x="7790"/>
        <item m="1" x="7789"/>
        <item m="1" x="7788"/>
        <item m="1" x="7787"/>
        <item m="1" x="7786"/>
        <item m="1" x="7785"/>
        <item m="1" x="7784"/>
        <item m="1" x="7783"/>
        <item m="1" x="7782"/>
        <item m="1" x="7781"/>
        <item m="1" x="7780"/>
        <item m="1" x="7779"/>
        <item m="1" x="7778"/>
        <item m="1" x="7777"/>
        <item m="1" x="7776"/>
        <item m="1" x="7775"/>
        <item m="1" x="7774"/>
        <item m="1" x="7773"/>
        <item m="1" x="7772"/>
        <item m="1" x="7771"/>
        <item m="1" x="7770"/>
        <item m="1" x="7769"/>
        <item m="1" x="7768"/>
        <item m="1" x="7767"/>
        <item m="1" x="7766"/>
        <item m="1" x="7765"/>
        <item m="1" x="7764"/>
        <item m="1" x="7763"/>
        <item m="1" x="7762"/>
        <item m="1" x="7761"/>
        <item m="1" x="7760"/>
        <item m="1" x="7759"/>
        <item m="1" x="7758"/>
        <item m="1" x="7757"/>
        <item m="1" x="7756"/>
        <item m="1" x="7755"/>
        <item m="1" x="7754"/>
        <item m="1" x="7753"/>
        <item m="1" x="7752"/>
        <item m="1" x="7751"/>
        <item m="1" x="7750"/>
        <item m="1" x="7749"/>
        <item m="1" x="7748"/>
        <item m="1" x="7747"/>
        <item m="1" x="7746"/>
        <item m="1" x="7745"/>
        <item m="1" x="7744"/>
        <item m="1" x="7743"/>
        <item m="1" x="7742"/>
        <item m="1" x="7741"/>
        <item m="1" x="7740"/>
        <item m="1" x="7739"/>
        <item m="1" x="7738"/>
        <item m="1" x="7737"/>
        <item m="1" x="7736"/>
        <item m="1" x="7735"/>
        <item m="1" x="7734"/>
        <item m="1" x="7733"/>
        <item m="1" x="7732"/>
        <item m="1" x="7731"/>
        <item m="1" x="7730"/>
        <item m="1" x="7729"/>
        <item m="1" x="7728"/>
        <item m="1" x="7727"/>
        <item m="1" x="7726"/>
        <item m="1" x="7725"/>
        <item m="1" x="7724"/>
        <item m="1" x="7723"/>
        <item m="1" x="7722"/>
        <item m="1" x="7721"/>
        <item m="1" x="7720"/>
        <item m="1" x="7719"/>
        <item m="1" x="7718"/>
        <item m="1" x="7717"/>
        <item m="1" x="7716"/>
        <item m="1" x="7715"/>
        <item m="1" x="7714"/>
        <item m="1" x="7713"/>
        <item m="1" x="7712"/>
        <item m="1" x="7711"/>
        <item m="1" x="7710"/>
        <item m="1" x="7709"/>
        <item m="1" x="7708"/>
        <item m="1" x="7707"/>
        <item m="1" x="7706"/>
        <item m="1" x="7705"/>
        <item m="1" x="7704"/>
        <item m="1" x="7703"/>
        <item m="1" x="7702"/>
        <item m="1" x="7701"/>
        <item m="1" x="7700"/>
        <item m="1" x="7699"/>
        <item m="1" x="7698"/>
        <item m="1" x="7697"/>
        <item m="1" x="7696"/>
        <item m="1" x="7695"/>
        <item m="1" x="7694"/>
        <item m="1" x="7693"/>
        <item m="1" x="7692"/>
        <item m="1" x="7691"/>
        <item m="1" x="7690"/>
        <item m="1" x="7689"/>
        <item m="1" x="7688"/>
        <item m="1" x="7687"/>
        <item m="1" x="7686"/>
        <item m="1" x="7685"/>
        <item m="1" x="7684"/>
        <item m="1" x="7683"/>
        <item m="1" x="7682"/>
        <item m="1" x="7681"/>
        <item m="1" x="7680"/>
        <item m="1" x="7679"/>
        <item m="1" x="7678"/>
        <item m="1" x="7677"/>
        <item m="1" x="7676"/>
        <item m="1" x="7675"/>
        <item m="1" x="7674"/>
        <item m="1" x="7673"/>
        <item m="1" x="7672"/>
        <item m="1" x="7671"/>
        <item m="1" x="7670"/>
        <item m="1" x="7999"/>
        <item m="1" x="7998"/>
        <item m="1" x="7997"/>
        <item m="1" x="7996"/>
        <item m="1" x="7995"/>
        <item m="1" x="7994"/>
        <item m="1" x="7993"/>
        <item m="1" x="7992"/>
        <item m="1" x="7991"/>
        <item m="1" x="7990"/>
        <item m="1" x="7989"/>
        <item m="1" x="7988"/>
        <item m="1" x="7987"/>
        <item m="1" x="7986"/>
        <item m="1" x="7985"/>
        <item m="1" x="7984"/>
        <item m="1" x="7983"/>
        <item m="1" x="7982"/>
        <item m="1" x="7981"/>
        <item m="1" x="7980"/>
        <item m="1" x="7979"/>
        <item m="1" x="7978"/>
        <item m="1" x="7977"/>
        <item m="1" x="7976"/>
        <item m="1" x="7975"/>
        <item m="1" x="7974"/>
        <item m="1" x="7973"/>
        <item m="1" x="7972"/>
        <item m="1" x="7971"/>
        <item m="1" x="7970"/>
        <item m="1" x="7969"/>
        <item m="1" x="7968"/>
        <item m="1" x="7967"/>
        <item m="1" x="7966"/>
        <item m="1" x="7965"/>
        <item m="1" x="7964"/>
        <item m="1" x="7963"/>
        <item m="1" x="7962"/>
        <item m="1" x="7961"/>
        <item m="1" x="7960"/>
        <item m="1" x="7959"/>
        <item m="1" x="7958"/>
        <item m="1" x="7957"/>
        <item m="1" x="7956"/>
        <item m="1" x="7955"/>
        <item m="1" x="7954"/>
        <item m="1" x="7953"/>
        <item m="1" x="7952"/>
        <item m="1" x="7951"/>
        <item m="1" x="7950"/>
        <item m="1" x="7949"/>
        <item m="1" x="7948"/>
        <item m="1" x="7947"/>
        <item m="1" x="2886"/>
        <item m="1" x="2251"/>
        <item t="default"/>
      </items>
    </pivotField>
    <pivotField compact="0" outline="0" subtotalTop="0" showAll="0"/>
    <pivotField compact="0" outline="0" subtotalTop="0" showAll="0">
      <items count="658">
        <item m="1" x="602"/>
        <item m="1" x="200"/>
        <item m="1" x="136"/>
        <item m="1" x="159"/>
        <item m="1" x="529"/>
        <item m="1" x="508"/>
        <item m="1" x="173"/>
        <item m="1" x="142"/>
        <item m="1" x="174"/>
        <item m="1" x="134"/>
        <item m="1" x="603"/>
        <item m="1" x="591"/>
        <item m="1" x="498"/>
        <item m="1" x="154"/>
        <item m="1" x="147"/>
        <item m="1" x="172"/>
        <item m="1" x="205"/>
        <item m="1" x="360"/>
        <item m="1" x="202"/>
        <item m="1" x="199"/>
        <item m="1" x="135"/>
        <item m="1" x="614"/>
        <item m="1" x="532"/>
        <item m="1" x="150"/>
        <item m="1" x="541"/>
        <item m="1" x="655"/>
        <item m="1" x="421"/>
        <item m="1" x="149"/>
        <item m="1" x="650"/>
        <item m="1" x="195"/>
        <item m="1" x="169"/>
        <item m="1" x="144"/>
        <item m="1" x="103"/>
        <item m="1" x="359"/>
        <item x="15"/>
        <item x="54"/>
        <item m="1" x="642"/>
        <item m="1" x="168"/>
        <item x="29"/>
        <item m="1" x="470"/>
        <item m="1" x="605"/>
        <item m="1" x="487"/>
        <item m="1" x="392"/>
        <item m="1" x="590"/>
        <item m="1" x="594"/>
        <item m="1" x="465"/>
        <item m="1" x="466"/>
        <item m="1" x="429"/>
        <item m="1" x="467"/>
        <item m="1" x="500"/>
        <item m="1" x="495"/>
        <item m="1" x="521"/>
        <item m="1" x="530"/>
        <item m="1" x="618"/>
        <item m="1" x="518"/>
        <item m="1" x="509"/>
        <item m="1" x="596"/>
        <item m="1" x="644"/>
        <item m="1" x="557"/>
        <item m="1" x="634"/>
        <item m="1" x="140"/>
        <item m="1" x="145"/>
        <item m="1" x="146"/>
        <item m="1" x="153"/>
        <item m="1" x="155"/>
        <item m="1" x="579"/>
        <item m="1" x="323"/>
        <item m="1" x="310"/>
        <item m="1" x="162"/>
        <item m="1" x="502"/>
        <item m="1" x="641"/>
        <item m="1" x="623"/>
        <item m="1" x="580"/>
        <item m="1" x="599"/>
        <item m="1" x="546"/>
        <item m="1" x="558"/>
        <item m="1" x="490"/>
        <item m="1" x="534"/>
        <item m="1" x="384"/>
        <item m="1" x="513"/>
        <item m="1" x="474"/>
        <item m="1" x="476"/>
        <item m="1" x="573"/>
        <item m="1" x="601"/>
        <item m="1" x="165"/>
        <item m="1" x="166"/>
        <item m="1" x="167"/>
        <item m="1" x="494"/>
        <item m="1" x="505"/>
        <item m="1" x="577"/>
        <item m="1" x="586"/>
        <item m="1" x="420"/>
        <item m="1" x="491"/>
        <item m="1" x="458"/>
        <item m="1" x="519"/>
        <item m="1" x="629"/>
        <item m="1" x="201"/>
        <item m="1" x="204"/>
        <item m="1" x="137"/>
        <item m="1" x="148"/>
        <item m="1" x="151"/>
        <item m="1" x="152"/>
        <item m="1" x="138"/>
        <item m="1" x="632"/>
        <item m="1" x="637"/>
        <item m="1" x="555"/>
        <item m="1" x="631"/>
        <item m="1" x="640"/>
        <item m="1" x="639"/>
        <item m="1" x="646"/>
        <item m="1" x="584"/>
        <item m="1" x="561"/>
        <item m="1" x="653"/>
        <item m="1" x="542"/>
        <item m="1" x="514"/>
        <item m="1" x="595"/>
        <item m="1" x="370"/>
        <item m="1" x="374"/>
        <item m="1" x="385"/>
        <item m="1" x="386"/>
        <item m="1" x="575"/>
        <item m="1" x="537"/>
        <item m="1" x="196"/>
        <item m="1" x="554"/>
        <item m="1" x="578"/>
        <item m="1" x="62"/>
        <item m="1" x="361"/>
        <item m="1" x="141"/>
        <item m="1" x="581"/>
        <item m="1" x="503"/>
        <item m="1" x="589"/>
        <item m="1" x="388"/>
        <item m="1" x="570"/>
        <item m="1" x="461"/>
        <item m="1" x="512"/>
        <item m="1" x="630"/>
        <item m="1" x="468"/>
        <item m="1" x="469"/>
        <item m="1" x="472"/>
        <item m="1" x="473"/>
        <item m="1" x="160"/>
        <item m="1" x="475"/>
        <item m="1" x="477"/>
        <item m="1" x="635"/>
        <item m="1" x="545"/>
        <item m="1" x="161"/>
        <item m="1" x="516"/>
        <item m="1" x="322"/>
        <item m="1" x="551"/>
        <item m="1" x="501"/>
        <item m="1" x="543"/>
        <item m="1" x="175"/>
        <item m="1" x="419"/>
        <item m="1" x="143"/>
        <item m="1" x="559"/>
        <item m="1" x="193"/>
        <item m="1" x="422"/>
        <item m="1" x="158"/>
        <item m="1" x="197"/>
        <item m="1" x="424"/>
        <item m="1" x="425"/>
        <item m="1" x="426"/>
        <item m="1" x="427"/>
        <item m="1" x="428"/>
        <item m="1" x="430"/>
        <item m="1" x="431"/>
        <item m="1" x="432"/>
        <item m="1" x="433"/>
        <item m="1" x="434"/>
        <item m="1" x="435"/>
        <item m="1" x="191"/>
        <item m="1" x="507"/>
        <item m="1" x="380"/>
        <item m="1" x="381"/>
        <item m="1" x="480"/>
        <item m="1" x="372"/>
        <item m="1" x="379"/>
        <item m="1" x="176"/>
        <item m="1" x="371"/>
        <item m="1" x="373"/>
        <item m="1" x="375"/>
        <item m="1" x="376"/>
        <item m="1" x="382"/>
        <item m="1" x="383"/>
        <item m="1" x="395"/>
        <item m="1" x="396"/>
        <item m="1" x="397"/>
        <item m="1" x="398"/>
        <item m="1" x="399"/>
        <item m="1" x="401"/>
        <item m="1" x="402"/>
        <item m="1" x="404"/>
        <item m="1" x="389"/>
        <item m="1" x="405"/>
        <item m="1" x="406"/>
        <item m="1" x="562"/>
        <item m="1" x="296"/>
        <item m="1" x="588"/>
        <item m="1" x="139"/>
        <item m="1" x="157"/>
        <item m="1" x="585"/>
        <item m="1" x="568"/>
        <item m="1" x="492"/>
        <item m="1" x="553"/>
        <item m="1" x="394"/>
        <item m="1" x="652"/>
        <item m="1" x="515"/>
        <item m="1" x="566"/>
        <item m="1" x="194"/>
        <item m="1" x="607"/>
        <item m="1" x="358"/>
        <item m="1" x="648"/>
        <item m="1" x="183"/>
        <item m="1" x="567"/>
        <item m="1" x="497"/>
        <item m="1" x="564"/>
        <item m="1" x="511"/>
        <item m="1" x="587"/>
        <item m="1" x="625"/>
        <item m="1" x="597"/>
        <item m="1" x="549"/>
        <item m="1" x="616"/>
        <item m="1" x="617"/>
        <item m="1" x="560"/>
        <item m="1" x="536"/>
        <item m="1" x="479"/>
        <item m="1" x="622"/>
        <item m="1" x="126"/>
        <item m="1" x="612"/>
        <item m="1" x="649"/>
        <item m="1" x="638"/>
        <item m="1" x="582"/>
        <item m="1" x="524"/>
        <item m="1" x="517"/>
        <item m="1" x="198"/>
        <item m="1" x="203"/>
        <item m="1" x="463"/>
        <item x="17"/>
        <item x="6"/>
        <item m="1" x="460"/>
        <item x="2"/>
        <item x="3"/>
        <item m="1" x="531"/>
        <item x="7"/>
        <item m="1" x="133"/>
        <item m="1" x="366"/>
        <item m="1" x="611"/>
        <item m="1" x="247"/>
        <item m="1" x="248"/>
        <item m="1" x="249"/>
        <item m="1" x="250"/>
        <item m="1" x="251"/>
        <item x="0"/>
        <item m="1" x="77"/>
        <item x="1"/>
        <item x="30"/>
        <item m="1" x="252"/>
        <item x="53"/>
        <item m="1" x="253"/>
        <item m="1" x="254"/>
        <item m="1" x="255"/>
        <item m="1" x="256"/>
        <item m="1" x="257"/>
        <item m="1" x="258"/>
        <item m="1" x="259"/>
        <item m="1" x="260"/>
        <item x="19"/>
        <item x="26"/>
        <item m="1" x="58"/>
        <item m="1" x="59"/>
        <item x="32"/>
        <item m="1" x="261"/>
        <item m="1" x="262"/>
        <item m="1" x="263"/>
        <item m="1" x="264"/>
        <item x="5"/>
        <item x="44"/>
        <item x="45"/>
        <item m="1" x="63"/>
        <item m="1" x="265"/>
        <item m="1" x="267"/>
        <item m="1" x="268"/>
        <item m="1" x="269"/>
        <item m="1" x="270"/>
        <item m="1" x="271"/>
        <item m="1" x="272"/>
        <item m="1" x="273"/>
        <item m="1" x="75"/>
        <item m="1" x="180"/>
        <item m="1" x="275"/>
        <item x="56"/>
        <item x="4"/>
        <item x="8"/>
        <item x="9"/>
        <item x="10"/>
        <item x="16"/>
        <item m="1" x="276"/>
        <item x="35"/>
        <item m="1" x="277"/>
        <item m="1" x="278"/>
        <item m="1" x="279"/>
        <item x="11"/>
        <item m="1" x="84"/>
        <item m="1" x="281"/>
        <item m="1" x="181"/>
        <item m="1" x="282"/>
        <item x="52"/>
        <item m="1" x="283"/>
        <item m="1" x="284"/>
        <item m="1" x="286"/>
        <item m="1" x="287"/>
        <item x="14"/>
        <item x="55"/>
        <item m="1" x="290"/>
        <item m="1" x="291"/>
        <item m="1" x="292"/>
        <item m="1" x="285"/>
        <item m="1" x="293"/>
        <item m="1" x="294"/>
        <item x="31"/>
        <item m="1" x="324"/>
        <item x="25"/>
        <item x="43"/>
        <item x="51"/>
        <item x="33"/>
        <item x="42"/>
        <item x="47"/>
        <item m="1" x="608"/>
        <item x="28"/>
        <item x="46"/>
        <item x="23"/>
        <item x="24"/>
        <item x="37"/>
        <item x="38"/>
        <item x="39"/>
        <item x="40"/>
        <item x="41"/>
        <item x="50"/>
        <item x="27"/>
        <item x="21"/>
        <item x="22"/>
        <item x="34"/>
        <item x="48"/>
        <item x="57"/>
        <item m="1" x="177"/>
        <item x="18"/>
        <item x="20"/>
        <item x="49"/>
        <item x="12"/>
        <item m="1" x="321"/>
        <item x="36"/>
        <item x="13"/>
        <item m="1" x="99"/>
        <item m="1" x="73"/>
        <item m="1" x="60"/>
        <item m="1" x="61"/>
        <item m="1" x="64"/>
        <item m="1" x="65"/>
        <item m="1" x="66"/>
        <item m="1" x="67"/>
        <item m="1" x="68"/>
        <item m="1" x="70"/>
        <item m="1" x="71"/>
        <item m="1" x="72"/>
        <item m="1" x="74"/>
        <item m="1" x="76"/>
        <item m="1" x="79"/>
        <item m="1" x="80"/>
        <item m="1" x="81"/>
        <item m="1" x="82"/>
        <item m="1" x="83"/>
        <item m="1" x="78"/>
        <item m="1" x="85"/>
        <item m="1" x="86"/>
        <item m="1" x="87"/>
        <item m="1" x="364"/>
        <item m="1" x="365"/>
        <item m="1" x="227"/>
        <item m="1" x="88"/>
        <item m="1" x="89"/>
        <item m="1" x="90"/>
        <item m="1" x="91"/>
        <item m="1" x="93"/>
        <item m="1" x="128"/>
        <item m="1" x="95"/>
        <item m="1" x="236"/>
        <item m="1" x="304"/>
        <item m="1" x="96"/>
        <item m="1" x="185"/>
        <item m="1" x="97"/>
        <item m="1" x="182"/>
        <item m="1" x="184"/>
        <item m="1" x="186"/>
        <item m="1" x="187"/>
        <item m="1" x="123"/>
        <item m="1" x="100"/>
        <item m="1" x="101"/>
        <item m="1" x="190"/>
        <item m="1" x="102"/>
        <item m="1" x="104"/>
        <item m="1" x="105"/>
        <item m="1" x="106"/>
        <item m="1" x="107"/>
        <item m="1" x="108"/>
        <item m="1" x="109"/>
        <item m="1" x="110"/>
        <item m="1" x="111"/>
        <item m="1" x="112"/>
        <item m="1" x="113"/>
        <item m="1" x="114"/>
        <item m="1" x="115"/>
        <item m="1" x="116"/>
        <item m="1" x="117"/>
        <item m="1" x="118"/>
        <item m="1" x="119"/>
        <item m="1" x="120"/>
        <item m="1" x="121"/>
        <item m="1" x="122"/>
        <item m="1" x="124"/>
        <item m="1" x="125"/>
        <item m="1" x="127"/>
        <item m="1" x="129"/>
        <item m="1" x="130"/>
        <item m="1" x="131"/>
        <item m="1" x="132"/>
        <item m="1" x="98"/>
        <item m="1" x="325"/>
        <item m="1" x="326"/>
        <item m="1" x="213"/>
        <item m="1" x="219"/>
        <item m="1" x="221"/>
        <item m="1" x="224"/>
        <item m="1" x="225"/>
        <item m="1" x="307"/>
        <item m="1" x="210"/>
        <item m="1" x="211"/>
        <item m="1" x="212"/>
        <item m="1" x="214"/>
        <item m="1" x="215"/>
        <item m="1" x="216"/>
        <item m="1" x="217"/>
        <item m="1" x="218"/>
        <item m="1" x="220"/>
        <item m="1" x="222"/>
        <item m="1" x="223"/>
        <item m="1" x="237"/>
        <item m="1" x="238"/>
        <item m="1" x="239"/>
        <item m="1" x="242"/>
        <item m="1" x="243"/>
        <item m="1" x="240"/>
        <item m="1" x="244"/>
        <item m="1" x="245"/>
        <item m="1" x="246"/>
        <item m="1" x="241"/>
        <item m="1" x="298"/>
        <item m="1" x="299"/>
        <item m="1" x="300"/>
        <item m="1" x="301"/>
        <item m="1" x="302"/>
        <item m="1" x="297"/>
        <item m="1" x="303"/>
        <item m="1" x="92"/>
        <item m="1" x="179"/>
        <item m="1" x="235"/>
        <item m="1" x="357"/>
        <item m="1" x="228"/>
        <item m="1" x="311"/>
        <item m="1" x="312"/>
        <item m="1" x="336"/>
        <item m="1" x="341"/>
        <item m="1" x="319"/>
        <item m="1" x="320"/>
        <item m="1" x="438"/>
        <item m="1" x="439"/>
        <item m="1" x="440"/>
        <item m="1" x="232"/>
        <item m="1" x="636"/>
        <item m="1" x="445"/>
        <item m="1" x="342"/>
        <item m="1" x="481"/>
        <item m="1" x="540"/>
        <item m="1" x="633"/>
        <item m="1" x="565"/>
        <item m="1" x="576"/>
        <item m="1" x="598"/>
        <item m="1" x="535"/>
        <item m="1" x="523"/>
        <item m="1" x="643"/>
        <item m="1" x="533"/>
        <item m="1" x="522"/>
        <item m="1" x="600"/>
        <item m="1" x="499"/>
        <item m="1" x="493"/>
        <item m="1" x="563"/>
        <item m="1" x="556"/>
        <item m="1" x="583"/>
        <item m="1" x="482"/>
        <item m="1" x="483"/>
        <item m="1" x="525"/>
        <item m="1" x="656"/>
        <item m="1" x="488"/>
        <item m="1" x="651"/>
        <item m="1" x="593"/>
        <item m="1" x="484"/>
        <item m="1" x="393"/>
        <item m="1" x="572"/>
        <item m="1" x="620"/>
        <item m="1" x="592"/>
        <item m="1" x="647"/>
        <item m="1" x="539"/>
        <item m="1" x="526"/>
        <item m="1" x="527"/>
        <item m="1" x="528"/>
        <item m="1" x="626"/>
        <item m="1" x="627"/>
        <item m="1" x="628"/>
        <item m="1" x="544"/>
        <item m="1" x="574"/>
        <item m="1" x="506"/>
        <item m="1" x="510"/>
        <item m="1" x="569"/>
        <item m="1" x="489"/>
        <item m="1" x="547"/>
        <item m="1" x="548"/>
        <item m="1" x="504"/>
        <item m="1" x="610"/>
        <item m="1" x="621"/>
        <item m="1" x="520"/>
        <item m="1" x="550"/>
        <item m="1" x="624"/>
        <item m="1" x="615"/>
        <item m="1" x="391"/>
        <item m="1" x="188"/>
        <item m="1" x="305"/>
        <item m="1" x="306"/>
        <item m="1" x="288"/>
        <item m="1" x="289"/>
        <item m="1" x="538"/>
        <item m="1" x="609"/>
        <item m="1" x="604"/>
        <item m="1" x="496"/>
        <item m="1" x="571"/>
        <item m="1" x="274"/>
        <item m="1" x="280"/>
        <item m="1" x="486"/>
        <item m="1" x="478"/>
        <item m="1" x="437"/>
        <item m="1" x="436"/>
        <item m="1" x="447"/>
        <item m="1" x="337"/>
        <item m="1" x="338"/>
        <item m="1" x="339"/>
        <item m="1" x="340"/>
        <item m="1" x="343"/>
        <item m="1" x="344"/>
        <item m="1" x="345"/>
        <item m="1" x="346"/>
        <item m="1" x="347"/>
        <item m="1" x="348"/>
        <item m="1" x="349"/>
        <item m="1" x="350"/>
        <item m="1" x="351"/>
        <item m="1" x="352"/>
        <item m="1" x="353"/>
        <item m="1" x="354"/>
        <item m="1" x="355"/>
        <item m="1" x="318"/>
        <item m="1" x="327"/>
        <item m="1" x="328"/>
        <item m="1" x="329"/>
        <item m="1" x="330"/>
        <item m="1" x="331"/>
        <item m="1" x="332"/>
        <item m="1" x="333"/>
        <item m="1" x="334"/>
        <item m="1" x="335"/>
        <item m="1" x="418"/>
        <item m="1" x="171"/>
        <item m="1" x="309"/>
        <item m="1" x="313"/>
        <item m="1" x="314"/>
        <item m="1" x="315"/>
        <item m="1" x="316"/>
        <item m="1" x="317"/>
        <item m="1" x="308"/>
        <item m="1" x="356"/>
        <item m="1" x="189"/>
        <item m="1" x="407"/>
        <item m="1" x="448"/>
        <item m="1" x="449"/>
        <item m="1" x="450"/>
        <item m="1" x="451"/>
        <item m="1" x="452"/>
        <item m="1" x="453"/>
        <item m="1" x="454"/>
        <item m="1" x="456"/>
        <item m="1" x="619"/>
        <item m="1" x="457"/>
        <item m="1" x="645"/>
        <item m="1" x="552"/>
        <item m="1" x="446"/>
        <item m="1" x="408"/>
        <item m="1" x="409"/>
        <item m="1" x="410"/>
        <item m="1" x="411"/>
        <item m="1" x="412"/>
        <item m="1" x="413"/>
        <item m="1" x="414"/>
        <item m="1" x="207"/>
        <item m="1" x="606"/>
        <item m="1" x="367"/>
        <item m="1" x="368"/>
        <item m="1" x="369"/>
        <item m="1" x="226"/>
        <item m="1" x="613"/>
        <item m="1" x="423"/>
        <item m="1" x="455"/>
        <item m="1" x="192"/>
        <item m="1" x="156"/>
        <item m="1" x="170"/>
        <item m="1" x="206"/>
        <item m="1" x="208"/>
        <item m="1" x="209"/>
        <item m="1" x="377"/>
        <item m="1" x="378"/>
        <item m="1" x="387"/>
        <item m="1" x="400"/>
        <item m="1" x="403"/>
        <item m="1" x="415"/>
        <item m="1" x="416"/>
        <item m="1" x="229"/>
        <item m="1" x="230"/>
        <item m="1" x="231"/>
        <item m="1" x="233"/>
        <item m="1" x="234"/>
        <item m="1" x="417"/>
        <item m="1" x="441"/>
        <item m="1" x="442"/>
        <item m="1" x="443"/>
        <item m="1" x="444"/>
        <item m="1" x="462"/>
        <item m="1" x="464"/>
        <item m="1" x="69"/>
        <item m="1" x="94"/>
        <item m="1" x="178"/>
        <item m="1" x="390"/>
        <item m="1" x="654"/>
        <item m="1" x="266"/>
        <item m="1" x="295"/>
        <item m="1" x="163"/>
        <item m="1" x="362"/>
        <item m="1" x="363"/>
        <item m="1" x="164"/>
        <item m="1" x="485"/>
        <item m="1" x="471"/>
        <item m="1" x="459"/>
        <item t="default"/>
      </items>
    </pivotField>
    <pivotField compact="0" outline="0" subtotalTop="0" showAll="0" sortType="descending">
      <items count="713">
        <item m="1" x="545"/>
        <item m="1" x="621"/>
        <item m="1" x="501"/>
        <item m="1" x="139"/>
        <item m="1" x="711"/>
        <item m="1" x="657"/>
        <item m="1" x="623"/>
        <item m="1" x="228"/>
        <item m="1" x="227"/>
        <item m="1" x="226"/>
        <item m="1" x="225"/>
        <item m="1" x="224"/>
        <item m="1" x="514"/>
        <item m="1" x="223"/>
        <item m="1" x="102"/>
        <item m="1" x="229"/>
        <item m="1" x="222"/>
        <item m="1" x="334"/>
        <item x="58"/>
        <item x="57"/>
        <item m="1" x="94"/>
        <item m="1" x="339"/>
        <item m="1" x="347"/>
        <item m="1" x="503"/>
        <item x="56"/>
        <item m="1" x="93"/>
        <item x="55"/>
        <item m="1" x="554"/>
        <item m="1" x="565"/>
        <item m="1" x="570"/>
        <item m="1" x="534"/>
        <item m="1" x="188"/>
        <item m="1" x="706"/>
        <item m="1" x="528"/>
        <item m="1" x="639"/>
        <item m="1" x="540"/>
        <item m="1" x="539"/>
        <item m="1" x="695"/>
        <item m="1" x="702"/>
        <item m="1" x="705"/>
        <item m="1" x="709"/>
        <item m="1" x="185"/>
        <item m="1" x="649"/>
        <item m="1" x="195"/>
        <item m="1" x="422"/>
        <item m="1" x="647"/>
        <item m="1" x="555"/>
        <item m="1" x="566"/>
        <item m="1" x="571"/>
        <item m="1" x="533"/>
        <item m="1" x="655"/>
        <item m="1" x="549"/>
        <item m="1" x="553"/>
        <item m="1" x="557"/>
        <item m="1" x="654"/>
        <item m="1" x="278"/>
        <item m="1" x="707"/>
        <item m="1" x="66"/>
        <item m="1" x="204"/>
        <item m="1" x="213"/>
        <item m="1" x="203"/>
        <item m="1" x="122"/>
        <item m="1" x="153"/>
        <item m="1" x="202"/>
        <item m="1" x="472"/>
        <item x="54"/>
        <item m="1" x="563"/>
        <item m="1" x="569"/>
        <item m="1" x="181"/>
        <item m="1" x="405"/>
        <item m="1" x="404"/>
        <item m="1" x="180"/>
        <item m="1" x="562"/>
        <item m="1" x="568"/>
        <item m="1" x="512"/>
        <item m="1" x="291"/>
        <item x="53"/>
        <item x="52"/>
        <item m="1" x="247"/>
        <item x="51"/>
        <item x="50"/>
        <item x="49"/>
        <item x="48"/>
        <item m="1" x="338"/>
        <item m="1" x="409"/>
        <item m="1" x="65"/>
        <item m="1" x="91"/>
        <item m="1" x="350"/>
        <item m="1" x="176"/>
        <item m="1" x="687"/>
        <item m="1" x="689"/>
        <item m="1" x="219"/>
        <item m="1" x="218"/>
        <item m="1" x="700"/>
        <item m="1" x="392"/>
        <item m="1" x="391"/>
        <item m="1" x="390"/>
        <item m="1" x="505"/>
        <item m="1" x="380"/>
        <item m="1" x="397"/>
        <item m="1" x="396"/>
        <item m="1" x="387"/>
        <item m="1" x="386"/>
        <item m="1" x="385"/>
        <item m="1" x="389"/>
        <item m="1" x="388"/>
        <item m="1" x="509"/>
        <item m="1" x="504"/>
        <item m="1" x="502"/>
        <item m="1" x="384"/>
        <item m="1" x="383"/>
        <item m="1" x="251"/>
        <item m="1" x="499"/>
        <item m="1" x="302"/>
        <item m="1" x="301"/>
        <item m="1" x="300"/>
        <item m="1" x="299"/>
        <item m="1" x="298"/>
        <item m="1" x="297"/>
        <item m="1" x="296"/>
        <item m="1" x="295"/>
        <item m="1" x="294"/>
        <item m="1" x="459"/>
        <item m="1" x="458"/>
        <item m="1" x="307"/>
        <item m="1" x="306"/>
        <item m="1" x="309"/>
        <item m="1" x="308"/>
        <item m="1" x="305"/>
        <item m="1" x="283"/>
        <item m="1" x="286"/>
        <item m="1" x="282"/>
        <item m="1" x="281"/>
        <item m="1" x="280"/>
        <item m="1" x="279"/>
        <item m="1" x="520"/>
        <item m="1" x="325"/>
        <item m="1" x="324"/>
        <item m="1" x="323"/>
        <item m="1" x="322"/>
        <item m="1" x="321"/>
        <item m="1" x="320"/>
        <item m="1" x="318"/>
        <item m="1" x="460"/>
        <item m="1" x="317"/>
        <item m="1" x="316"/>
        <item m="1" x="315"/>
        <item m="1" x="314"/>
        <item m="1" x="284"/>
        <item m="1" x="288"/>
        <item m="1" x="287"/>
        <item m="1" x="376"/>
        <item m="1" x="303"/>
        <item m="1" x="310"/>
        <item m="1" x="370"/>
        <item m="1" x="277"/>
        <item m="1" x="276"/>
        <item m="1" x="275"/>
        <item m="1" x="274"/>
        <item m="1" x="290"/>
        <item m="1" x="507"/>
        <item m="1" x="498"/>
        <item m="1" x="375"/>
        <item m="1" x="374"/>
        <item m="1" x="373"/>
        <item m="1" x="372"/>
        <item m="1" x="371"/>
        <item m="1" x="535"/>
        <item m="1" x="233"/>
        <item m="1" x="256"/>
        <item m="1" x="255"/>
        <item m="1" x="250"/>
        <item m="1" x="485"/>
        <item m="1" x="493"/>
        <item x="47"/>
        <item m="1" x="236"/>
        <item x="46"/>
        <item x="45"/>
        <item x="44"/>
        <item m="1" x="488"/>
        <item m="1" x="487"/>
        <item m="1" x="486"/>
        <item m="1" x="242"/>
        <item m="1" x="241"/>
        <item m="1" x="240"/>
        <item m="1" x="239"/>
        <item m="1" x="252"/>
        <item m="1" x="246"/>
        <item m="1" x="244"/>
        <item m="1" x="234"/>
        <item x="43"/>
        <item m="1" x="260"/>
        <item m="1" x="259"/>
        <item m="1" x="258"/>
        <item x="42"/>
        <item x="41"/>
        <item x="40"/>
        <item x="39"/>
        <item x="38"/>
        <item x="37"/>
        <item x="36"/>
        <item x="35"/>
        <item x="34"/>
        <item x="33"/>
        <item m="1" x="342"/>
        <item m="1" x="82"/>
        <item m="1" x="146"/>
        <item m="1" x="355"/>
        <item m="1" x="76"/>
        <item m="1" x="64"/>
        <item m="1" x="337"/>
        <item m="1" x="143"/>
        <item m="1" x="336"/>
        <item m="1" x="142"/>
        <item m="1" x="341"/>
        <item m="1" x="101"/>
        <item m="1" x="100"/>
        <item m="1" x="99"/>
        <item m="1" x="98"/>
        <item m="1" x="90"/>
        <item m="1" x="408"/>
        <item m="1" x="407"/>
        <item m="1" x="406"/>
        <item m="1" x="63"/>
        <item m="1" x="75"/>
        <item m="1" x="89"/>
        <item m="1" x="74"/>
        <item m="1" x="311"/>
        <item m="1" x="352"/>
        <item m="1" x="358"/>
        <item m="1" x="359"/>
        <item m="1" x="455"/>
        <item m="1" x="453"/>
        <item m="1" x="121"/>
        <item m="1" x="207"/>
        <item m="1" x="452"/>
        <item m="1" x="113"/>
        <item m="1" x="112"/>
        <item m="1" x="118"/>
        <item m="1" x="117"/>
        <item m="1" x="116"/>
        <item m="1" x="145"/>
        <item m="1" x="344"/>
        <item m="1" x="126"/>
        <item m="1" x="125"/>
        <item m="1" x="345"/>
        <item m="1" x="412"/>
        <item m="1" x="129"/>
        <item m="1" x="451"/>
        <item m="1" x="410"/>
        <item m="1" x="211"/>
        <item m="1" x="208"/>
        <item m="1" x="119"/>
        <item m="1" x="343"/>
        <item m="1" x="262"/>
        <item m="1" x="199"/>
        <item m="1" x="411"/>
        <item m="1" x="354"/>
        <item m="1" x="198"/>
        <item m="1" x="367"/>
        <item m="1" x="461"/>
        <item m="1" x="206"/>
        <item m="1" x="496"/>
        <item m="1" x="366"/>
        <item m="1" x="267"/>
        <item m="1" x="88"/>
        <item m="1" x="482"/>
        <item m="1" x="136"/>
        <item m="1" x="270"/>
        <item m="1" x="81"/>
        <item m="1" x="266"/>
        <item m="1" x="447"/>
        <item m="1" x="627"/>
        <item m="1" x="631"/>
        <item m="1" x="636"/>
        <item m="1" x="637"/>
        <item m="1" x="542"/>
        <item m="1" x="446"/>
        <item m="1" x="445"/>
        <item m="1" x="444"/>
        <item m="1" x="421"/>
        <item m="1" x="420"/>
        <item m="1" x="419"/>
        <item m="1" x="443"/>
        <item m="1" x="418"/>
        <item x="32"/>
        <item m="1" x="216"/>
        <item m="1" x="467"/>
        <item m="1" x="173"/>
        <item m="1" x="466"/>
        <item m="1" x="685"/>
        <item m="1" x="364"/>
        <item m="1" x="690"/>
        <item m="1" x="694"/>
        <item m="1" x="530"/>
        <item m="1" x="682"/>
        <item m="1" x="62"/>
        <item m="1" x="128"/>
        <item m="1" x="348"/>
        <item m="1" x="205"/>
        <item m="1" x="457"/>
        <item m="1" x="135"/>
        <item m="1" x="599"/>
        <item m="1" x="604"/>
        <item m="1" x="587"/>
        <item m="1" x="159"/>
        <item m="1" x="214"/>
        <item m="1" x="463"/>
        <item m="1" x="605"/>
        <item m="1" x="525"/>
        <item m="1" x="524"/>
        <item m="1" x="450"/>
        <item m="1" x="519"/>
        <item m="1" x="212"/>
        <item m="1" x="150"/>
        <item m="1" x="618"/>
        <item m="1" x="518"/>
        <item m="1" x="658"/>
        <item m="1" x="470"/>
        <item m="1" x="584"/>
        <item m="1" x="479"/>
        <item m="1" x="677"/>
        <item m="1" x="537"/>
        <item m="1" x="424"/>
        <item m="1" x="73"/>
        <item m="1" x="683"/>
        <item m="1" x="686"/>
        <item m="1" x="606"/>
        <item m="1" x="609"/>
        <item m="1" x="613"/>
        <item m="1" x="617"/>
        <item m="1" x="622"/>
        <item m="1" x="628"/>
        <item m="1" x="588"/>
        <item m="1" x="590"/>
        <item m="1" x="591"/>
        <item m="1" x="595"/>
        <item m="1" x="600"/>
        <item m="1" x="607"/>
        <item m="1" x="610"/>
        <item m="1" x="614"/>
        <item m="1" x="619"/>
        <item m="1" x="625"/>
        <item m="1" x="437"/>
        <item m="1" x="436"/>
        <item m="1" x="163"/>
        <item m="1" x="162"/>
        <item m="1" x="402"/>
        <item m="1" x="664"/>
        <item m="1" x="663"/>
        <item m="1" x="585"/>
        <item m="1" x="165"/>
        <item m="1" x="592"/>
        <item m="1" x="601"/>
        <item m="1" x="430"/>
        <item m="1" x="596"/>
        <item m="1" x="189"/>
        <item m="1" x="538"/>
        <item m="1" x="611"/>
        <item m="1" x="363"/>
        <item m="1" x="615"/>
        <item m="1" x="620"/>
        <item x="31"/>
        <item x="30"/>
        <item m="1" x="80"/>
        <item m="1" x="201"/>
        <item m="1" x="560"/>
        <item m="1" x="97"/>
        <item m="1" x="194"/>
        <item m="1" x="221"/>
        <item m="1" x="543"/>
        <item m="1" x="333"/>
        <item m="1" x="369"/>
        <item m="1" x="72"/>
        <item m="1" x="368"/>
        <item m="1" x="624"/>
        <item m="1" x="626"/>
        <item m="1" x="513"/>
        <item m="1" x="184"/>
        <item m="1" x="429"/>
        <item m="1" x="428"/>
        <item m="1" x="427"/>
        <item m="1" x="417"/>
        <item m="1" x="238"/>
        <item m="1" x="335"/>
        <item m="1" x="120"/>
        <item m="1" x="61"/>
        <item m="1" x="141"/>
        <item m="1" x="456"/>
        <item m="1" x="200"/>
        <item m="1" x="634"/>
        <item m="1" x="641"/>
        <item m="1" x="643"/>
        <item m="1" x="629"/>
        <item m="1" x="633"/>
        <item m="1" x="471"/>
        <item m="1" x="640"/>
        <item m="1" x="642"/>
        <item m="1" x="152"/>
        <item m="1" x="400"/>
        <item m="1" x="179"/>
        <item m="1" x="399"/>
        <item m="1" x="468"/>
        <item m="1" x="137"/>
        <item m="1" x="79"/>
        <item x="29"/>
        <item m="1" x="71"/>
        <item m="1" x="612"/>
        <item m="1" x="92"/>
        <item m="1" x="616"/>
        <item m="1" x="175"/>
        <item m="1" x="495"/>
        <item m="1" x="494"/>
        <item m="1" x="483"/>
        <item m="1" x="269"/>
        <item m="1" x="167"/>
        <item m="1" x="699"/>
        <item m="1" x="416"/>
        <item m="1" x="442"/>
        <item m="1" x="465"/>
        <item m="1" x="172"/>
        <item m="1" x="529"/>
        <item m="1" x="593"/>
        <item m="1" x="474"/>
        <item m="1" x="193"/>
        <item m="1" x="661"/>
        <item m="1" x="158"/>
        <item m="1" x="462"/>
        <item m="1" x="672"/>
        <item m="1" x="149"/>
        <item m="1" x="676"/>
        <item m="1" x="517"/>
        <item m="1" x="574"/>
        <item m="1" x="478"/>
        <item m="1" x="497"/>
        <item m="1" x="60"/>
        <item m="1" x="678"/>
        <item m="1" x="680"/>
        <item m="1" x="435"/>
        <item m="1" x="541"/>
        <item m="1" x="161"/>
        <item m="1" x="567"/>
        <item m="1" x="215"/>
        <item m="1" x="160"/>
        <item m="1" x="134"/>
        <item m="1" x="667"/>
        <item m="1" x="669"/>
        <item m="1" x="425"/>
        <item m="1" x="674"/>
        <item m="1" x="257"/>
        <item m="1" x="237"/>
        <item m="1" x="632"/>
        <item m="1" x="691"/>
        <item m="1" x="192"/>
        <item m="1" x="187"/>
        <item m="1" x="527"/>
        <item m="1" x="432"/>
        <item m="1" x="688"/>
        <item m="1" x="692"/>
        <item m="1" x="697"/>
        <item m="1" x="630"/>
        <item m="1" x="183"/>
        <item m="1" x="415"/>
        <item m="1" x="431"/>
        <item m="1" x="696"/>
        <item m="1" x="644"/>
        <item m="1" x="546"/>
        <item m="1" x="651"/>
        <item m="1" x="648"/>
        <item m="1" x="532"/>
        <item m="1" x="531"/>
        <item m="1" x="558"/>
        <item m="1" x="645"/>
        <item m="1" x="178"/>
        <item m="1" x="638"/>
        <item m="1" x="536"/>
        <item m="1" x="271"/>
        <item m="1" x="272"/>
        <item m="1" x="693"/>
        <item m="1" x="231"/>
        <item m="1" x="701"/>
        <item m="1" x="704"/>
        <item m="1" x="449"/>
        <item m="1" x="441"/>
        <item m="1" x="448"/>
        <item m="1" x="440"/>
        <item m="1" x="464"/>
        <item m="1" x="171"/>
        <item m="1" x="594"/>
        <item m="1" x="157"/>
        <item m="1" x="671"/>
        <item m="1" x="673"/>
        <item m="1" x="576"/>
        <item m="1" x="670"/>
        <item m="1" x="148"/>
        <item m="1" x="679"/>
        <item m="1" x="516"/>
        <item m="1" x="469"/>
        <item m="1" x="581"/>
        <item m="1" x="426"/>
        <item m="1" x="423"/>
        <item m="1" x="597"/>
        <item m="1" x="681"/>
        <item m="1" x="434"/>
        <item m="1" x="401"/>
        <item m="1" x="665"/>
        <item m="1" x="572"/>
        <item m="1" x="575"/>
        <item m="1" x="578"/>
        <item m="1" x="586"/>
        <item m="1" x="573"/>
        <item m="1" x="362"/>
        <item m="1" x="95"/>
        <item m="1" x="78"/>
        <item m="1" x="196"/>
        <item m="1" x="85"/>
        <item m="1" x="70"/>
        <item m="1" x="127"/>
        <item m="1" x="106"/>
        <item m="1" x="133"/>
        <item m="1" x="132"/>
        <item m="1" x="293"/>
        <item m="1" x="602"/>
        <item m="1" x="603"/>
        <item m="1" x="220"/>
        <item m="1" x="191"/>
        <item m="1" x="660"/>
        <item m="1" x="177"/>
        <item m="1" x="582"/>
        <item m="1" x="481"/>
        <item m="1" x="169"/>
        <item m="1" x="186"/>
        <item m="1" x="168"/>
        <item m="1" x="197"/>
        <item m="1" x="526"/>
        <item m="1" x="579"/>
        <item m="1" x="659"/>
        <item m="1" x="182"/>
        <item m="1" x="675"/>
        <item m="1" x="598"/>
        <item m="1" x="662"/>
        <item m="1" x="666"/>
        <item m="1" x="668"/>
        <item m="1" x="589"/>
        <item m="1" x="403"/>
        <item m="1" x="84"/>
        <item m="1" x="107"/>
        <item m="1" x="77"/>
        <item m="1" x="147"/>
        <item x="28"/>
        <item m="1" x="656"/>
        <item x="27"/>
        <item x="26"/>
        <item m="1" x="59"/>
        <item m="1" x="110"/>
        <item m="1" x="115"/>
        <item m="1" x="646"/>
        <item m="1" x="349"/>
        <item m="1" x="653"/>
        <item m="1" x="174"/>
        <item m="1" x="210"/>
        <item m="1" x="393"/>
        <item m="1" x="378"/>
        <item m="1" x="379"/>
        <item m="1" x="395"/>
        <item m="1" x="394"/>
        <item m="1" x="510"/>
        <item m="1" x="508"/>
        <item m="1" x="506"/>
        <item m="1" x="382"/>
        <item m="1" x="381"/>
        <item m="1" x="332"/>
        <item m="1" x="331"/>
        <item m="1" x="330"/>
        <item m="1" x="329"/>
        <item m="1" x="328"/>
        <item m="1" x="327"/>
        <item m="1" x="326"/>
        <item m="1" x="292"/>
        <item m="1" x="304"/>
        <item m="1" x="319"/>
        <item m="1" x="313"/>
        <item m="1" x="312"/>
        <item m="1" x="285"/>
        <item m="1" x="273"/>
        <item m="1" x="289"/>
        <item m="1" x="500"/>
        <item m="1" x="232"/>
        <item m="1" x="254"/>
        <item m="1" x="577"/>
        <item m="1" x="249"/>
        <item m="1" x="248"/>
        <item m="1" x="484"/>
        <item m="1" x="235"/>
        <item x="25"/>
        <item x="24"/>
        <item x="23"/>
        <item x="22"/>
        <item x="21"/>
        <item m="1" x="69"/>
        <item x="20"/>
        <item x="19"/>
        <item m="1" x="245"/>
        <item m="1" x="243"/>
        <item m="1" x="261"/>
        <item m="1" x="340"/>
        <item m="1" x="398"/>
        <item x="18"/>
        <item m="1" x="377"/>
        <item m="1" x="87"/>
        <item m="1" x="96"/>
        <item x="17"/>
        <item m="1" x="103"/>
        <item m="1" x="68"/>
        <item m="1" x="67"/>
        <item x="16"/>
        <item m="1" x="351"/>
        <item m="1" x="360"/>
        <item m="1" x="357"/>
        <item m="1" x="353"/>
        <item m="1" x="138"/>
        <item m="1" x="454"/>
        <item x="15"/>
        <item x="14"/>
        <item m="1" x="86"/>
        <item x="13"/>
        <item m="1" x="356"/>
        <item m="1" x="144"/>
        <item m="1" x="124"/>
        <item m="1" x="123"/>
        <item m="1" x="109"/>
        <item m="1" x="108"/>
        <item m="1" x="105"/>
        <item m="1" x="114"/>
        <item m="1" x="209"/>
        <item x="12"/>
        <item m="1" x="361"/>
        <item m="1" x="140"/>
        <item m="1" x="131"/>
        <item m="1" x="104"/>
        <item m="1" x="130"/>
        <item x="11"/>
        <item m="1" x="253"/>
        <item x="10"/>
        <item x="9"/>
        <item x="8"/>
        <item x="7"/>
        <item x="6"/>
        <item x="5"/>
        <item x="4"/>
        <item m="1" x="552"/>
        <item x="3"/>
        <item x="2"/>
        <item x="1"/>
        <item m="1" x="268"/>
        <item m="1" x="164"/>
        <item m="1" x="511"/>
        <item m="1" x="230"/>
        <item m="1" x="583"/>
        <item m="1" x="166"/>
        <item m="1" x="551"/>
        <item m="1" x="559"/>
        <item m="1" x="564"/>
        <item m="1" x="413"/>
        <item m="1" x="492"/>
        <item m="1" x="217"/>
        <item m="1" x="491"/>
        <item m="1" x="151"/>
        <item m="1" x="265"/>
        <item m="1" x="580"/>
        <item m="1" x="264"/>
        <item m="1" x="263"/>
        <item m="1" x="439"/>
        <item m="1" x="414"/>
        <item m="1" x="438"/>
        <item m="1" x="480"/>
        <item m="1" x="548"/>
        <item m="1" x="556"/>
        <item m="1" x="170"/>
        <item m="1" x="490"/>
        <item m="1" x="489"/>
        <item m="1" x="111"/>
        <item m="1" x="473"/>
        <item m="1" x="708"/>
        <item m="1" x="156"/>
        <item m="1" x="83"/>
        <item x="0"/>
        <item m="1" x="608"/>
        <item m="1" x="523"/>
        <item m="1" x="522"/>
        <item m="1" x="521"/>
        <item m="1" x="155"/>
        <item m="1" x="154"/>
        <item m="1" x="703"/>
        <item m="1" x="477"/>
        <item m="1" x="476"/>
        <item m="1" x="475"/>
        <item m="1" x="635"/>
        <item m="1" x="650"/>
        <item m="1" x="652"/>
        <item m="1" x="710"/>
        <item m="1" x="547"/>
        <item m="1" x="550"/>
        <item m="1" x="433"/>
        <item m="1" x="684"/>
        <item m="1" x="190"/>
        <item m="1" x="346"/>
        <item m="1" x="561"/>
        <item m="1" x="515"/>
        <item m="1" x="365"/>
        <item m="1" x="698"/>
        <item m="1" x="544"/>
        <item t="default"/>
      </items>
    </pivotField>
    <pivotField axis="axisRow" compact="0" outline="0" subtotalTop="0" showAll="0" defaultSubtotal="0">
      <items count="1740">
        <item x="87"/>
        <item x="9"/>
        <item m="1" x="466"/>
        <item m="1" x="432"/>
        <item x="1"/>
        <item m="1" x="1362"/>
        <item m="1" x="233"/>
        <item x="89"/>
        <item m="1" x="1100"/>
        <item m="1" x="249"/>
        <item x="2"/>
        <item x="3"/>
        <item m="1" x="1699"/>
        <item x="20"/>
        <item m="1" x="1457"/>
        <item m="1" x="1447"/>
        <item m="1" x="395"/>
        <item x="143"/>
        <item m="1" x="380"/>
        <item m="1" x="547"/>
        <item m="1" x="1432"/>
        <item m="1" x="810"/>
        <item m="1" x="559"/>
        <item m="1" x="1481"/>
        <item m="1" x="1508"/>
        <item m="1" x="1485"/>
        <item m="1" x="548"/>
        <item m="1" x="1494"/>
        <item m="1" x="1312"/>
        <item x="159"/>
        <item m="1" x="549"/>
        <item m="1" x="550"/>
        <item m="1" x="1384"/>
        <item m="1" x="1314"/>
        <item m="1" x="408"/>
        <item m="1" x="379"/>
        <item m="1" x="1276"/>
        <item m="1" x="1083"/>
        <item m="1" x="465"/>
        <item m="1" x="409"/>
        <item m="1" x="1070"/>
        <item x="4"/>
        <item x="155"/>
        <item m="1" x="911"/>
        <item x="25"/>
        <item m="1" x="467"/>
        <item m="1" x="551"/>
        <item m="1" x="1491"/>
        <item m="1" x="433"/>
        <item m="1" x="1084"/>
        <item m="1" x="1287"/>
        <item m="1" x="1085"/>
        <item m="1" x="552"/>
        <item m="1" x="410"/>
        <item m="1" x="1424"/>
        <item m="1" x="553"/>
        <item x="145"/>
        <item m="1" x="1673"/>
        <item x="146"/>
        <item m="1" x="554"/>
        <item x="90"/>
        <item m="1" x="1548"/>
        <item m="1" x="555"/>
        <item m="1" x="423"/>
        <item m="1" x="471"/>
        <item m="1" x="468"/>
        <item x="116"/>
        <item m="1" x="240"/>
        <item m="1" x="1286"/>
        <item m="1" x="1343"/>
        <item m="1" x="1486"/>
        <item x="13"/>
        <item x="71"/>
        <item m="1" x="1329"/>
        <item m="1" x="1086"/>
        <item m="1" x="1479"/>
        <item m="1" x="1594"/>
        <item x="48"/>
        <item m="1" x="1469"/>
        <item m="1" x="1710"/>
        <item m="1" x="538"/>
        <item x="7"/>
        <item m="1" x="1291"/>
        <item m="1" x="1600"/>
        <item m="1" x="427"/>
        <item x="156"/>
        <item x="16"/>
        <item m="1" x="1315"/>
        <item m="1" x="434"/>
        <item m="1" x="1644"/>
        <item x="49"/>
        <item m="1" x="1445"/>
        <item m="1" x="381"/>
        <item m="1" x="1368"/>
        <item m="1" x="175"/>
        <item m="1" x="1361"/>
        <item m="1" x="1087"/>
        <item m="1" x="275"/>
        <item x="8"/>
        <item m="1" x="411"/>
        <item m="1" x="832"/>
        <item m="1" x="189"/>
        <item m="1" x="469"/>
        <item m="1" x="1320"/>
        <item m="1" x="569"/>
        <item m="1" x="297"/>
        <item m="1" x="570"/>
        <item m="1" x="1302"/>
        <item m="1" x="378"/>
        <item m="1" x="1656"/>
        <item m="1" x="1058"/>
        <item m="1" x="1059"/>
        <item m="1" x="1571"/>
        <item m="1" x="459"/>
        <item m="1" x="460"/>
        <item m="1" x="1523"/>
        <item m="1" x="1550"/>
        <item x="88"/>
        <item m="1" x="399"/>
        <item m="1" x="909"/>
        <item m="1" x="375"/>
        <item m="1" x="910"/>
        <item m="1" x="560"/>
        <item m="1" x="561"/>
        <item x="94"/>
        <item x="95"/>
        <item m="1" x="470"/>
        <item m="1" x="1253"/>
        <item m="1" x="1205"/>
        <item m="1" x="1206"/>
        <item m="1" x="1207"/>
        <item m="1" x="1208"/>
        <item m="1" x="1209"/>
        <item m="1" x="822"/>
        <item m="1" x="803"/>
        <item m="1" x="1210"/>
        <item m="1" x="1211"/>
        <item m="1" x="1678"/>
        <item m="1" x="1352"/>
        <item m="1" x="1605"/>
        <item m="1" x="1373"/>
        <item m="1" x="501"/>
        <item m="1" x="184"/>
        <item m="1" x="1616"/>
        <item m="1" x="1553"/>
        <item m="1" x="1371"/>
        <item m="1" x="271"/>
        <item m="1" x="267"/>
        <item m="1" x="269"/>
        <item m="1" x="1564"/>
        <item m="1" x="1583"/>
        <item m="1" x="495"/>
        <item m="1" x="439"/>
        <item m="1" x="1436"/>
        <item m="1" x="1534"/>
        <item m="1" x="1397"/>
        <item m="1" x="188"/>
        <item m="1" x="393"/>
        <item m="1" x="400"/>
        <item m="1" x="401"/>
        <item m="1" x="245"/>
        <item m="1" x="402"/>
        <item m="1" x="403"/>
        <item m="1" x="412"/>
        <item m="1" x="413"/>
        <item x="52"/>
        <item x="53"/>
        <item m="1" x="414"/>
        <item x="55"/>
        <item m="1" x="415"/>
        <item m="1" x="416"/>
        <item m="1" x="417"/>
        <item m="1" x="418"/>
        <item m="1" x="419"/>
        <item m="1" x="420"/>
        <item x="59"/>
        <item m="1" x="421"/>
        <item m="1" x="422"/>
        <item m="1" x="196"/>
        <item m="1" x="424"/>
        <item m="1" x="204"/>
        <item m="1" x="205"/>
        <item m="1" x="1261"/>
        <item x="109"/>
        <item x="110"/>
        <item m="1" x="1328"/>
        <item m="1" x="202"/>
        <item m="1" x="833"/>
        <item m="1" x="203"/>
        <item m="1" x="798"/>
        <item m="1" x="799"/>
        <item m="1" x="800"/>
        <item m="1" x="440"/>
        <item m="1" x="1596"/>
        <item m="1" x="1272"/>
        <item m="1" x="1602"/>
        <item m="1" x="1569"/>
        <item m="1" x="1319"/>
        <item m="1" x="1389"/>
        <item m="1" x="167"/>
        <item m="1" x="1367"/>
        <item m="1" x="1735"/>
        <item m="1" x="1339"/>
        <item m="1" x="1555"/>
        <item m="1" x="1338"/>
        <item m="1" x="451"/>
        <item m="1" x="802"/>
        <item m="1" x="1652"/>
        <item m="1" x="1434"/>
        <item m="1" x="1718"/>
        <item m="1" x="1603"/>
        <item m="1" x="1356"/>
        <item m="1" x="1503"/>
        <item m="1" x="1289"/>
        <item m="1" x="1455"/>
        <item m="1" x="1470"/>
        <item m="1" x="1581"/>
        <item m="1" x="1695"/>
        <item m="1" x="1734"/>
        <item m="1" x="1412"/>
        <item m="1" x="970"/>
        <item m="1" x="971"/>
        <item m="1" x="1214"/>
        <item m="1" x="1587"/>
        <item m="1" x="1630"/>
        <item m="1" x="1220"/>
        <item m="1" x="1225"/>
        <item m="1" x="1226"/>
        <item m="1" x="1227"/>
        <item m="1" x="967"/>
        <item m="1" x="1408"/>
        <item m="1" x="871"/>
        <item m="1" x="1303"/>
        <item m="1" x="1266"/>
        <item m="1" x="1646"/>
        <item m="1" x="448"/>
        <item m="1" x="449"/>
        <item m="1" x="450"/>
        <item m="1" x="452"/>
        <item m="1" x="453"/>
        <item m="1" x="454"/>
        <item m="1" x="455"/>
        <item m="1" x="456"/>
        <item m="1" x="1532"/>
        <item m="1" x="457"/>
        <item m="1" x="1665"/>
        <item m="1" x="458"/>
        <item m="1" x="1724"/>
        <item m="1" x="1593"/>
        <item m="1" x="1588"/>
        <item m="1" x="1575"/>
        <item m="1" x="394"/>
        <item m="1" x="1477"/>
        <item m="1" x="1521"/>
        <item m="1" x="482"/>
        <item m="1" x="1483"/>
        <item m="1" x="1552"/>
        <item m="1" x="1657"/>
        <item m="1" x="1077"/>
        <item m="1" x="1078"/>
        <item m="1" x="1189"/>
        <item m="1" x="1662"/>
        <item m="1" x="1671"/>
        <item m="1" x="246"/>
        <item m="1" x="483"/>
        <item m="1" x="484"/>
        <item m="1" x="1712"/>
        <item m="1" x="1492"/>
        <item m="1" x="1704"/>
        <item m="1" x="556"/>
        <item m="1" x="557"/>
        <item m="1" x="558"/>
        <item m="1" x="564"/>
        <item m="1" x="565"/>
        <item m="1" x="566"/>
        <item m="1" x="567"/>
        <item m="1" x="382"/>
        <item m="1" x="383"/>
        <item m="1" x="384"/>
        <item m="1" x="385"/>
        <item m="1" x="386"/>
        <item m="1" x="387"/>
        <item m="1" x="406"/>
        <item m="1" x="407"/>
        <item x="21"/>
        <item x="24"/>
        <item m="1" x="461"/>
        <item m="1" x="290"/>
        <item m="1" x="389"/>
        <item m="1" x="291"/>
        <item m="1" x="292"/>
        <item m="1" x="293"/>
        <item m="1" x="294"/>
        <item m="1" x="295"/>
        <item m="1" x="288"/>
        <item m="1" x="289"/>
        <item m="1" x="1428"/>
        <item m="1" x="1547"/>
        <item m="1" x="179"/>
        <item x="158"/>
        <item m="1" x="303"/>
        <item m="1" x="1449"/>
        <item m="1" x="1418"/>
        <item m="1" x="1475"/>
        <item m="1" x="1528"/>
        <item m="1" x="1682"/>
        <item m="1" x="1578"/>
        <item x="140"/>
        <item m="1" x="180"/>
        <item m="1" x="398"/>
        <item x="157"/>
        <item x="161"/>
        <item m="1" x="306"/>
        <item x="162"/>
        <item m="1" x="324"/>
        <item m="1" x="1450"/>
        <item m="1" x="1351"/>
        <item m="1" x="1419"/>
        <item m="1" x="1721"/>
        <item m="1" x="1566"/>
        <item m="1" x="328"/>
        <item m="1" x="329"/>
        <item m="1" x="1330"/>
        <item m="1" x="1597"/>
        <item m="1" x="1636"/>
        <item m="1" x="936"/>
        <item m="1" x="937"/>
        <item m="1" x="938"/>
        <item m="1" x="944"/>
        <item m="1" x="945"/>
        <item m="1" x="946"/>
        <item m="1" x="972"/>
        <item m="1" x="973"/>
        <item m="1" x="974"/>
        <item m="1" x="1395"/>
        <item m="1" x="1468"/>
        <item m="1" x="1318"/>
        <item m="1" x="1331"/>
        <item m="1" x="1323"/>
        <item x="77"/>
        <item m="1" x="1573"/>
        <item m="1" x="1591"/>
        <item m="1" x="1579"/>
        <item m="1" x="1263"/>
        <item m="1" x="1327"/>
        <item m="1" x="1290"/>
        <item m="1" x="531"/>
        <item m="1" x="532"/>
        <item m="1" x="1378"/>
        <item m="1" x="1522"/>
        <item m="1" x="1344"/>
        <item m="1" x="1598"/>
        <item m="1" x="1658"/>
        <item m="1" x="539"/>
        <item m="1" x="1260"/>
        <item m="1" x="976"/>
        <item m="1" x="485"/>
        <item m="1" x="486"/>
        <item x="147"/>
        <item m="1" x="487"/>
        <item m="1" x="488"/>
        <item x="148"/>
        <item m="1" x="1195"/>
        <item m="1" x="252"/>
        <item m="1" x="1629"/>
        <item m="1" x="1357"/>
        <item m="1" x="1393"/>
        <item m="1" x="1537"/>
        <item m="1" x="1538"/>
        <item m="1" x="1333"/>
        <item m="1" x="1458"/>
        <item m="1" x="1728"/>
        <item m="1" x="986"/>
        <item m="1" x="1212"/>
        <item m="1" x="1213"/>
        <item m="1" x="273"/>
        <item m="1" x="274"/>
        <item m="1" x="1217"/>
        <item m="1" x="1218"/>
        <item m="1" x="1219"/>
        <item m="1" x="435"/>
        <item x="11"/>
        <item m="1" x="436"/>
        <item m="1" x="437"/>
        <item x="12"/>
        <item m="1" x="272"/>
        <item m="1" x="372"/>
        <item m="1" x="1221"/>
        <item m="1" x="1222"/>
        <item m="1" x="369"/>
        <item m="1" x="1223"/>
        <item m="1" x="1224"/>
        <item m="1" x="370"/>
        <item m="1" x="1228"/>
        <item m="1" x="1229"/>
        <item m="1" x="1295"/>
        <item m="1" x="1589"/>
        <item m="1" x="1305"/>
        <item m="1" x="1317"/>
        <item m="1" x="1363"/>
        <item m="1" x="806"/>
        <item m="1" x="1655"/>
        <item m="1" x="869"/>
        <item m="1" x="438"/>
        <item m="1" x="1309"/>
        <item m="1" x="1739"/>
        <item m="1" x="1402"/>
        <item m="1" x="1294"/>
        <item m="1" x="1406"/>
        <item m="1" x="830"/>
        <item m="1" x="831"/>
        <item m="1" x="1337"/>
        <item m="1" x="1379"/>
        <item m="1" x="1381"/>
        <item m="1" x="1403"/>
        <item m="1" x="1638"/>
        <item m="1" x="1375"/>
        <item m="1" x="1466"/>
        <item m="1" x="1347"/>
        <item m="1" x="1706"/>
        <item m="1" x="1115"/>
        <item m="1" x="1116"/>
        <item m="1" x="1117"/>
        <item m="1" x="1474"/>
        <item m="1" x="1270"/>
        <item m="1" x="472"/>
        <item m="1" x="473"/>
        <item m="1" x="474"/>
        <item m="1" x="475"/>
        <item m="1" x="476"/>
        <item m="1" x="477"/>
        <item m="1" x="478"/>
        <item m="1" x="479"/>
        <item m="1" x="480"/>
        <item m="1" x="481"/>
        <item m="1" x="1073"/>
        <item m="1" x="1074"/>
        <item m="1" x="1075"/>
        <item m="1" x="1076"/>
        <item m="1" x="396"/>
        <item m="1" x="397"/>
        <item m="1" x="1499"/>
        <item m="1" x="1517"/>
        <item m="1" x="1465"/>
        <item m="1" x="1618"/>
        <item m="1" x="1415"/>
        <item m="1" x="1546"/>
        <item m="1" x="1504"/>
        <item m="1" x="1088"/>
        <item m="1" x="1089"/>
        <item m="1" x="1090"/>
        <item m="1" x="430"/>
        <item m="1" x="431"/>
        <item m="1" x="540"/>
        <item m="1" x="541"/>
        <item m="1" x="542"/>
        <item m="1" x="543"/>
        <item m="1" x="544"/>
        <item m="1" x="545"/>
        <item m="1" x="1433"/>
        <item m="1" x="1621"/>
        <item m="1" x="1729"/>
        <item m="1" x="1093"/>
        <item m="1" x="1094"/>
        <item m="1" x="1095"/>
        <item m="1" x="1096"/>
        <item m="1" x="1097"/>
        <item m="1" x="1098"/>
        <item m="1" x="1099"/>
        <item m="1" x="1104"/>
        <item m="1" x="1105"/>
        <item m="1" x="1106"/>
        <item m="1" x="1107"/>
        <item m="1" x="1108"/>
        <item m="1" x="1109"/>
        <item m="1" x="1110"/>
        <item m="1" x="1111"/>
        <item m="1" x="1112"/>
        <item m="1" x="1113"/>
        <item m="1" x="1114"/>
        <item m="1" x="1118"/>
        <item m="1" x="1119"/>
        <item m="1" x="1120"/>
        <item m="1" x="1121"/>
        <item m="1" x="1122"/>
        <item m="1" x="1123"/>
        <item m="1" x="1124"/>
        <item m="1" x="1125"/>
        <item m="1" x="1126"/>
        <item m="1" x="1127"/>
        <item m="1" x="529"/>
        <item m="1" x="530"/>
        <item m="1" x="1709"/>
        <item m="1" x="1387"/>
        <item m="1" x="826"/>
        <item m="1" x="828"/>
        <item m="1" x="827"/>
        <item m="1" x="829"/>
        <item m="1" x="823"/>
        <item m="1" x="940"/>
        <item m="1" x="941"/>
        <item m="1" x="942"/>
        <item m="1" x="966"/>
        <item m="1" x="489"/>
        <item m="1" x="939"/>
        <item m="1" x="943"/>
        <item m="1" x="947"/>
        <item m="1" x="948"/>
        <item m="1" x="949"/>
        <item m="1" x="950"/>
        <item m="1" x="951"/>
        <item m="1" x="952"/>
        <item m="1" x="953"/>
        <item m="1" x="954"/>
        <item m="1" x="955"/>
        <item m="1" x="968"/>
        <item m="1" x="969"/>
        <item m="1" x="991"/>
        <item m="1" x="992"/>
        <item m="1" x="993"/>
        <item m="1" x="994"/>
        <item m="1" x="995"/>
        <item m="1" x="996"/>
        <item m="1" x="997"/>
        <item m="1" x="998"/>
        <item m="1" x="999"/>
        <item m="1" x="1000"/>
        <item m="1" x="1001"/>
        <item m="1" x="1002"/>
        <item m="1" x="1003"/>
        <item m="1" x="1004"/>
        <item m="1" x="1005"/>
        <item m="1" x="1006"/>
        <item m="1" x="1007"/>
        <item m="1" x="1008"/>
        <item m="1" x="1009"/>
        <item m="1" x="1012"/>
        <item m="1" x="1013"/>
        <item m="1" x="1014"/>
        <item m="1" x="1015"/>
        <item m="1" x="1016"/>
        <item m="1" x="1017"/>
        <item m="1" x="1018"/>
        <item m="1" x="1019"/>
        <item m="1" x="1024"/>
        <item m="1" x="1025"/>
        <item m="1" x="1026"/>
        <item m="1" x="1027"/>
        <item m="1" x="1028"/>
        <item m="1" x="1029"/>
        <item m="1" x="1030"/>
        <item m="1" x="1031"/>
        <item m="1" x="1032"/>
        <item m="1" x="977"/>
        <item m="1" x="978"/>
        <item m="1" x="979"/>
        <item m="1" x="980"/>
        <item m="1" x="981"/>
        <item m="1" x="982"/>
        <item m="1" x="1033"/>
        <item m="1" x="1034"/>
        <item m="1" x="1035"/>
        <item m="1" x="1036"/>
        <item m="1" x="1037"/>
        <item m="1" x="1038"/>
        <item m="1" x="1039"/>
        <item m="1" x="1040"/>
        <item m="1" x="1041"/>
        <item m="1" x="1042"/>
        <item m="1" x="1043"/>
        <item m="1" x="1044"/>
        <item m="1" x="1045"/>
        <item m="1" x="1046"/>
        <item m="1" x="1047"/>
        <item m="1" x="1048"/>
        <item m="1" x="1727"/>
        <item m="1" x="1472"/>
        <item m="1" x="1079"/>
        <item m="1" x="1080"/>
        <item m="1" x="1081"/>
        <item m="1" x="1082"/>
        <item m="1" x="1269"/>
        <item m="1" x="1429"/>
        <item m="1" x="1271"/>
        <item m="1" x="1731"/>
        <item m="1" x="1639"/>
        <item m="1" x="1460"/>
        <item m="1" x="1501"/>
        <item m="1" x="1322"/>
        <item m="1" x="1282"/>
        <item m="1" x="1670"/>
        <item m="1" x="1643"/>
        <item m="1" x="1482"/>
        <item m="1" x="1405"/>
        <item m="1" x="1515"/>
        <item m="1" x="1442"/>
        <item m="1" x="1359"/>
        <item m="1" x="1342"/>
        <item m="1" x="1615"/>
        <item m="1" x="1493"/>
        <item m="1" x="1634"/>
        <item m="1" x="1296"/>
        <item m="1" x="1488"/>
        <item m="1" x="1425"/>
        <item m="1" x="568"/>
        <item m="1" x="390"/>
        <item m="1" x="391"/>
        <item m="1" x="392"/>
        <item m="1" x="429"/>
        <item m="1" x="1256"/>
        <item m="1" x="1349"/>
        <item m="1" x="1392"/>
        <item m="1" x="1398"/>
        <item m="1" x="1390"/>
        <item m="1" x="1439"/>
        <item m="1" x="1265"/>
        <item m="1" x="1703"/>
        <item m="1" x="1608"/>
        <item m="1" x="1622"/>
        <item m="1" x="1480"/>
        <item m="1" x="1313"/>
        <item m="1" x="1267"/>
        <item m="1" x="1427"/>
        <item m="1" x="1386"/>
        <item m="1" x="811"/>
        <item m="1" x="990"/>
        <item m="1" x="1431"/>
        <item m="1" x="1693"/>
        <item m="1" x="1617"/>
        <item m="1" x="1592"/>
        <item m="1" x="1669"/>
        <item m="1" x="1413"/>
        <item m="1" x="1461"/>
        <item m="1" x="1426"/>
        <item m="1" x="236"/>
        <item m="1" x="237"/>
        <item m="1" x="1404"/>
        <item m="1" x="907"/>
        <item m="1" x="908"/>
        <item m="1" x="1346"/>
        <item m="1" x="1394"/>
        <item m="1" x="1642"/>
        <item m="1" x="1370"/>
        <item m="1" x="1692"/>
        <item m="1" x="1694"/>
        <item m="1" x="505"/>
        <item m="1" x="1358"/>
        <item m="1" x="1348"/>
        <item m="1" x="1628"/>
        <item m="1" x="1409"/>
        <item m="1" x="1360"/>
        <item m="1" x="1355"/>
        <item m="1" x="1650"/>
        <item m="1" x="1423"/>
        <item m="1" x="1554"/>
        <item m="1" x="1668"/>
        <item m="1" x="1456"/>
        <item m="1" x="1647"/>
        <item m="1" x="1297"/>
        <item m="1" x="1283"/>
        <item m="1" x="1572"/>
        <item m="1" x="1262"/>
        <item m="1" x="1383"/>
        <item m="1" x="1364"/>
        <item m="1" x="1372"/>
        <item m="1" x="1234"/>
        <item m="1" x="1335"/>
        <item m="1" x="1235"/>
        <item m="1" x="1666"/>
        <item m="1" x="281"/>
        <item m="1" x="1511"/>
        <item m="1" x="1385"/>
        <item m="1" x="1556"/>
        <item m="1" x="285"/>
        <item m="1" x="1241"/>
        <item m="1" x="1551"/>
        <item m="1" x="353"/>
        <item m="1" x="354"/>
        <item m="1" x="1580"/>
        <item m="1" x="1632"/>
        <item m="1" x="227"/>
        <item m="1" x="1502"/>
        <item m="1" x="1391"/>
        <item m="1" x="1640"/>
        <item m="1" x="1631"/>
        <item m="1" x="1714"/>
        <item m="1" x="1490"/>
        <item m="1" x="1645"/>
        <item m="1" x="1533"/>
        <item m="1" x="1701"/>
        <item m="1" x="1304"/>
        <item m="1" x="1576"/>
        <item m="1" x="1321"/>
        <item m="1" x="1489"/>
        <item m="1" x="1635"/>
        <item m="1" x="1306"/>
        <item m="1" x="1677"/>
        <item m="1" x="1407"/>
        <item m="1" x="1577"/>
        <item m="1" x="1595"/>
        <item m="1" x="1607"/>
        <item m="1" x="1255"/>
        <item m="1" x="1459"/>
        <item m="1" x="1476"/>
        <item m="1" x="1308"/>
        <item m="1" x="1341"/>
        <item m="1" x="1257"/>
        <item m="1" x="1437"/>
        <item m="1" x="1627"/>
        <item m="1" x="1601"/>
        <item m="1" x="1448"/>
        <item m="1" x="1660"/>
        <item m="1" x="1717"/>
        <item m="1" x="1438"/>
        <item m="1" x="1300"/>
        <item m="1" x="1242"/>
        <item m="1" x="1345"/>
        <item m="1" x="234"/>
        <item m="1" x="1416"/>
        <item m="1" x="1444"/>
        <item m="1" x="1526"/>
        <item m="1" x="1350"/>
        <item m="1" x="1723"/>
        <item m="1" x="1376"/>
        <item m="1" x="1685"/>
        <item m="1" x="546"/>
        <item m="1" x="562"/>
        <item m="1" x="563"/>
        <item m="1" x="1199"/>
        <item x="63"/>
        <item x="64"/>
        <item x="65"/>
        <item x="66"/>
        <item x="67"/>
        <item x="68"/>
        <item m="1" x="1193"/>
        <item m="1" x="1194"/>
        <item x="10"/>
        <item x="14"/>
        <item x="15"/>
        <item x="17"/>
        <item x="18"/>
        <item x="19"/>
        <item m="1" x="1604"/>
        <item x="26"/>
        <item m="1" x="377"/>
        <item x="139"/>
        <item m="1" x="932"/>
        <item x="141"/>
        <item x="142"/>
        <item m="1" x="1380"/>
        <item m="1" x="678"/>
        <item m="1" x="679"/>
        <item m="1" x="680"/>
        <item m="1" x="681"/>
        <item m="1" x="682"/>
        <item m="1" x="683"/>
        <item m="1" x="684"/>
        <item m="1" x="685"/>
        <item m="1" x="686"/>
        <item m="1" x="687"/>
        <item m="1" x="688"/>
        <item m="1" x="689"/>
        <item m="1" x="690"/>
        <item m="1" x="691"/>
        <item m="1" x="692"/>
        <item x="0"/>
        <item x="6"/>
        <item x="91"/>
        <item x="92"/>
        <item m="1" x="693"/>
        <item m="1" x="694"/>
        <item x="152"/>
        <item m="1" x="1648"/>
        <item x="153"/>
        <item m="1" x="1264"/>
        <item x="154"/>
        <item m="1" x="1518"/>
        <item m="1" x="695"/>
        <item m="1" x="696"/>
        <item m="1" x="697"/>
        <item m="1" x="698"/>
        <item m="1" x="699"/>
        <item m="1" x="700"/>
        <item x="126"/>
        <item x="127"/>
        <item m="1" x="701"/>
        <item m="1" x="702"/>
        <item m="1" x="703"/>
        <item m="1" x="704"/>
        <item m="1" x="705"/>
        <item m="1" x="706"/>
        <item m="1" x="707"/>
        <item x="72"/>
        <item m="1" x="168"/>
        <item m="1" x="169"/>
        <item m="1" x="1273"/>
        <item m="1" x="170"/>
        <item m="1" x="172"/>
        <item m="1" x="1299"/>
        <item x="96"/>
        <item m="1" x="178"/>
        <item m="1" x="708"/>
        <item m="1" x="709"/>
        <item m="1" x="710"/>
        <item m="1" x="711"/>
        <item m="1" x="712"/>
        <item m="1" x="713"/>
        <item x="22"/>
        <item x="23"/>
        <item x="128"/>
        <item x="129"/>
        <item x="130"/>
        <item x="131"/>
        <item x="132"/>
        <item x="133"/>
        <item x="134"/>
        <item x="135"/>
        <item x="136"/>
        <item m="1" x="185"/>
        <item m="1" x="186"/>
        <item m="1" x="187"/>
        <item m="1" x="714"/>
        <item m="1" x="715"/>
        <item m="1" x="718"/>
        <item m="1" x="719"/>
        <item m="1" x="720"/>
        <item m="1" x="721"/>
        <item m="1" x="722"/>
        <item m="1" x="723"/>
        <item m="1" x="724"/>
        <item m="1" x="725"/>
        <item m="1" x="726"/>
        <item m="1" x="727"/>
        <item m="1" x="728"/>
        <item m="1" x="729"/>
        <item m="1" x="730"/>
        <item m="1" x="731"/>
        <item m="1" x="222"/>
        <item m="1" x="223"/>
        <item x="160"/>
        <item m="1" x="736"/>
        <item m="1" x="737"/>
        <item m="1" x="738"/>
        <item x="163"/>
        <item x="27"/>
        <item x="28"/>
        <item x="29"/>
        <item x="30"/>
        <item x="31"/>
        <item x="32"/>
        <item x="33"/>
        <item x="34"/>
        <item x="35"/>
        <item x="36"/>
        <item x="47"/>
        <item x="50"/>
        <item x="51"/>
        <item x="54"/>
        <item x="56"/>
        <item x="57"/>
        <item x="58"/>
        <item x="60"/>
        <item x="61"/>
        <item x="62"/>
        <item m="1" x="739"/>
        <item x="103"/>
        <item x="105"/>
        <item x="108"/>
        <item m="1" x="740"/>
        <item m="1" x="741"/>
        <item m="1" x="742"/>
        <item m="1" x="743"/>
        <item m="1" x="744"/>
        <item x="37"/>
        <item x="38"/>
        <item m="1" x="241"/>
        <item m="1" x="747"/>
        <item m="1" x="500"/>
        <item m="1" x="221"/>
        <item m="1" x="748"/>
        <item m="1" x="749"/>
        <item m="1" x="750"/>
        <item m="1" x="615"/>
        <item m="1" x="616"/>
        <item m="1" x="617"/>
        <item m="1" x="618"/>
        <item m="1" x="751"/>
        <item m="1" x="752"/>
        <item m="1" x="754"/>
        <item m="1" x="755"/>
        <item m="1" x="756"/>
        <item m="1" x="757"/>
        <item m="1" x="181"/>
        <item m="1" x="182"/>
        <item m="1" x="183"/>
        <item x="43"/>
        <item x="44"/>
        <item x="45"/>
        <item x="46"/>
        <item m="1" x="761"/>
        <item m="1" x="762"/>
        <item m="1" x="1396"/>
        <item m="1" x="763"/>
        <item m="1" x="764"/>
        <item m="1" x="765"/>
        <item m="1" x="1531"/>
        <item m="1" x="766"/>
        <item m="1" x="767"/>
        <item m="1" x="768"/>
        <item m="1" x="1725"/>
        <item m="1" x="769"/>
        <item m="1" x="770"/>
        <item m="1" x="753"/>
        <item m="1" x="771"/>
        <item x="93"/>
        <item m="1" x="834"/>
        <item x="82"/>
        <item x="149"/>
        <item x="83"/>
        <item x="97"/>
        <item x="98"/>
        <item m="1" x="1561"/>
        <item m="1" x="1519"/>
        <item x="85"/>
        <item x="86"/>
        <item x="137"/>
        <item x="138"/>
        <item x="78"/>
        <item x="79"/>
        <item x="80"/>
        <item x="81"/>
        <item x="114"/>
        <item x="115"/>
        <item x="117"/>
        <item x="118"/>
        <item x="119"/>
        <item x="120"/>
        <item x="121"/>
        <item x="122"/>
        <item x="123"/>
        <item x="124"/>
        <item x="125"/>
        <item x="84"/>
        <item x="75"/>
        <item x="76"/>
        <item x="99"/>
        <item x="100"/>
        <item x="101"/>
        <item x="164"/>
        <item x="165"/>
        <item x="166"/>
        <item m="1" x="490"/>
        <item x="69"/>
        <item x="70"/>
        <item x="73"/>
        <item x="74"/>
        <item x="102"/>
        <item x="104"/>
        <item x="106"/>
        <item x="107"/>
        <item x="144"/>
        <item x="150"/>
        <item x="151"/>
        <item x="39"/>
        <item m="1" x="824"/>
        <item m="1" x="825"/>
        <item x="111"/>
        <item x="112"/>
        <item x="113"/>
        <item x="40"/>
        <item x="41"/>
        <item x="42"/>
        <item m="1" x="287"/>
        <item m="1" x="218"/>
        <item m="1" x="228"/>
        <item m="1" x="173"/>
        <item m="1" x="174"/>
        <item m="1" x="176"/>
        <item m="1" x="177"/>
        <item m="1" x="190"/>
        <item m="1" x="191"/>
        <item m="1" x="192"/>
        <item m="1" x="193"/>
        <item m="1" x="194"/>
        <item m="1" x="195"/>
        <item m="1" x="197"/>
        <item m="1" x="198"/>
        <item m="1" x="206"/>
        <item m="1" x="207"/>
        <item m="1" x="208"/>
        <item m="1" x="209"/>
        <item m="1" x="210"/>
        <item m="1" x="211"/>
        <item m="1" x="212"/>
        <item m="1" x="213"/>
        <item m="1" x="214"/>
        <item m="1" x="215"/>
        <item m="1" x="216"/>
        <item m="1" x="217"/>
        <item m="1" x="219"/>
        <item m="1" x="220"/>
        <item m="1" x="224"/>
        <item m="1" x="225"/>
        <item m="1" x="226"/>
        <item m="1" x="229"/>
        <item m="1" x="230"/>
        <item m="1" x="231"/>
        <item m="1" x="232"/>
        <item m="1" x="235"/>
        <item m="1" x="238"/>
        <item m="1" x="239"/>
        <item m="1" x="242"/>
        <item m="1" x="243"/>
        <item m="1" x="244"/>
        <item m="1" x="918"/>
        <item m="1" x="919"/>
        <item m="1" x="920"/>
        <item m="1" x="921"/>
        <item m="1" x="922"/>
        <item m="1" x="923"/>
        <item m="1" x="924"/>
        <item m="1" x="925"/>
        <item m="1" x="926"/>
        <item m="1" x="927"/>
        <item m="1" x="928"/>
        <item m="1" x="929"/>
        <item m="1" x="930"/>
        <item m="1" x="931"/>
        <item m="1" x="624"/>
        <item m="1" x="625"/>
        <item m="1" x="247"/>
        <item m="1" x="248"/>
        <item m="1" x="250"/>
        <item m="1" x="251"/>
        <item m="1" x="253"/>
        <item m="1" x="254"/>
        <item m="1" x="255"/>
        <item m="1" x="256"/>
        <item m="1" x="257"/>
        <item m="1" x="258"/>
        <item m="1" x="260"/>
        <item m="1" x="358"/>
        <item m="1" x="359"/>
        <item m="1" x="265"/>
        <item m="1" x="266"/>
        <item m="1" x="268"/>
        <item m="1" x="270"/>
        <item m="1" x="494"/>
        <item m="1" x="640"/>
        <item m="1" x="641"/>
        <item m="1" x="642"/>
        <item m="1" x="788"/>
        <item m="1" x="789"/>
        <item m="1" x="790"/>
        <item m="1" x="791"/>
        <item m="1" x="508"/>
        <item m="1" x="509"/>
        <item m="1" x="276"/>
        <item m="1" x="502"/>
        <item m="1" x="503"/>
        <item m="1" x="504"/>
        <item m="1" x="506"/>
        <item m="1" x="507"/>
        <item m="1" x="510"/>
        <item m="1" x="511"/>
        <item m="1" x="512"/>
        <item m="1" x="513"/>
        <item m="1" x="514"/>
        <item m="1" x="515"/>
        <item m="1" x="516"/>
        <item m="1" x="347"/>
        <item m="1" x="348"/>
        <item m="1" x="349"/>
        <item m="1" x="522"/>
        <item m="1" x="523"/>
        <item m="1" x="524"/>
        <item m="1" x="525"/>
        <item m="1" x="526"/>
        <item m="1" x="527"/>
        <item m="1" x="528"/>
        <item m="1" x="296"/>
        <item m="1" x="298"/>
        <item m="1" x="299"/>
        <item m="1" x="300"/>
        <item m="1" x="301"/>
        <item m="1" x="302"/>
        <item m="1" x="304"/>
        <item m="1" x="305"/>
        <item m="1" x="307"/>
        <item m="1" x="308"/>
        <item m="1" x="309"/>
        <item m="1" x="310"/>
        <item m="1" x="311"/>
        <item m="1" x="312"/>
        <item m="1" x="313"/>
        <item m="1" x="314"/>
        <item m="1" x="315"/>
        <item m="1" x="316"/>
        <item m="1" x="317"/>
        <item m="1" x="318"/>
        <item m="1" x="319"/>
        <item m="1" x="320"/>
        <item m="1" x="321"/>
        <item m="1" x="322"/>
        <item m="1" x="323"/>
        <item m="1" x="325"/>
        <item m="1" x="326"/>
        <item m="1" x="327"/>
        <item m="1" x="330"/>
        <item m="1" x="331"/>
        <item m="1" x="332"/>
        <item m="1" x="333"/>
        <item m="1" x="334"/>
        <item m="1" x="335"/>
        <item m="1" x="336"/>
        <item m="1" x="337"/>
        <item m="1" x="338"/>
        <item m="1" x="339"/>
        <item m="1" x="340"/>
        <item m="1" x="341"/>
        <item m="1" x="342"/>
        <item m="1" x="343"/>
        <item m="1" x="344"/>
        <item m="1" x="345"/>
        <item m="1" x="346"/>
        <item m="1" x="350"/>
        <item m="1" x="351"/>
        <item m="1" x="352"/>
        <item m="1" x="355"/>
        <item m="1" x="356"/>
        <item m="1" x="357"/>
        <item m="1" x="360"/>
        <item m="1" x="361"/>
        <item m="1" x="362"/>
        <item m="1" x="363"/>
        <item m="1" x="364"/>
        <item m="1" x="365"/>
        <item m="1" x="366"/>
        <item m="1" x="367"/>
        <item m="1" x="368"/>
        <item m="1" x="1557"/>
        <item m="1" x="371"/>
        <item m="1" x="373"/>
        <item m="1" x="374"/>
        <item m="1" x="376"/>
        <item m="1" x="277"/>
        <item m="1" x="278"/>
        <item m="1" x="279"/>
        <item m="1" x="280"/>
        <item m="1" x="282"/>
        <item m="1" x="283"/>
        <item m="1" x="284"/>
        <item m="1" x="286"/>
        <item m="1" x="835"/>
        <item m="1" x="836"/>
        <item m="1" x="837"/>
        <item m="1" x="838"/>
        <item m="1" x="839"/>
        <item m="1" x="840"/>
        <item m="1" x="841"/>
        <item m="1" x="842"/>
        <item m="1" x="843"/>
        <item m="1" x="584"/>
        <item m="1" x="598"/>
        <item m="1" x="602"/>
        <item m="1" x="609"/>
        <item m="1" x="610"/>
        <item m="1" x="611"/>
        <item m="1" x="612"/>
        <item m="1" x="613"/>
        <item m="1" x="614"/>
        <item m="1" x="794"/>
        <item m="1" x="578"/>
        <item m="1" x="579"/>
        <item m="1" x="580"/>
        <item m="1" x="581"/>
        <item m="1" x="582"/>
        <item m="1" x="583"/>
        <item m="1" x="585"/>
        <item m="1" x="586"/>
        <item m="1" x="587"/>
        <item m="1" x="588"/>
        <item m="1" x="589"/>
        <item m="1" x="590"/>
        <item m="1" x="591"/>
        <item m="1" x="592"/>
        <item m="1" x="1585"/>
        <item m="1" x="594"/>
        <item m="1" x="595"/>
        <item m="1" x="596"/>
        <item m="1" x="597"/>
        <item m="1" x="599"/>
        <item m="1" x="600"/>
        <item m="1" x="601"/>
        <item m="1" x="603"/>
        <item m="1" x="604"/>
        <item m="1" x="605"/>
        <item m="1" x="606"/>
        <item m="1" x="607"/>
        <item m="1" x="623"/>
        <item m="1" x="404"/>
        <item m="1" x="405"/>
        <item m="1" x="643"/>
        <item m="1" x="644"/>
        <item m="1" x="645"/>
        <item m="1" x="646"/>
        <item m="1" x="647"/>
        <item m="1" x="648"/>
        <item m="1" x="649"/>
        <item m="1" x="650"/>
        <item m="1" x="651"/>
        <item m="1" x="659"/>
        <item m="1" x="660"/>
        <item m="1" x="661"/>
        <item m="1" x="662"/>
        <item m="1" x="663"/>
        <item m="1" x="664"/>
        <item m="1" x="665"/>
        <item m="1" x="666"/>
        <item m="1" x="667"/>
        <item m="1" x="652"/>
        <item m="1" x="653"/>
        <item m="1" x="654"/>
        <item m="1" x="655"/>
        <item m="1" x="668"/>
        <item m="1" x="669"/>
        <item m="1" x="670"/>
        <item m="1" x="671"/>
        <item m="1" x="672"/>
        <item m="1" x="673"/>
        <item m="1" x="674"/>
        <item m="1" x="675"/>
        <item m="1" x="676"/>
        <item m="1" x="677"/>
        <item m="1" x="656"/>
        <item m="1" x="657"/>
        <item m="1" x="658"/>
        <item m="1" x="775"/>
        <item m="1" x="776"/>
        <item m="1" x="779"/>
        <item m="1" x="780"/>
        <item m="1" x="781"/>
        <item m="1" x="782"/>
        <item m="1" x="783"/>
        <item m="1" x="784"/>
        <item m="1" x="785"/>
        <item m="1" x="777"/>
        <item m="1" x="778"/>
        <item m="1" x="786"/>
        <item m="1" x="787"/>
        <item m="1" x="259"/>
        <item m="1" x="496"/>
        <item m="1" x="497"/>
        <item m="1" x="498"/>
        <item m="1" x="499"/>
        <item m="1" x="639"/>
        <item m="1" x="626"/>
        <item m="1" x="627"/>
        <item m="1" x="801"/>
        <item m="1" x="804"/>
        <item m="1" x="805"/>
        <item m="1" x="857"/>
        <item m="1" x="868"/>
        <item m="1" x="818"/>
        <item m="1" x="819"/>
        <item m="1" x="820"/>
        <item m="1" x="821"/>
        <item m="1" x="1135"/>
        <item m="1" x="1136"/>
        <item m="1" x="1137"/>
        <item m="1" x="1138"/>
        <item m="1" x="1139"/>
        <item m="1" x="1140"/>
        <item m="1" x="1141"/>
        <item m="1" x="1142"/>
        <item m="1" x="1143"/>
        <item m="1" x="1258"/>
        <item m="1" x="1158"/>
        <item m="1" x="1159"/>
        <item m="1" x="870"/>
        <item m="1" x="1243"/>
        <item m="1" x="1244"/>
        <item m="1" x="1401"/>
        <item m="1" x="1353"/>
        <item m="1" x="1510"/>
        <item m="1" x="1496"/>
        <item m="1" x="1663"/>
        <item m="1" x="1507"/>
        <item m="1" x="1696"/>
        <item m="1" x="1382"/>
        <item m="1" x="1661"/>
        <item m="1" x="1478"/>
        <item m="1" x="1513"/>
        <item m="1" x="1667"/>
        <item m="1" x="1675"/>
        <item m="1" x="1664"/>
        <item m="1" x="1374"/>
        <item m="1" x="1599"/>
        <item m="1" x="1659"/>
        <item m="1" x="1525"/>
        <item m="1" x="1473"/>
        <item m="1" x="1738"/>
        <item m="1" x="1716"/>
        <item m="1" x="1411"/>
        <item m="1" x="1610"/>
        <item m="1" x="1691"/>
        <item m="1" x="1568"/>
        <item m="1" x="1245"/>
        <item m="1" x="1246"/>
        <item m="1" x="1247"/>
        <item m="1" x="388"/>
        <item m="1" x="1278"/>
        <item m="1" x="1430"/>
        <item m="1" x="1609"/>
        <item m="1" x="1440"/>
        <item m="1" x="1672"/>
        <item m="1" x="1543"/>
        <item m="1" x="1463"/>
        <item m="1" x="1471"/>
        <item m="1" x="1539"/>
        <item m="1" x="1574"/>
        <item m="1" x="1536"/>
        <item m="1" x="1277"/>
        <item m="1" x="1275"/>
        <item m="1" x="1683"/>
        <item m="1" x="1422"/>
        <item m="1" x="1633"/>
        <item m="1" x="1259"/>
        <item m="1" x="1620"/>
        <item m="1" x="1697"/>
        <item m="1" x="1248"/>
        <item m="1" x="987"/>
        <item m="1" x="988"/>
        <item m="1" x="989"/>
        <item m="1" x="1623"/>
        <item m="1" x="1316"/>
        <item m="1" x="1565"/>
        <item m="1" x="1284"/>
        <item m="1" x="1497"/>
        <item m="1" x="1301"/>
        <item m="1" x="1292"/>
        <item m="1" x="1653"/>
        <item m="1" x="1274"/>
        <item m="1" x="1281"/>
        <item m="1" x="1612"/>
        <item m="1" x="1467"/>
        <item m="1" x="1366"/>
        <item m="1" x="1446"/>
        <item m="1" x="1310"/>
        <item m="1" x="1527"/>
        <item m="1" x="1720"/>
        <item m="1" x="1324"/>
        <item m="1" x="1708"/>
        <item m="1" x="1707"/>
        <item m="1" x="1288"/>
        <item m="1" x="1529"/>
        <item m="1" x="1715"/>
        <item m="1" x="1441"/>
        <item m="1" x="1495"/>
        <item m="1" x="1719"/>
        <item m="1" x="1688"/>
        <item m="1" x="1586"/>
        <item m="1" x="1702"/>
        <item m="1" x="1280"/>
        <item m="1" x="1520"/>
        <item m="1" x="1676"/>
        <item m="1" x="1541"/>
        <item m="1" x="1505"/>
        <item m="1" x="1421"/>
        <item m="1" x="1435"/>
        <item m="1" x="1726"/>
        <item m="1" x="1325"/>
        <item m="1" x="1377"/>
        <item m="1" x="1451"/>
        <item m="1" x="1733"/>
        <item m="1" x="1687"/>
        <item m="1" x="1293"/>
        <item m="1" x="1336"/>
        <item m="1" x="1686"/>
        <item m="1" x="1549"/>
        <item m="1" x="1279"/>
        <item m="1" x="1611"/>
        <item m="1" x="1654"/>
        <item m="1" x="1713"/>
        <item m="1" x="1625"/>
        <item m="1" x="1542"/>
        <item m="1" x="1614"/>
        <item m="1" x="1524"/>
        <item m="1" x="1334"/>
        <item m="1" x="1582"/>
        <item m="1" x="1388"/>
        <item m="1" x="1484"/>
        <item m="1" x="1651"/>
        <item m="1" x="1268"/>
        <item m="1" x="1737"/>
        <item m="1" x="1680"/>
        <item m="1" x="1698"/>
        <item m="1" x="1641"/>
        <item m="1" x="1487"/>
        <item m="1" x="1626"/>
        <item m="1" x="1254"/>
        <item m="1" x="1584"/>
        <item m="1" x="1369"/>
        <item m="1" x="1399"/>
        <item m="1" x="1679"/>
        <item m="1" x="1512"/>
        <item m="1" x="1285"/>
        <item m="1" x="1500"/>
        <item m="1" x="1562"/>
        <item m="1" x="1590"/>
        <item m="1" x="1535"/>
        <item m="1" x="1613"/>
        <item m="1" x="1340"/>
        <item m="1" x="1732"/>
        <item m="1" x="1684"/>
        <item m="1" x="1417"/>
        <item m="1" x="1311"/>
        <item m="1" x="1354"/>
        <item m="1" x="1462"/>
        <item m="1" x="1414"/>
        <item m="1" x="1464"/>
        <item m="1" x="1326"/>
        <item m="1" x="1606"/>
        <item m="1" x="1506"/>
        <item m="1" x="1516"/>
        <item m="1" x="1736"/>
        <item m="1" x="1681"/>
        <item m="1" x="1689"/>
        <item m="1" x="1498"/>
        <item m="1" x="1700"/>
        <item m="1" x="1540"/>
        <item m="1" x="1560"/>
        <item m="1" x="1619"/>
        <item m="1" x="1637"/>
        <item m="1" x="1722"/>
        <item m="1" x="1530"/>
        <item m="1" x="1705"/>
        <item m="1" x="1332"/>
        <item m="1" x="1559"/>
        <item m="1" x="1400"/>
        <item m="1" x="1711"/>
        <item m="1" x="1674"/>
        <item m="1" x="1452"/>
        <item m="1" x="1410"/>
        <item m="1" x="1570"/>
        <item m="1" x="1454"/>
        <item m="1" x="1453"/>
        <item m="1" x="1649"/>
        <item m="1" x="576"/>
        <item m="1" x="983"/>
        <item m="1" x="984"/>
        <item m="1" x="985"/>
        <item m="1" x="517"/>
        <item m="1" x="518"/>
        <item m="1" x="519"/>
        <item m="1" x="520"/>
        <item m="1" x="792"/>
        <item m="1" x="793"/>
        <item m="1" x="758"/>
        <item m="1" x="759"/>
        <item m="1" x="760"/>
        <item m="1" x="732"/>
        <item m="1" x="733"/>
        <item m="1" x="734"/>
        <item m="1" x="735"/>
        <item m="1" x="745"/>
        <item m="1" x="746"/>
        <item m="1" x="1252"/>
        <item m="1" x="1230"/>
        <item m="1" x="1231"/>
        <item m="1" x="1232"/>
        <item m="1" x="1233"/>
        <item m="1" x="1132"/>
        <item m="1" x="1133"/>
        <item m="1" x="1134"/>
        <item m="1" x="1128"/>
        <item m="1" x="1129"/>
        <item m="1" x="1130"/>
        <item m="1" x="1131"/>
        <item m="1" x="1166"/>
        <item m="1" x="1167"/>
        <item m="1" x="858"/>
        <item m="1" x="859"/>
        <item m="1" x="860"/>
        <item m="1" x="861"/>
        <item m="1" x="862"/>
        <item m="1" x="863"/>
        <item m="1" x="864"/>
        <item m="1" x="865"/>
        <item m="1" x="866"/>
        <item m="1" x="867"/>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817"/>
        <item m="1" x="844"/>
        <item m="1" x="845"/>
        <item m="1" x="846"/>
        <item m="1" x="847"/>
        <item m="1" x="848"/>
        <item m="1" x="849"/>
        <item m="1" x="850"/>
        <item m="1" x="851"/>
        <item m="1" x="852"/>
        <item m="1" x="853"/>
        <item m="1" x="854"/>
        <item m="1" x="855"/>
        <item m="1" x="856"/>
        <item m="1" x="1071"/>
        <item m="1" x="1072"/>
        <item m="1" x="797"/>
        <item m="1" x="1236"/>
        <item m="1" x="1237"/>
        <item m="1" x="1238"/>
        <item m="1" x="1239"/>
        <item m="1" x="1240"/>
        <item m="1" x="807"/>
        <item m="1" x="808"/>
        <item m="1" x="809"/>
        <item m="1" x="812"/>
        <item m="1" x="813"/>
        <item m="1" x="814"/>
        <item m="1" x="815"/>
        <item m="1" x="816"/>
        <item m="1" x="795"/>
        <item m="1" x="796"/>
        <item m="1" x="904"/>
        <item m="1" x="905"/>
        <item m="1" x="906"/>
        <item m="1" x="521"/>
        <item m="1" x="1049"/>
        <item m="1" x="1050"/>
        <item m="1" x="1168"/>
        <item m="1" x="1169"/>
        <item m="1" x="1170"/>
        <item m="1" x="1171"/>
        <item m="1" x="1172"/>
        <item m="1" x="1173"/>
        <item m="1" x="1174"/>
        <item m="1" x="1175"/>
        <item m="1" x="1176"/>
        <item m="1" x="1177"/>
        <item m="1" x="1178"/>
        <item m="1" x="1179"/>
        <item m="1" x="1180"/>
        <item m="1" x="1181"/>
        <item m="1" x="1184"/>
        <item m="1" x="1185"/>
        <item m="1" x="1186"/>
        <item m="1" x="1307"/>
        <item m="1" x="1187"/>
        <item m="1" x="1188"/>
        <item m="1" x="1514"/>
        <item m="1" x="1160"/>
        <item m="1" x="1161"/>
        <item m="1" x="1162"/>
        <item m="1" x="1163"/>
        <item m="1" x="1164"/>
        <item m="1" x="1165"/>
        <item m="1" x="1051"/>
        <item m="1" x="1052"/>
        <item m="1" x="1053"/>
        <item m="1" x="1054"/>
        <item m="1" x="1055"/>
        <item m="1" x="1056"/>
        <item m="1" x="1057"/>
        <item m="1" x="1060"/>
        <item m="1" x="1061"/>
        <item m="1" x="1062"/>
        <item m="1" x="1063"/>
        <item m="1" x="593"/>
        <item m="1" x="572"/>
        <item m="1" x="573"/>
        <item m="1" x="574"/>
        <item m="1" x="1509"/>
        <item m="1" x="933"/>
        <item m="1" x="934"/>
        <item m="1" x="935"/>
        <item m="1" x="171"/>
        <item m="1" x="608"/>
        <item m="1" x="619"/>
        <item m="1" x="620"/>
        <item m="1" x="621"/>
        <item m="1" x="622"/>
        <item m="1" x="1690"/>
        <item m="1" x="1365"/>
        <item x="5"/>
        <item m="1" x="1091"/>
        <item m="1" x="1092"/>
        <item m="1" x="1182"/>
        <item m="1" x="1183"/>
        <item m="1" x="533"/>
        <item m="1" x="534"/>
        <item m="1" x="535"/>
        <item m="1" x="536"/>
        <item m="1" x="425"/>
        <item m="1" x="426"/>
        <item m="1" x="428"/>
        <item m="1" x="462"/>
        <item m="1" x="463"/>
        <item m="1" x="464"/>
        <item m="1" x="571"/>
        <item m="1" x="575"/>
        <item m="1" x="577"/>
        <item m="1" x="956"/>
        <item m="1" x="957"/>
        <item m="1" x="958"/>
        <item m="1" x="959"/>
        <item m="1" x="960"/>
        <item m="1" x="961"/>
        <item m="1" x="962"/>
        <item m="1" x="963"/>
        <item m="1" x="964"/>
        <item m="1" x="965"/>
        <item m="1" x="975"/>
        <item m="1" x="1010"/>
        <item m="1" x="1011"/>
        <item m="1" x="1020"/>
        <item m="1" x="1021"/>
        <item m="1" x="1022"/>
        <item m="1" x="1023"/>
        <item m="1" x="537"/>
        <item m="1" x="1064"/>
        <item m="1" x="1065"/>
        <item m="1" x="1066"/>
        <item m="1" x="1558"/>
        <item m="1" x="1567"/>
        <item m="1" x="1420"/>
        <item m="1" x="1298"/>
        <item m="1" x="1730"/>
        <item m="1" x="1624"/>
        <item m="1" x="1544"/>
        <item m="1" x="628"/>
        <item m="1" x="629"/>
        <item m="1" x="630"/>
        <item m="1" x="631"/>
        <item m="1" x="632"/>
        <item m="1" x="633"/>
        <item m="1" x="634"/>
        <item m="1" x="635"/>
        <item m="1" x="636"/>
        <item m="1" x="637"/>
        <item m="1" x="638"/>
        <item m="1" x="1067"/>
        <item m="1" x="1068"/>
        <item m="1" x="1069"/>
        <item m="1" x="1144"/>
        <item m="1" x="1145"/>
        <item m="1" x="1146"/>
        <item m="1" x="1147"/>
        <item m="1" x="1148"/>
        <item m="1" x="1149"/>
        <item m="1" x="1150"/>
        <item m="1" x="1151"/>
        <item m="1" x="1152"/>
        <item m="1" x="1153"/>
        <item m="1" x="1154"/>
        <item m="1" x="1155"/>
        <item m="1" x="1156"/>
        <item m="1" x="1157"/>
        <item m="1" x="1196"/>
        <item m="1" x="1197"/>
        <item m="1" x="1198"/>
        <item m="1" x="1200"/>
        <item m="1" x="1201"/>
        <item m="1" x="1202"/>
        <item m="1" x="1203"/>
        <item m="1" x="1204"/>
        <item m="1" x="199"/>
        <item m="1" x="200"/>
        <item m="1" x="201"/>
        <item m="1" x="261"/>
        <item m="1" x="262"/>
        <item m="1" x="263"/>
        <item m="1" x="264"/>
        <item m="1" x="491"/>
        <item m="1" x="492"/>
        <item m="1" x="493"/>
        <item m="1" x="1545"/>
        <item m="1" x="1563"/>
        <item m="1" x="1443"/>
        <item m="1" x="716"/>
        <item m="1" x="717"/>
        <item m="1" x="772"/>
        <item m="1" x="773"/>
        <item m="1" x="774"/>
        <item m="1" x="912"/>
        <item m="1" x="441"/>
        <item m="1" x="442"/>
        <item m="1" x="443"/>
        <item m="1" x="444"/>
        <item m="1" x="445"/>
        <item m="1" x="913"/>
        <item m="1" x="914"/>
        <item m="1" x="915"/>
        <item m="1" x="916"/>
        <item m="1" x="917"/>
        <item m="1" x="446"/>
        <item m="1" x="447"/>
        <item m="1" x="1249"/>
        <item m="1" x="1250"/>
        <item m="1" x="1251"/>
        <item m="1" x="1215"/>
        <item m="1" x="1216"/>
        <item m="1" x="1190"/>
        <item m="1" x="1191"/>
        <item m="1" x="1192"/>
        <item m="1" x="1101"/>
        <item m="1" x="1102"/>
        <item m="1" x="1103"/>
      </items>
    </pivotField>
    <pivotField compact="0" outline="0" subtotalTop="0" showAll="0"/>
    <pivotField axis="axisRow" compact="0" outline="0" subtotalTop="0" showAll="0">
      <items count="1521">
        <item h="1" m="1" x="176"/>
        <item h="1" m="1" x="156"/>
        <item h="1" m="1" x="1359"/>
        <item h="1" m="1" x="41"/>
        <item x="20"/>
        <item h="1" m="1" x="33"/>
        <item h="1" m="1" x="161"/>
        <item h="1" m="1" x="51"/>
        <item h="1" m="1" x="157"/>
        <item h="1" m="1" x="162"/>
        <item h="1" m="1" x="166"/>
        <item h="1" m="1" x="648"/>
        <item h="1" m="1" x="52"/>
        <item h="1" m="1" x="174"/>
        <item h="1" m="1" x="158"/>
        <item h="1" m="1" x="983"/>
        <item h="1" m="1" x="235"/>
        <item h="1" m="1" x="251"/>
        <item h="1" m="1" x="184"/>
        <item h="1" m="1" x="160"/>
        <item h="1" m="1" x="1309"/>
        <item h="1" m="1" x="249"/>
        <item h="1" m="1" x="171"/>
        <item h="1" m="1" x="54"/>
        <item h="1" m="1" x="58"/>
        <item h="1" m="1" x="1290"/>
        <item h="1" m="1" x="1487"/>
        <item h="1" m="1" x="1305"/>
        <item h="1" m="1" x="1386"/>
        <item h="1" m="1" x="1473"/>
        <item h="1" m="1" x="1370"/>
        <item h="1" m="1" x="1451"/>
        <item h="1" m="1" x="468"/>
        <item h="1" m="1" x="1172"/>
        <item h="1" m="1" x="1173"/>
        <item h="1" m="1" x="1174"/>
        <item h="1" m="1" x="66"/>
        <item h="1" m="1" x="896"/>
        <item h="1" m="1" x="1307"/>
        <item h="1" m="1" x="1216"/>
        <item h="1" m="1" x="1432"/>
        <item h="1" m="1" x="232"/>
        <item h="1" m="1" x="390"/>
        <item h="1" m="1" x="725"/>
        <item h="1" m="1" x="486"/>
        <item h="1" m="1" x="168"/>
        <item h="1" m="1" x="1331"/>
        <item h="1" m="1" x="1396"/>
        <item h="1" m="1" x="915"/>
        <item h="1" m="1" x="916"/>
        <item h="1" m="1" x="1469"/>
        <item h="1" m="1" x="918"/>
        <item h="1" m="1" x="1329"/>
        <item h="1" m="1" x="1497"/>
        <item h="1" m="1" x="1095"/>
        <item h="1" m="1" x="1325"/>
        <item h="1" m="1" x="1454"/>
        <item h="1" m="1" x="514"/>
        <item h="1" m="1" x="1189"/>
        <item h="1" m="1" x="1388"/>
        <item h="1" m="1" x="1194"/>
        <item h="1" m="1" x="1133"/>
        <item h="1" m="1" x="1475"/>
        <item h="1" m="1" x="1224"/>
        <item h="1" m="1" x="534"/>
        <item h="1" m="1" x="1352"/>
        <item h="1" m="1" x="921"/>
        <item h="1" m="1" x="1365"/>
        <item h="1" m="1" x="169"/>
        <item h="1" m="1" x="56"/>
        <item h="1" m="1" x="252"/>
        <item h="1" m="1" x="163"/>
        <item h="1" m="1" x="1252"/>
        <item h="1" m="1" x="894"/>
        <item h="1" m="1" x="551"/>
        <item h="1" m="1" x="329"/>
        <item h="1" m="1" x="898"/>
        <item h="1" m="1" x="1306"/>
        <item h="1" x="14"/>
        <item h="1" m="1" x="208"/>
        <item h="1" m="1" x="310"/>
        <item h="1" m="1" x="311"/>
        <item h="1" m="1" x="1222"/>
        <item h="1" m="1" x="414"/>
        <item h="1" m="1" x="1293"/>
        <item h="1" m="1" x="920"/>
        <item h="1" m="1" x="1493"/>
        <item h="1" m="1" x="423"/>
        <item h="1" m="1" x="1358"/>
        <item h="1" m="1" x="1381"/>
        <item h="1" m="1" x="1353"/>
        <item h="1" m="1" x="1134"/>
        <item h="1" m="1" x="450"/>
        <item h="1" m="1" x="1097"/>
        <item h="1" m="1" x="1321"/>
        <item h="1" m="1" x="1303"/>
        <item h="1" x="4"/>
        <item h="1" m="1" x="975"/>
        <item h="1" m="1" x="1470"/>
        <item h="1" m="1" x="1334"/>
        <item h="1" m="1" x="1301"/>
        <item h="1" m="1" x="1339"/>
        <item h="1" x="30"/>
        <item h="1" m="1" x="356"/>
        <item h="1" x="28"/>
        <item h="1" m="1" x="1382"/>
        <item h="1" m="1" x="1430"/>
        <item h="1" m="1" x="734"/>
        <item h="1" m="1" x="1239"/>
        <item h="1" m="1" x="1342"/>
        <item h="1" m="1" x="1414"/>
        <item h="1" m="1" x="1404"/>
        <item h="1" m="1" x="1411"/>
        <item h="1" m="1" x="1409"/>
        <item h="1" m="1" x="1413"/>
        <item h="1" m="1" x="1455"/>
        <item h="1" m="1" x="1482"/>
        <item h="1" m="1" x="1499"/>
        <item h="1" m="1" x="1393"/>
        <item h="1" m="1" x="1457"/>
        <item h="1" m="1" x="1332"/>
        <item h="1" m="1" x="1368"/>
        <item h="1" m="1" x="1344"/>
        <item h="1" m="1" x="1251"/>
        <item h="1" m="1" x="1253"/>
        <item h="1" m="1" x="1254"/>
        <item h="1" m="1" x="1255"/>
        <item h="1" m="1" x="1256"/>
        <item h="1" m="1" x="1257"/>
        <item h="1" m="1" x="1323"/>
        <item h="1" m="1" x="1516"/>
        <item h="1" m="1" x="922"/>
        <item h="1" m="1" x="167"/>
        <item h="1" m="1" x="1118"/>
        <item h="1" m="1" x="1490"/>
        <item h="1" m="1" x="1402"/>
        <item h="1" m="1" x="1406"/>
        <item h="1" m="1" x="1324"/>
        <item h="1" m="1" x="326"/>
        <item h="1" m="1" x="1515"/>
        <item h="1" m="1" x="1343"/>
        <item h="1" m="1" x="1362"/>
        <item h="1" m="1" x="1292"/>
        <item h="1" m="1" x="1320"/>
        <item h="1" x="12"/>
        <item h="1" m="1" x="306"/>
        <item h="1" m="1" x="307"/>
        <item h="1" m="1" x="308"/>
        <item h="1" m="1" x="31"/>
        <item h="1" m="1" x="351"/>
        <item h="1" m="1" x="313"/>
        <item h="1" m="1" x="314"/>
        <item h="1" m="1" x="319"/>
        <item h="1" m="1" x="320"/>
        <item h="1" m="1" x="322"/>
        <item h="1" m="1" x="323"/>
        <item h="1" m="1" x="324"/>
        <item h="1" m="1" x="328"/>
        <item h="1" m="1" x="332"/>
        <item h="1" m="1" x="334"/>
        <item h="1" m="1" x="179"/>
        <item h="1" m="1" x="1394"/>
        <item h="1" m="1" x="360"/>
        <item h="1" m="1" x="357"/>
        <item h="1" m="1" x="361"/>
        <item h="1" m="1" x="978"/>
        <item h="1" m="1" x="979"/>
        <item h="1" m="1" x="980"/>
        <item h="1" m="1" x="981"/>
        <item h="1" m="1" x="982"/>
        <item h="1" m="1" x="984"/>
        <item h="1" m="1" x="985"/>
        <item h="1" m="1" x="986"/>
        <item h="1" m="1" x="987"/>
        <item h="1" m="1" x="988"/>
        <item h="1" m="1" x="989"/>
        <item h="1" m="1" x="990"/>
        <item h="1" m="1" x="991"/>
        <item h="1" m="1" x="992"/>
        <item h="1" m="1" x="993"/>
        <item h="1" m="1" x="994"/>
        <item h="1" m="1" x="995"/>
        <item h="1" m="1" x="996"/>
        <item h="1" m="1" x="997"/>
        <item h="1" m="1" x="998"/>
        <item h="1" m="1" x="999"/>
        <item h="1" m="1" x="1000"/>
        <item h="1" m="1" x="1001"/>
        <item h="1" m="1" x="736"/>
        <item h="1" m="1" x="1416"/>
        <item h="1" m="1" x="1440"/>
        <item h="1" m="1" x="1005"/>
        <item h="1" m="1" x="735"/>
        <item h="1" m="1" x="1471"/>
        <item h="1" m="1" x="1491"/>
        <item h="1" m="1" x="1433"/>
        <item h="1" m="1" x="1335"/>
        <item h="1" m="1" x="1410"/>
        <item h="1" m="1" x="1319"/>
        <item h="1" m="1" x="1468"/>
        <item h="1" m="1" x="1376"/>
        <item h="1" m="1" x="769"/>
        <item h="1" m="1" x="770"/>
        <item h="1" m="1" x="771"/>
        <item h="1" m="1" x="772"/>
        <item h="1" m="1" x="773"/>
        <item h="1" m="1" x="774"/>
        <item h="1" m="1" x="784"/>
        <item h="1" m="1" x="775"/>
        <item h="1" m="1" x="776"/>
        <item h="1" m="1" x="777"/>
        <item h="1" m="1" x="778"/>
        <item h="1" m="1" x="779"/>
        <item h="1" m="1" x="780"/>
        <item h="1" m="1" x="781"/>
        <item h="1" m="1" x="782"/>
        <item h="1" m="1" x="783"/>
        <item h="1" m="1" x="785"/>
        <item h="1" m="1" x="32"/>
        <item h="1" m="1" x="945"/>
        <item h="1" m="1" x="53"/>
        <item h="1" m="1" x="178"/>
        <item h="1" m="1" x="1308"/>
        <item h="1" m="1" x="605"/>
        <item h="1" m="1" x="155"/>
        <item h="1" m="1" x="159"/>
        <item h="1" m="1" x="164"/>
        <item h="1" m="1" x="165"/>
        <item h="1" m="1" x="170"/>
        <item h="1" m="1" x="173"/>
        <item h="1" m="1" x="175"/>
        <item h="1" m="1" x="177"/>
        <item h="1" m="1" x="180"/>
        <item h="1" m="1" x="181"/>
        <item h="1" m="1" x="182"/>
        <item h="1" m="1" x="183"/>
        <item h="1" m="1" x="185"/>
        <item h="1" m="1" x="186"/>
        <item h="1" m="1" x="1492"/>
        <item h="1" m="1" x="1441"/>
        <item h="1" m="1" x="1302"/>
        <item h="1" m="1" x="1345"/>
        <item h="1" m="1" x="726"/>
        <item h="1" m="1" x="1422"/>
        <item h="1" m="1" x="1437"/>
        <item h="1" m="1" x="1510"/>
        <item h="1" m="1" x="1360"/>
        <item h="1" m="1" x="1472"/>
        <item h="1" m="1" x="1375"/>
        <item h="1" m="1" x="1421"/>
        <item h="1" m="1" x="377"/>
        <item h="1" m="1" x="1389"/>
        <item h="1" m="1" x="1310"/>
        <item h="1" m="1" x="1501"/>
        <item h="1" m="1" x="1419"/>
        <item h="1" m="1" x="1328"/>
        <item h="1" m="1" x="1408"/>
        <item h="1" m="1" x="1446"/>
        <item h="1" m="1" x="1448"/>
        <item h="1" m="1" x="1447"/>
        <item h="1" m="1" x="1474"/>
        <item h="1" m="1" x="1377"/>
        <item h="1" m="1" x="1387"/>
        <item h="1" m="1" x="1298"/>
        <item h="1" m="1" x="1371"/>
        <item h="1" m="1" x="1489"/>
        <item h="1" m="1" x="1424"/>
        <item h="1" m="1" x="1294"/>
        <item h="1" m="1" x="1296"/>
        <item h="1" m="1" x="1483"/>
        <item h="1" m="1" x="1415"/>
        <item h="1" m="1" x="1496"/>
        <item h="1" m="1" x="1327"/>
        <item h="1" m="1" x="1417"/>
        <item h="1" m="1" x="1412"/>
        <item h="1" m="1" x="1418"/>
        <item h="1" m="1" x="1420"/>
        <item h="1" m="1" x="558"/>
        <item h="1" m="1" x="561"/>
        <item h="1" m="1" x="1280"/>
        <item h="1" m="1" x="1484"/>
        <item h="1" m="1" x="545"/>
        <item h="1" m="1" x="546"/>
        <item h="1" m="1" x="547"/>
        <item h="1" m="1" x="548"/>
        <item h="1" m="1" x="549"/>
        <item h="1" m="1" x="550"/>
        <item h="1" m="1" x="552"/>
        <item h="1" m="1" x="959"/>
        <item h="1" m="1" x="686"/>
        <item h="1" m="1" x="1519"/>
        <item h="1" m="1" x="1506"/>
        <item h="1" x="21"/>
        <item h="1" x="5"/>
        <item h="1" m="1" x="1356"/>
        <item h="1" m="1" x="1357"/>
        <item h="1" m="1" x="796"/>
        <item h="1" m="1" x="1397"/>
        <item h="1" m="1" x="1125"/>
        <item h="1" m="1" x="1494"/>
        <item h="1" m="1" x="1379"/>
        <item h="1" m="1" x="747"/>
        <item h="1" m="1" x="1466"/>
        <item h="1" m="1" x="566"/>
        <item h="1" m="1" x="1322"/>
        <item h="1" m="1" x="1444"/>
        <item h="1" m="1" x="1463"/>
        <item h="1" m="1" x="1372"/>
        <item h="1" m="1" x="1465"/>
        <item h="1" m="1" x="1480"/>
        <item h="1" m="1" x="1057"/>
        <item h="1" m="1" x="1317"/>
        <item h="1" m="1" x="1361"/>
        <item h="1" m="1" x="1315"/>
        <item h="1" m="1" x="1340"/>
        <item h="1" m="1" x="1443"/>
        <item h="1" m="1" x="1226"/>
        <item h="1" m="1" x="1227"/>
        <item h="1" m="1" x="1228"/>
        <item h="1" m="1" x="1229"/>
        <item h="1" m="1" x="1231"/>
        <item h="1" m="1" x="1233"/>
        <item h="1" m="1" x="1234"/>
        <item h="1" m="1" x="1235"/>
        <item h="1" m="1" x="1238"/>
        <item h="1" m="1" x="1336"/>
        <item h="1" m="1" x="1392"/>
        <item h="1" m="1" x="1391"/>
        <item h="1" m="1" x="1502"/>
        <item h="1" m="1" x="1434"/>
        <item h="1" m="1" x="1347"/>
        <item h="1" m="1" x="1348"/>
        <item h="1" m="1" x="1349"/>
        <item h="1" m="1" x="1429"/>
        <item h="1" m="1" x="1350"/>
        <item h="1" m="1" x="1460"/>
        <item h="1" m="1" x="1442"/>
        <item h="1" m="1" x="1351"/>
        <item h="1" m="1" x="1337"/>
        <item h="1" m="1" x="283"/>
        <item h="1" m="1" x="284"/>
        <item h="1" m="1" x="285"/>
        <item h="1" m="1" x="286"/>
        <item h="1" m="1" x="287"/>
        <item h="1" m="1" x="288"/>
        <item h="1" m="1" x="289"/>
        <item h="1" m="1" x="290"/>
        <item h="1" m="1" x="291"/>
        <item h="1" m="1" x="292"/>
        <item h="1" m="1" x="293"/>
        <item h="1" m="1" x="294"/>
        <item h="1" m="1" x="295"/>
        <item h="1" m="1" x="296"/>
        <item h="1" m="1" x="297"/>
        <item h="1" m="1" x="298"/>
        <item h="1" m="1" x="299"/>
        <item h="1" m="1" x="300"/>
        <item h="1" m="1" x="301"/>
        <item h="1" m="1" x="302"/>
        <item h="1" m="1" x="303"/>
        <item h="1" m="1" x="304"/>
        <item h="1" m="1" x="305"/>
        <item h="1" m="1" x="309"/>
        <item h="1" m="1" x="312"/>
        <item h="1" m="1" x="315"/>
        <item h="1" m="1" x="316"/>
        <item h="1" m="1" x="317"/>
        <item h="1" m="1" x="318"/>
        <item h="1" m="1" x="321"/>
        <item h="1" m="1" x="325"/>
        <item h="1" m="1" x="327"/>
        <item h="1" m="1" x="330"/>
        <item h="1" m="1" x="331"/>
        <item h="1" m="1" x="333"/>
        <item h="1" m="1" x="335"/>
        <item h="1" m="1" x="336"/>
        <item h="1" m="1" x="337"/>
        <item h="1" m="1" x="338"/>
        <item h="1" m="1" x="339"/>
        <item h="1" m="1" x="340"/>
        <item h="1" m="1" x="341"/>
        <item h="1" m="1" x="342"/>
        <item h="1" m="1" x="343"/>
        <item h="1" m="1" x="344"/>
        <item h="1" m="1" x="345"/>
        <item h="1" m="1" x="346"/>
        <item h="1" m="1" x="347"/>
        <item h="1" m="1" x="348"/>
        <item h="1" m="1" x="349"/>
        <item h="1" m="1" x="350"/>
        <item h="1" x="15"/>
        <item h="1" m="1" x="353"/>
        <item h="1" m="1" x="354"/>
        <item h="1" m="1" x="355"/>
        <item h="1" m="1" x="358"/>
        <item h="1" m="1" x="359"/>
        <item h="1" m="1" x="362"/>
        <item h="1" m="1" x="363"/>
        <item h="1" x="11"/>
        <item h="1" m="1" x="974"/>
        <item h="1" m="1" x="970"/>
        <item h="1" x="6"/>
        <item h="1" x="29"/>
        <item h="1" x="25"/>
        <item h="1" m="1" x="971"/>
        <item h="1" x="0"/>
        <item h="1" x="1"/>
        <item h="1" x="2"/>
        <item h="1" x="26"/>
        <item h="1" m="1" x="972"/>
        <item h="1" x="8"/>
        <item h="1" m="1" x="973"/>
        <item h="1" x="27"/>
        <item h="1" m="1" x="438"/>
        <item h="1" x="10"/>
        <item h="1" m="1" x="976"/>
        <item h="1" x="17"/>
        <item h="1" m="1" x="977"/>
        <item h="1" m="1" x="665"/>
        <item h="1" m="1" x="666"/>
        <item h="1" m="1" x="667"/>
        <item h="1" m="1" x="668"/>
        <item h="1" m="1" x="669"/>
        <item h="1" m="1" x="670"/>
        <item h="1" m="1" x="671"/>
        <item h="1" m="1" x="672"/>
        <item h="1" m="1" x="673"/>
        <item h="1" m="1" x="674"/>
        <item h="1" m="1" x="675"/>
        <item h="1" m="1" x="676"/>
        <item h="1" m="1" x="677"/>
        <item h="1" m="1" x="47"/>
        <item h="1" m="1" x="48"/>
        <item h="1" m="1" x="49"/>
        <item h="1" m="1" x="678"/>
        <item h="1" m="1" x="679"/>
        <item h="1" m="1" x="680"/>
        <item h="1" m="1" x="681"/>
        <item h="1" m="1" x="682"/>
        <item h="1" m="1" x="683"/>
        <item h="1" m="1" x="684"/>
        <item h="1" m="1" x="685"/>
        <item h="1" m="1" x="687"/>
        <item h="1" m="1" x="688"/>
        <item h="1" m="1" x="689"/>
        <item h="1" m="1" x="690"/>
        <item h="1" m="1" x="691"/>
        <item h="1" m="1" x="57"/>
        <item h="1" m="1" x="692"/>
        <item h="1" m="1" x="693"/>
        <item h="1" m="1" x="694"/>
        <item h="1" m="1" x="695"/>
        <item h="1" m="1" x="696"/>
        <item h="1" m="1" x="697"/>
        <item h="1" m="1" x="698"/>
        <item h="1" m="1" x="143"/>
        <item h="1" m="1" x="191"/>
        <item h="1" m="1" x="402"/>
        <item h="1" m="1" x="67"/>
        <item h="1" m="1" x="68"/>
        <item h="1" m="1" x="71"/>
        <item h="1" m="1" x="72"/>
        <item h="1" m="1" x="193"/>
        <item h="1" m="1" x="194"/>
        <item h="1" m="1" x="195"/>
        <item h="1" m="1" x="74"/>
        <item h="1" m="1" x="403"/>
        <item h="1" m="1" x="404"/>
        <item h="1" m="1" x="405"/>
        <item h="1" m="1" x="77"/>
        <item h="1" m="1" x="78"/>
        <item h="1" m="1" x="79"/>
        <item h="1" m="1" x="81"/>
        <item h="1" m="1" x="406"/>
        <item h="1" m="1" x="80"/>
        <item h="1" m="1" x="407"/>
        <item h="1" m="1" x="83"/>
        <item h="1" m="1" x="84"/>
        <item h="1" m="1" x="200"/>
        <item h="1" m="1" x="408"/>
        <item h="1" m="1" x="87"/>
        <item h="1" m="1" x="88"/>
        <item h="1" m="1" x="90"/>
        <item h="1" m="1" x="409"/>
        <item h="1" m="1" x="92"/>
        <item h="1" m="1" x="410"/>
        <item h="1" m="1" x="94"/>
        <item h="1" m="1" x="96"/>
        <item h="1" m="1" x="97"/>
        <item h="1" m="1" x="205"/>
        <item h="1" m="1" x="98"/>
        <item h="1" m="1" x="207"/>
        <item h="1" m="1" x="99"/>
        <item h="1" m="1" x="411"/>
        <item h="1" m="1" x="102"/>
        <item h="1" m="1" x="103"/>
        <item h="1" m="1" x="104"/>
        <item h="1" m="1" x="412"/>
        <item h="1" m="1" x="106"/>
        <item h="1" m="1" x="107"/>
        <item h="1" m="1" x="209"/>
        <item h="1" m="1" x="413"/>
        <item h="1" m="1" x="110"/>
        <item h="1" m="1" x="112"/>
        <item h="1" m="1" x="415"/>
        <item h="1" m="1" x="214"/>
        <item h="1" m="1" x="114"/>
        <item h="1" m="1" x="115"/>
        <item h="1" m="1" x="116"/>
        <item h="1" m="1" x="117"/>
        <item h="1" m="1" x="118"/>
        <item h="1" m="1" x="119"/>
        <item h="1" m="1" x="416"/>
        <item h="1" m="1" x="417"/>
        <item h="1" m="1" x="120"/>
        <item h="1" m="1" x="121"/>
        <item h="1" m="1" x="122"/>
        <item h="1" m="1" x="123"/>
        <item h="1" m="1" x="418"/>
        <item h="1" m="1" x="419"/>
        <item h="1" m="1" x="130"/>
        <item h="1" m="1" x="420"/>
        <item h="1" m="1" x="217"/>
        <item h="1" m="1" x="421"/>
        <item h="1" m="1" x="422"/>
        <item h="1" m="1" x="134"/>
        <item h="1" m="1" x="135"/>
        <item h="1" m="1" x="138"/>
        <item h="1" m="1" x="139"/>
        <item h="1" m="1" x="424"/>
        <item h="1" m="1" x="425"/>
        <item h="1" m="1" x="426"/>
        <item h="1" m="1" x="142"/>
        <item h="1" m="1" x="144"/>
        <item h="1" m="1" x="145"/>
        <item h="1" m="1" x="146"/>
        <item h="1" m="1" x="228"/>
        <item h="1" m="1" x="149"/>
        <item h="1" m="1" x="230"/>
        <item h="1" m="1" x="154"/>
        <item h="1" m="1" x="238"/>
        <item h="1" m="1" x="239"/>
        <item h="1" m="1" x="241"/>
        <item h="1" m="1" x="242"/>
        <item h="1" m="1" x="243"/>
        <item h="1" m="1" x="244"/>
        <item h="1" m="1" x="245"/>
        <item h="1" m="1" x="246"/>
        <item h="1" m="1" x="247"/>
        <item h="1" m="1" x="248"/>
        <item h="1" m="1" x="250"/>
        <item h="1" m="1" x="237"/>
        <item h="1" m="1" x="240"/>
        <item h="1" m="1" x="260"/>
        <item h="1" m="1" x="261"/>
        <item h="1" m="1" x="262"/>
        <item h="1" m="1" x="263"/>
        <item h="1" m="1" x="264"/>
        <item h="1" m="1" x="265"/>
        <item h="1" m="1" x="266"/>
        <item h="1" m="1" x="267"/>
        <item h="1" m="1" x="268"/>
        <item h="1" m="1" x="269"/>
        <item h="1" m="1" x="276"/>
        <item h="1" m="1" x="277"/>
        <item h="1" m="1" x="278"/>
        <item h="1" m="1" x="279"/>
        <item h="1" m="1" x="280"/>
        <item h="1" m="1" x="281"/>
        <item h="1" m="1" x="270"/>
        <item h="1" m="1" x="271"/>
        <item h="1" m="1" x="272"/>
        <item h="1" m="1" x="282"/>
        <item h="1" m="1" x="273"/>
        <item h="1" m="1" x="274"/>
        <item h="1" m="1" x="275"/>
        <item h="1" m="1" x="364"/>
        <item h="1" m="1" x="365"/>
        <item h="1" m="1" x="366"/>
        <item h="1" m="1" x="367"/>
        <item h="1" m="1" x="368"/>
        <item h="1" m="1" x="369"/>
        <item h="1" m="1" x="370"/>
        <item h="1" m="1" x="371"/>
        <item h="1" m="1" x="372"/>
        <item h="1" m="1" x="373"/>
        <item h="1" m="1" x="374"/>
        <item h="1" m="1" x="375"/>
        <item h="1" m="1" x="376"/>
        <item h="1" m="1" x="378"/>
        <item h="1" m="1" x="379"/>
        <item h="1" m="1" x="380"/>
        <item h="1" m="1" x="381"/>
        <item h="1" m="1" x="382"/>
        <item h="1" m="1" x="383"/>
        <item h="1" m="1" x="384"/>
        <item h="1" m="1" x="385"/>
        <item h="1" m="1" x="386"/>
        <item h="1" m="1" x="387"/>
        <item h="1" m="1" x="388"/>
        <item h="1" m="1" x="389"/>
        <item h="1" m="1" x="391"/>
        <item h="1" m="1" x="392"/>
        <item h="1" m="1" x="393"/>
        <item h="1" m="1" x="394"/>
        <item h="1" m="1" x="395"/>
        <item h="1" m="1" x="396"/>
        <item h="1" m="1" x="397"/>
        <item h="1" m="1" x="398"/>
        <item h="1" m="1" x="59"/>
        <item h="1" m="1" x="60"/>
        <item h="1" m="1" x="61"/>
        <item h="1" m="1" x="62"/>
        <item h="1" m="1" x="63"/>
        <item h="1" m="1" x="399"/>
        <item h="1" m="1" x="400"/>
        <item h="1" m="1" x="401"/>
        <item h="1" m="1" x="34"/>
        <item h="1" m="1" x="35"/>
        <item h="1" m="1" x="36"/>
        <item h="1" m="1" x="37"/>
        <item h="1" m="1" x="38"/>
        <item h="1" m="1" x="39"/>
        <item h="1" m="1" x="40"/>
        <item h="1" m="1" x="42"/>
        <item h="1" m="1" x="43"/>
        <item h="1" m="1" x="44"/>
        <item h="1" m="1" x="45"/>
        <item h="1" m="1" x="46"/>
        <item h="1" m="1" x="50"/>
        <item h="1" m="1" x="55"/>
        <item h="1" m="1" x="64"/>
        <item h="1" m="1" x="65"/>
        <item h="1" m="1" x="886"/>
        <item h="1" m="1" x="902"/>
        <item h="1" m="1" x="885"/>
        <item h="1" m="1" x="887"/>
        <item h="1" m="1" x="888"/>
        <item h="1" m="1" x="889"/>
        <item h="1" m="1" x="890"/>
        <item h="1" m="1" x="891"/>
        <item h="1" m="1" x="892"/>
        <item h="1" m="1" x="893"/>
        <item h="1" m="1" x="895"/>
        <item h="1" m="1" x="897"/>
        <item h="1" m="1" x="899"/>
        <item h="1" m="1" x="900"/>
        <item h="1" m="1" x="901"/>
        <item h="1" m="1" x="903"/>
        <item h="1" m="1" x="904"/>
        <item h="1" m="1" x="905"/>
        <item h="1" m="1" x="906"/>
        <item h="1" m="1" x="907"/>
        <item h="1" m="1" x="908"/>
        <item h="1" m="1" x="909"/>
        <item h="1" m="1" x="910"/>
        <item h="1" m="1" x="1207"/>
        <item h="1" m="1" x="911"/>
        <item h="1" m="1" x="912"/>
        <item h="1" m="1" x="913"/>
        <item h="1" m="1" x="914"/>
        <item h="1" m="1" x="917"/>
        <item h="1" m="1" x="919"/>
        <item h="1" m="1" x="923"/>
        <item h="1" m="1" x="924"/>
        <item h="1" m="1" x="925"/>
        <item h="1" m="1" x="926"/>
        <item h="1" m="1" x="927"/>
        <item h="1" m="1" x="928"/>
        <item h="1" m="1" x="929"/>
        <item h="1" m="1" x="930"/>
        <item h="1" m="1" x="931"/>
        <item h="1" m="1" x="932"/>
        <item h="1" m="1" x="933"/>
        <item h="1" m="1" x="934"/>
        <item h="1" m="1" x="935"/>
        <item h="1" m="1" x="936"/>
        <item h="1" m="1" x="937"/>
        <item h="1" m="1" x="938"/>
        <item h="1" m="1" x="939"/>
        <item h="1" m="1" x="940"/>
        <item h="1" m="1" x="941"/>
        <item h="1" m="1" x="942"/>
        <item h="1" m="1" x="943"/>
        <item h="1" x="23"/>
        <item h="1" x="3"/>
        <item h="1" x="24"/>
        <item h="1" x="22"/>
        <item h="1" x="7"/>
        <item h="1" x="9"/>
        <item h="1" x="16"/>
        <item h="1" x="18"/>
        <item h="1" x="19"/>
        <item h="1" x="13"/>
        <item h="1" m="1" x="1002"/>
        <item h="1" m="1" x="1003"/>
        <item h="1" m="1" x="1004"/>
        <item h="1" m="1" x="883"/>
        <item h="1" m="1" x="884"/>
        <item h="1" m="1" x="1380"/>
        <item h="1" m="1" x="1478"/>
        <item h="1" m="1" x="1511"/>
        <item h="1" m="1" x="1503"/>
        <item h="1" m="1" x="1518"/>
        <item h="1" m="1" x="1476"/>
        <item h="1" m="1" x="1403"/>
        <item h="1" m="1" x="1318"/>
        <item h="1" m="1" x="1355"/>
        <item h="1" m="1" x="1467"/>
        <item h="1" m="1" x="1364"/>
        <item h="1" m="1" x="1498"/>
        <item h="1" m="1" x="1452"/>
        <item h="1" m="1" x="1367"/>
        <item h="1" m="1" x="1383"/>
        <item h="1" m="1" x="1390"/>
        <item h="1" m="1" x="1398"/>
        <item h="1" m="1" x="1458"/>
        <item h="1" m="1" x="1486"/>
        <item h="1" m="1" x="1450"/>
        <item h="1" m="1" x="1366"/>
        <item h="1" m="1" x="1316"/>
        <item h="1" m="1" x="1311"/>
        <item h="1" m="1" x="1456"/>
        <item h="1" m="1" x="1326"/>
        <item h="1" m="1" x="1504"/>
        <item h="1" m="1" x="1461"/>
        <item h="1" m="1" x="1445"/>
        <item h="1" m="1" x="1495"/>
        <item h="1" m="1" x="1453"/>
        <item h="1" m="1" x="1464"/>
        <item h="1" m="1" x="1400"/>
        <item h="1" m="1" x="1291"/>
        <item h="1" m="1" x="1500"/>
        <item h="1" m="1" x="1423"/>
        <item h="1" m="1" x="1425"/>
        <item h="1" m="1" x="1427"/>
        <item h="1" m="1" x="1346"/>
        <item h="1" m="1" x="1428"/>
        <item h="1" m="1" x="1508"/>
        <item h="1" m="1" x="1459"/>
        <item h="1" m="1" x="1395"/>
        <item h="1" m="1" x="1312"/>
        <item h="1" m="1" x="1300"/>
        <item h="1" m="1" x="1514"/>
        <item h="1" m="1" x="1374"/>
        <item h="1" m="1" x="1438"/>
        <item h="1" m="1" x="1399"/>
        <item h="1" m="1" x="1314"/>
        <item h="1" m="1" x="1401"/>
        <item h="1" m="1" x="1299"/>
        <item h="1" m="1" x="1477"/>
        <item h="1" m="1" x="1330"/>
        <item h="1" m="1" x="1333"/>
        <item h="1" m="1" x="737"/>
        <item h="1" m="1" x="1204"/>
        <item h="1" m="1" x="1205"/>
        <item h="1" m="1" x="544"/>
        <item h="1" m="1" x="1206"/>
        <item h="1" m="1" x="740"/>
        <item h="1" m="1" x="787"/>
        <item h="1" m="1" x="788"/>
        <item h="1" m="1" x="789"/>
        <item h="1" m="1" x="790"/>
        <item h="1" m="1" x="791"/>
        <item h="1" m="1" x="792"/>
        <item h="1" m="1" x="793"/>
        <item h="1" m="1" x="794"/>
        <item h="1" m="1" x="795"/>
        <item h="1" m="1" x="427"/>
        <item h="1" m="1" x="797"/>
        <item h="1" m="1" x="192"/>
        <item h="1" m="1" x="75"/>
        <item h="1" m="1" x="76"/>
        <item h="1" m="1" x="196"/>
        <item h="1" m="1" x="197"/>
        <item h="1" m="1" x="198"/>
        <item h="1" m="1" x="199"/>
        <item h="1" m="1" x="85"/>
        <item h="1" m="1" x="201"/>
        <item h="1" m="1" x="202"/>
        <item h="1" m="1" x="203"/>
        <item h="1" m="1" x="204"/>
        <item h="1" m="1" x="95"/>
        <item h="1" m="1" x="206"/>
        <item h="1" m="1" x="105"/>
        <item h="1" m="1" x="109"/>
        <item h="1" m="1" x="210"/>
        <item h="1" m="1" x="211"/>
        <item h="1" m="1" x="212"/>
        <item h="1" m="1" x="213"/>
        <item h="1" m="1" x="215"/>
        <item h="1" m="1" x="124"/>
        <item h="1" m="1" x="125"/>
        <item h="1" m="1" x="127"/>
        <item h="1" m="1" x="216"/>
        <item h="1" m="1" x="129"/>
        <item h="1" m="1" x="218"/>
        <item h="1" m="1" x="219"/>
        <item h="1" m="1" x="220"/>
        <item h="1" m="1" x="221"/>
        <item h="1" m="1" x="222"/>
        <item h="1" m="1" x="223"/>
        <item h="1" m="1" x="224"/>
        <item h="1" m="1" x="225"/>
        <item h="1" m="1" x="137"/>
        <item h="1" m="1" x="140"/>
        <item h="1" m="1" x="141"/>
        <item h="1" m="1" x="226"/>
        <item h="1" m="1" x="227"/>
        <item h="1" m="1" x="229"/>
        <item h="1" m="1" x="352"/>
        <item h="1" m="1" x="741"/>
        <item h="1" m="1" x="742"/>
        <item h="1" m="1" x="743"/>
        <item h="1" m="1" x="704"/>
        <item h="1" m="1" x="744"/>
        <item h="1" m="1" x="709"/>
        <item h="1" m="1" x="722"/>
        <item h="1" m="1" x="723"/>
        <item h="1" m="1" x="745"/>
        <item h="1" m="1" x="733"/>
        <item h="1" m="1" x="1259"/>
        <item h="1" m="1" x="1258"/>
        <item h="1" m="1" x="428"/>
        <item h="1" m="1" x="429"/>
        <item h="1" m="1" x="430"/>
        <item h="1" m="1" x="431"/>
        <item h="1" m="1" x="432"/>
        <item h="1" m="1" x="946"/>
        <item h="1" m="1" x="947"/>
        <item h="1" m="1" x="948"/>
        <item h="1" m="1" x="440"/>
        <item h="1" m="1" x="441"/>
        <item h="1" m="1" x="653"/>
        <item h="1" m="1" x="654"/>
        <item h="1" m="1" x="655"/>
        <item h="1" m="1" x="656"/>
        <item h="1" m="1" x="657"/>
        <item h="1" m="1" x="658"/>
        <item h="1" m="1" x="659"/>
        <item h="1" m="1" x="660"/>
        <item h="1" m="1" x="661"/>
        <item h="1" m="1" x="662"/>
        <item h="1" m="1" x="663"/>
        <item h="1" m="1" x="664"/>
        <item h="1" m="1" x="1289"/>
        <item h="1" m="1" x="951"/>
        <item h="1" m="1" x="952"/>
        <item h="1" m="1" x="953"/>
        <item h="1" m="1" x="954"/>
        <item h="1" m="1" x="955"/>
        <item h="1" m="1" x="956"/>
        <item h="1" m="1" x="957"/>
        <item h="1" m="1" x="958"/>
        <item h="1" m="1" x="960"/>
        <item h="1" m="1" x="961"/>
        <item h="1" m="1" x="962"/>
        <item h="1" m="1" x="963"/>
        <item h="1" m="1" x="964"/>
        <item h="1" m="1" x="965"/>
        <item h="1" m="1" x="966"/>
        <item h="1" m="1" x="967"/>
        <item h="1" m="1" x="968"/>
        <item h="1" m="1" x="969"/>
        <item h="1" m="1" x="1512"/>
        <item h="1" m="1" x="613"/>
        <item h="1" m="1" x="614"/>
        <item h="1" m="1" x="615"/>
        <item h="1" m="1" x="616"/>
        <item h="1" m="1" x="617"/>
        <item h="1" m="1" x="618"/>
        <item h="1" m="1" x="619"/>
        <item h="1" m="1" x="620"/>
        <item h="1" m="1" x="621"/>
        <item h="1" m="1" x="622"/>
        <item h="1" m="1" x="623"/>
        <item h="1" m="1" x="624"/>
        <item h="1" m="1" x="625"/>
        <item h="1" m="1" x="626"/>
        <item h="1" m="1" x="627"/>
        <item h="1" m="1" x="628"/>
        <item h="1" m="1" x="629"/>
        <item h="1" m="1" x="630"/>
        <item h="1" m="1" x="631"/>
        <item h="1" m="1" x="632"/>
        <item h="1" m="1" x="633"/>
        <item h="1" m="1" x="634"/>
        <item h="1" m="1" x="635"/>
        <item h="1" m="1" x="636"/>
        <item h="1" m="1" x="637"/>
        <item h="1" m="1" x="638"/>
        <item h="1" m="1" x="639"/>
        <item h="1" m="1" x="640"/>
        <item h="1" m="1" x="641"/>
        <item h="1" m="1" x="642"/>
        <item h="1" m="1" x="643"/>
        <item h="1" m="1" x="554"/>
        <item h="1" m="1" x="555"/>
        <item h="1" m="1" x="556"/>
        <item h="1" m="1" x="557"/>
        <item h="1" m="1" x="559"/>
        <item h="1" m="1" x="560"/>
        <item h="1" m="1" x="562"/>
        <item h="1" m="1" x="563"/>
        <item h="1" m="1" x="564"/>
        <item h="1" m="1" x="565"/>
        <item h="1" m="1" x="567"/>
        <item h="1" m="1" x="568"/>
        <item h="1" m="1" x="569"/>
        <item h="1" m="1" x="570"/>
        <item h="1" m="1" x="571"/>
        <item h="1" m="1" x="572"/>
        <item h="1" m="1" x="573"/>
        <item h="1" m="1" x="574"/>
        <item h="1" m="1" x="575"/>
        <item h="1" m="1" x="576"/>
        <item h="1" m="1" x="577"/>
        <item h="1" m="1" x="578"/>
        <item h="1" m="1" x="579"/>
        <item h="1" m="1" x="580"/>
        <item h="1" m="1" x="581"/>
        <item h="1" m="1" x="582"/>
        <item h="1" m="1" x="583"/>
        <item h="1" m="1" x="584"/>
        <item h="1" m="1" x="585"/>
        <item h="1" m="1" x="586"/>
        <item h="1" m="1" x="587"/>
        <item h="1" m="1" x="588"/>
        <item h="1" m="1" x="589"/>
        <item h="1" m="1" x="590"/>
        <item h="1" m="1" x="591"/>
        <item h="1" m="1" x="592"/>
        <item h="1" m="1" x="593"/>
        <item h="1" m="1" x="594"/>
        <item h="1" m="1" x="595"/>
        <item h="1" m="1" x="596"/>
        <item h="1" m="1" x="597"/>
        <item h="1" m="1" x="598"/>
        <item h="1" m="1" x="599"/>
        <item h="1" m="1" x="600"/>
        <item h="1" m="1" x="601"/>
        <item h="1" m="1" x="602"/>
        <item h="1" m="1" x="603"/>
        <item h="1" m="1" x="604"/>
        <item h="1" m="1" x="1439"/>
        <item h="1" m="1" x="606"/>
        <item h="1" m="1" x="607"/>
        <item h="1" m="1" x="608"/>
        <item h="1" m="1" x="609"/>
        <item h="1" m="1" x="610"/>
        <item h="1" m="1" x="611"/>
        <item h="1" m="1" x="612"/>
        <item h="1" m="1" x="949"/>
        <item h="1" m="1" x="950"/>
        <item h="1" m="1" x="231"/>
        <item h="1" m="1" x="449"/>
        <item h="1" m="1" x="451"/>
        <item h="1" m="1" x="452"/>
        <item h="1" m="1" x="453"/>
        <item h="1" m="1" x="454"/>
        <item h="1" m="1" x="455"/>
        <item h="1" m="1" x="456"/>
        <item h="1" m="1" x="457"/>
        <item h="1" m="1" x="458"/>
        <item h="1" m="1" x="459"/>
        <item h="1" m="1" x="460"/>
        <item h="1" m="1" x="461"/>
        <item h="1" m="1" x="462"/>
        <item h="1" m="1" x="463"/>
        <item h="1" m="1" x="464"/>
        <item h="1" m="1" x="465"/>
        <item h="1" m="1" x="466"/>
        <item h="1" m="1" x="467"/>
        <item h="1" m="1" x="469"/>
        <item h="1" m="1" x="470"/>
        <item h="1" m="1" x="471"/>
        <item h="1" m="1" x="472"/>
        <item h="1" m="1" x="473"/>
        <item h="1" m="1" x="474"/>
        <item h="1" m="1" x="475"/>
        <item h="1" m="1" x="476"/>
        <item h="1" m="1" x="477"/>
        <item h="1" m="1" x="478"/>
        <item h="1" m="1" x="479"/>
        <item h="1" m="1" x="480"/>
        <item h="1" m="1" x="481"/>
        <item h="1" m="1" x="442"/>
        <item h="1" m="1" x="482"/>
        <item h="1" m="1" x="483"/>
        <item h="1" m="1" x="484"/>
        <item h="1" m="1" x="485"/>
        <item h="1" m="1" x="487"/>
        <item h="1" m="1" x="488"/>
        <item h="1" m="1" x="489"/>
        <item h="1" m="1" x="443"/>
        <item h="1" m="1" x="490"/>
        <item h="1" m="1" x="491"/>
        <item h="1" m="1" x="444"/>
        <item h="1" m="1" x="492"/>
        <item h="1" m="1" x="493"/>
        <item h="1" m="1" x="494"/>
        <item h="1" m="1" x="495"/>
        <item h="1" m="1" x="496"/>
        <item h="1" m="1" x="497"/>
        <item h="1" m="1" x="445"/>
        <item h="1" m="1" x="498"/>
        <item h="1" m="1" x="499"/>
        <item h="1" m="1" x="500"/>
        <item h="1" m="1" x="501"/>
        <item h="1" m="1" x="502"/>
        <item h="1" m="1" x="503"/>
        <item h="1" m="1" x="504"/>
        <item h="1" m="1" x="505"/>
        <item h="1" m="1" x="506"/>
        <item h="1" m="1" x="507"/>
        <item h="1" m="1" x="508"/>
        <item h="1" m="1" x="446"/>
        <item h="1" m="1" x="509"/>
        <item h="1" m="1" x="510"/>
        <item h="1" m="1" x="511"/>
        <item h="1" m="1" x="512"/>
        <item h="1" m="1" x="513"/>
        <item h="1" m="1" x="515"/>
        <item h="1" m="1" x="516"/>
        <item h="1" m="1" x="447"/>
        <item h="1" m="1" x="517"/>
        <item h="1" m="1" x="518"/>
        <item h="1" m="1" x="519"/>
        <item h="1" m="1" x="520"/>
        <item h="1" m="1" x="521"/>
        <item h="1" m="1" x="522"/>
        <item h="1" m="1" x="523"/>
        <item h="1" m="1" x="524"/>
        <item h="1" m="1" x="525"/>
        <item h="1" m="1" x="526"/>
        <item h="1" m="1" x="527"/>
        <item h="1" m="1" x="528"/>
        <item h="1" m="1" x="529"/>
        <item h="1" m="1" x="448"/>
        <item h="1" m="1" x="530"/>
        <item h="1" m="1" x="531"/>
        <item h="1" m="1" x="532"/>
        <item h="1" m="1" x="533"/>
        <item h="1" m="1" x="535"/>
        <item h="1" m="1" x="536"/>
        <item h="1" m="1" x="537"/>
        <item h="1" m="1" x="538"/>
        <item h="1" m="1" x="539"/>
        <item h="1" m="1" x="540"/>
        <item h="1" m="1" x="541"/>
        <item h="1" m="1" x="542"/>
        <item h="1" m="1" x="1354"/>
        <item h="1" m="1" x="1485"/>
        <item h="1" m="1" x="1407"/>
        <item h="1" m="1" x="1219"/>
        <item h="1" m="1" x="1214"/>
        <item h="1" m="1" x="1147"/>
        <item h="1" m="1" x="1148"/>
        <item h="1" m="1" x="699"/>
        <item h="1" m="1" x="700"/>
        <item h="1" m="1" x="701"/>
        <item h="1" m="1" x="702"/>
        <item h="1" m="1" x="703"/>
        <item h="1" m="1" x="705"/>
        <item h="1" m="1" x="706"/>
        <item h="1" m="1" x="707"/>
        <item h="1" m="1" x="708"/>
        <item h="1" m="1" x="710"/>
        <item h="1" m="1" x="711"/>
        <item h="1" m="1" x="712"/>
        <item h="1" m="1" x="713"/>
        <item h="1" m="1" x="714"/>
        <item h="1" m="1" x="715"/>
        <item h="1" m="1" x="716"/>
        <item h="1" m="1" x="717"/>
        <item h="1" m="1" x="718"/>
        <item h="1" m="1" x="719"/>
        <item h="1" m="1" x="720"/>
        <item h="1" m="1" x="721"/>
        <item h="1" m="1" x="1149"/>
        <item h="1" m="1" x="1209"/>
        <item h="1" m="1" x="1152"/>
        <item h="1" m="1" x="1155"/>
        <item h="1" m="1" x="1220"/>
        <item h="1" m="1" x="1169"/>
        <item h="1" m="1" x="1158"/>
        <item h="1" m="1" x="644"/>
        <item h="1" m="1" x="645"/>
        <item h="1" m="1" x="646"/>
        <item h="1" m="1" x="647"/>
        <item h="1" m="1" x="727"/>
        <item h="1" m="1" x="728"/>
        <item h="1" m="1" x="729"/>
        <item h="1" m="1" x="730"/>
        <item h="1" m="1" x="731"/>
        <item h="1" m="1" x="1215"/>
        <item h="1" m="1" x="1208"/>
        <item h="1" m="1" x="1182"/>
        <item h="1" m="1" x="1223"/>
        <item h="1" m="1" x="1221"/>
        <item h="1" m="1" x="1187"/>
        <item h="1" m="1" x="1210"/>
        <item h="1" m="1" x="1217"/>
        <item h="1" m="1" x="1195"/>
        <item h="1" m="1" x="1211"/>
        <item h="1" m="1" x="1212"/>
        <item h="1" m="1" x="1197"/>
        <item h="1" m="1" x="1225"/>
        <item h="1" m="1" x="1200"/>
        <item h="1" m="1" x="1213"/>
        <item h="1" m="1" x="1313"/>
        <item h="1" m="1" x="1449"/>
        <item h="1" m="1" x="1260"/>
        <item h="1" m="1" x="732"/>
        <item h="1" m="1" x="1261"/>
        <item h="1" m="1" x="1262"/>
        <item h="1" m="1" x="1263"/>
        <item h="1" m="1" x="1264"/>
        <item h="1" m="1" x="1265"/>
        <item h="1" m="1" x="1266"/>
        <item h="1" m="1" x="1267"/>
        <item h="1" m="1" x="1268"/>
        <item h="1" m="1" x="1269"/>
        <item h="1" m="1" x="1270"/>
        <item h="1" m="1" x="1271"/>
        <item h="1" m="1" x="1272"/>
        <item h="1" m="1" x="1273"/>
        <item h="1" m="1" x="1274"/>
        <item h="1" m="1" x="1275"/>
        <item h="1" m="1" x="1276"/>
        <item h="1" m="1" x="1277"/>
        <item h="1" m="1" x="1278"/>
        <item h="1" m="1" x="1279"/>
        <item h="1" m="1" x="1281"/>
        <item h="1" m="1" x="1282"/>
        <item h="1" m="1" x="1283"/>
        <item h="1" m="1" x="1284"/>
        <item h="1" m="1" x="1285"/>
        <item h="1" m="1" x="1286"/>
        <item h="1" m="1" x="1287"/>
        <item h="1" m="1" x="1288"/>
        <item h="1" m="1" x="746"/>
        <item h="1" m="1" x="748"/>
        <item h="1" m="1" x="749"/>
        <item h="1" m="1" x="750"/>
        <item h="1" m="1" x="751"/>
        <item h="1" m="1" x="752"/>
        <item h="1" m="1" x="753"/>
        <item h="1" m="1" x="754"/>
        <item h="1" m="1" x="756"/>
        <item h="1" m="1" x="759"/>
        <item h="1" m="1" x="763"/>
        <item h="1" m="1" x="764"/>
        <item h="1" m="1" x="767"/>
        <item h="1" m="1" x="768"/>
        <item h="1" m="1" x="786"/>
        <item h="1" m="1" x="1030"/>
        <item h="1" m="1" x="1031"/>
        <item h="1" m="1" x="1032"/>
        <item h="1" m="1" x="1033"/>
        <item h="1" m="1" x="1034"/>
        <item h="1" m="1" x="1035"/>
        <item h="1" m="1" x="1036"/>
        <item h="1" m="1" x="1037"/>
        <item h="1" m="1" x="1038"/>
        <item h="1" m="1" x="1039"/>
        <item h="1" m="1" x="1040"/>
        <item h="1" m="1" x="1041"/>
        <item h="1" m="1" x="1042"/>
        <item h="1" m="1" x="1043"/>
        <item h="1" m="1" x="1044"/>
        <item h="1" m="1" x="1045"/>
        <item h="1" m="1" x="1046"/>
        <item h="1" m="1" x="1047"/>
        <item h="1" m="1" x="1048"/>
        <item h="1" m="1" x="1049"/>
        <item h="1" m="1" x="1050"/>
        <item h="1" m="1" x="1051"/>
        <item h="1" m="1" x="1052"/>
        <item h="1" m="1" x="1053"/>
        <item h="1" m="1" x="1054"/>
        <item h="1" m="1" x="1055"/>
        <item h="1" m="1" x="1056"/>
        <item h="1" m="1" x="1058"/>
        <item h="1" m="1" x="1059"/>
        <item h="1" m="1" x="1060"/>
        <item h="1" m="1" x="1061"/>
        <item h="1" m="1" x="1062"/>
        <item h="1" m="1" x="1063"/>
        <item h="1" m="1" x="1064"/>
        <item h="1" m="1" x="1065"/>
        <item h="1" m="1" x="1066"/>
        <item h="1" m="1" x="1067"/>
        <item h="1" m="1" x="1068"/>
        <item h="1" m="1" x="1069"/>
        <item h="1" m="1" x="1070"/>
        <item h="1" m="1" x="1071"/>
        <item h="1" m="1" x="1072"/>
        <item h="1" m="1" x="1073"/>
        <item h="1" m="1" x="1074"/>
        <item h="1" m="1" x="1075"/>
        <item h="1" m="1" x="1076"/>
        <item h="1" m="1" x="1077"/>
        <item h="1" m="1" x="1078"/>
        <item h="1" m="1" x="1079"/>
        <item h="1" m="1" x="1080"/>
        <item h="1" m="1" x="1081"/>
        <item h="1" m="1" x="1082"/>
        <item h="1" m="1" x="1083"/>
        <item h="1" m="1" x="1084"/>
        <item h="1" m="1" x="1085"/>
        <item h="1" m="1" x="1086"/>
        <item h="1" m="1" x="1087"/>
        <item h="1" m="1" x="1088"/>
        <item h="1" m="1" x="1089"/>
        <item h="1" m="1" x="1090"/>
        <item h="1" m="1" x="1091"/>
        <item h="1" m="1" x="1092"/>
        <item h="1" m="1" x="1093"/>
        <item h="1" m="1" x="1094"/>
        <item h="1" m="1" x="1096"/>
        <item h="1" m="1" x="1098"/>
        <item h="1" m="1" x="1099"/>
        <item h="1" m="1" x="1100"/>
        <item h="1" m="1" x="1101"/>
        <item h="1" m="1" x="1102"/>
        <item h="1" m="1" x="1103"/>
        <item h="1" m="1" x="1104"/>
        <item h="1" m="1" x="1105"/>
        <item h="1" m="1" x="1106"/>
        <item h="1" m="1" x="1107"/>
        <item h="1" m="1" x="1108"/>
        <item h="1" m="1" x="1109"/>
        <item h="1" m="1" x="1110"/>
        <item h="1" m="1" x="1111"/>
        <item h="1" m="1" x="1112"/>
        <item h="1" m="1" x="1113"/>
        <item h="1" m="1" x="1114"/>
        <item h="1" m="1" x="1115"/>
        <item h="1" m="1" x="1116"/>
        <item h="1" m="1" x="1117"/>
        <item h="1" m="1" x="1119"/>
        <item h="1" m="1" x="1431"/>
        <item h="1" m="1" x="1120"/>
        <item h="1" m="1" x="1121"/>
        <item h="1" m="1" x="1122"/>
        <item h="1" m="1" x="1123"/>
        <item h="1" m="1" x="1124"/>
        <item h="1" m="1" x="1126"/>
        <item h="1" m="1" x="1127"/>
        <item h="1" m="1" x="1128"/>
        <item h="1" m="1" x="1129"/>
        <item h="1" m="1" x="1130"/>
        <item h="1" m="1" x="1131"/>
        <item h="1" m="1" x="1132"/>
        <item h="1" m="1" x="1135"/>
        <item h="1" m="1" x="1136"/>
        <item h="1" m="1" x="1137"/>
        <item h="1" m="1" x="1138"/>
        <item h="1" m="1" x="1139"/>
        <item h="1" m="1" x="1140"/>
        <item h="1" m="1" x="1141"/>
        <item h="1" m="1" x="254"/>
        <item h="1" m="1" x="255"/>
        <item h="1" m="1" x="256"/>
        <item h="1" m="1" x="257"/>
        <item h="1" m="1" x="258"/>
        <item h="1" m="1" x="189"/>
        <item h="1" m="1" x="543"/>
        <item h="1" m="1" x="1363"/>
        <item h="1" m="1" x="1384"/>
        <item h="1" m="1" x="1513"/>
        <item h="1" m="1" x="1146"/>
        <item h="1" m="1" x="1150"/>
        <item h="1" m="1" x="1151"/>
        <item h="1" m="1" x="1153"/>
        <item h="1" m="1" x="1154"/>
        <item h="1" m="1" x="1156"/>
        <item h="1" m="1" x="1157"/>
        <item h="1" m="1" x="1159"/>
        <item h="1" m="1" x="1160"/>
        <item h="1" m="1" x="1161"/>
        <item h="1" m="1" x="1162"/>
        <item h="1" m="1" x="1163"/>
        <item h="1" m="1" x="1164"/>
        <item h="1" m="1" x="1165"/>
        <item h="1" m="1" x="1166"/>
        <item h="1" m="1" x="1167"/>
        <item h="1" m="1" x="1168"/>
        <item h="1" m="1" x="1170"/>
        <item h="1" m="1" x="1171"/>
        <item h="1" m="1" x="1175"/>
        <item h="1" m="1" x="1176"/>
        <item h="1" m="1" x="1177"/>
        <item h="1" m="1" x="1178"/>
        <item h="1" m="1" x="1179"/>
        <item h="1" m="1" x="1180"/>
        <item h="1" m="1" x="1142"/>
        <item h="1" m="1" x="1181"/>
        <item h="1" m="1" x="1183"/>
        <item h="1" m="1" x="1184"/>
        <item h="1" m="1" x="1185"/>
        <item h="1" m="1" x="1186"/>
        <item h="1" m="1" x="1188"/>
        <item h="1" m="1" x="1190"/>
        <item h="1" m="1" x="1191"/>
        <item h="1" m="1" x="1192"/>
        <item h="1" m="1" x="1193"/>
        <item h="1" m="1" x="1196"/>
        <item h="1" m="1" x="1143"/>
        <item h="1" m="1" x="1144"/>
        <item h="1" m="1" x="1145"/>
        <item h="1" m="1" x="1198"/>
        <item h="1" m="1" x="1199"/>
        <item h="1" m="1" x="1201"/>
        <item h="1" m="1" x="1202"/>
        <item h="1" m="1" x="1203"/>
        <item h="1" m="1" x="187"/>
        <item h="1" m="1" x="188"/>
        <item h="1" m="1" x="190"/>
        <item h="1" m="1" x="738"/>
        <item h="1" m="1" x="739"/>
        <item h="1" m="1" x="798"/>
        <item h="1" m="1" x="799"/>
        <item h="1" m="1" x="800"/>
        <item h="1" m="1" x="1378"/>
        <item h="1" m="1" x="801"/>
        <item h="1" m="1" x="802"/>
        <item h="1" m="1" x="803"/>
        <item h="1" m="1" x="804"/>
        <item h="1" m="1" x="805"/>
        <item h="1" m="1" x="806"/>
        <item h="1" m="1" x="807"/>
        <item h="1" m="1" x="808"/>
        <item h="1" m="1" x="809"/>
        <item h="1" m="1" x="810"/>
        <item h="1" m="1" x="811"/>
        <item h="1" m="1" x="812"/>
        <item h="1" m="1" x="813"/>
        <item h="1" m="1" x="814"/>
        <item h="1" m="1" x="815"/>
        <item h="1" m="1" x="816"/>
        <item h="1" m="1" x="817"/>
        <item h="1" m="1" x="818"/>
        <item h="1" m="1" x="819"/>
        <item h="1" m="1" x="820"/>
        <item h="1" m="1" x="821"/>
        <item h="1" m="1" x="822"/>
        <item h="1" m="1" x="823"/>
        <item h="1" m="1" x="824"/>
        <item h="1" m="1" x="825"/>
        <item h="1" m="1" x="826"/>
        <item h="1" m="1" x="827"/>
        <item h="1" m="1" x="828"/>
        <item h="1" m="1" x="829"/>
        <item h="1" m="1" x="830"/>
        <item h="1" m="1" x="831"/>
        <item h="1" m="1" x="832"/>
        <item h="1" m="1" x="833"/>
        <item h="1" m="1" x="834"/>
        <item h="1" m="1" x="835"/>
        <item h="1" m="1" x="836"/>
        <item h="1" m="1" x="837"/>
        <item h="1" m="1" x="838"/>
        <item h="1" m="1" x="839"/>
        <item h="1" m="1" x="840"/>
        <item h="1" m="1" x="841"/>
        <item h="1" m="1" x="842"/>
        <item h="1" m="1" x="762"/>
        <item h="1" m="1" x="843"/>
        <item h="1" m="1" x="844"/>
        <item h="1" m="1" x="845"/>
        <item h="1" m="1" x="846"/>
        <item h="1" m="1" x="847"/>
        <item h="1" m="1" x="848"/>
        <item h="1" m="1" x="849"/>
        <item h="1" m="1" x="850"/>
        <item h="1" m="1" x="851"/>
        <item h="1" m="1" x="852"/>
        <item h="1" m="1" x="853"/>
        <item h="1" m="1" x="854"/>
        <item h="1" m="1" x="855"/>
        <item h="1" m="1" x="856"/>
        <item h="1" m="1" x="857"/>
        <item h="1" m="1" x="858"/>
        <item h="1" m="1" x="859"/>
        <item h="1" m="1" x="860"/>
        <item h="1" m="1" x="861"/>
        <item h="1" m="1" x="862"/>
        <item h="1" m="1" x="863"/>
        <item h="1" m="1" x="864"/>
        <item h="1" m="1" x="865"/>
        <item h="1" m="1" x="866"/>
        <item h="1" m="1" x="867"/>
        <item h="1" m="1" x="868"/>
        <item h="1" m="1" x="869"/>
        <item h="1" m="1" x="870"/>
        <item h="1" m="1" x="871"/>
        <item h="1" m="1" x="872"/>
        <item h="1" m="1" x="873"/>
        <item h="1" m="1" x="874"/>
        <item h="1" m="1" x="875"/>
        <item h="1" m="1" x="876"/>
        <item h="1" m="1" x="877"/>
        <item h="1" m="1" x="878"/>
        <item h="1" m="1" x="879"/>
        <item h="1" m="1" x="880"/>
        <item h="1" m="1" x="881"/>
        <item h="1" m="1" x="882"/>
        <item h="1" m="1" x="1479"/>
        <item h="1" m="1" x="1369"/>
        <item h="1" m="1" x="433"/>
        <item h="1" m="1" x="434"/>
        <item h="1" m="1" x="435"/>
        <item h="1" m="1" x="436"/>
        <item h="1" m="1" x="437"/>
        <item h="1" m="1" x="439"/>
        <item h="1" m="1" x="69"/>
        <item h="1" m="1" x="70"/>
        <item h="1" m="1" x="73"/>
        <item h="1" m="1" x="82"/>
        <item h="1" m="1" x="86"/>
        <item h="1" m="1" x="89"/>
        <item h="1" m="1" x="91"/>
        <item h="1" m="1" x="93"/>
        <item h="1" m="1" x="553"/>
        <item h="1" m="1" x="100"/>
        <item h="1" m="1" x="101"/>
        <item h="1" m="1" x="108"/>
        <item h="1" m="1" x="111"/>
        <item h="1" m="1" x="113"/>
        <item h="1" m="1" x="126"/>
        <item h="1" m="1" x="128"/>
        <item h="1" m="1" x="131"/>
        <item h="1" m="1" x="132"/>
        <item h="1" m="1" x="133"/>
        <item h="1" m="1" x="136"/>
        <item h="1" m="1" x="147"/>
        <item h="1" m="1" x="148"/>
        <item h="1" m="1" x="150"/>
        <item h="1" m="1" x="151"/>
        <item h="1" m="1" x="152"/>
        <item h="1" m="1" x="153"/>
        <item h="1" m="1" x="1507"/>
        <item h="1" m="1" x="1436"/>
        <item h="1" m="1" x="1385"/>
        <item h="1" m="1" x="1006"/>
        <item h="1" m="1" x="1007"/>
        <item h="1" m="1" x="1008"/>
        <item h="1" m="1" x="1009"/>
        <item h="1" m="1" x="1010"/>
        <item h="1" m="1" x="1011"/>
        <item h="1" m="1" x="1012"/>
        <item h="1" m="1" x="1013"/>
        <item h="1" m="1" x="1014"/>
        <item h="1" m="1" x="1015"/>
        <item h="1" m="1" x="1016"/>
        <item h="1" m="1" x="1017"/>
        <item h="1" m="1" x="1018"/>
        <item h="1" m="1" x="1019"/>
        <item h="1" m="1" x="1020"/>
        <item h="1" m="1" x="1021"/>
        <item h="1" m="1" x="1022"/>
        <item h="1" m="1" x="1023"/>
        <item h="1" m="1" x="1024"/>
        <item h="1" m="1" x="1025"/>
        <item h="1" m="1" x="1026"/>
        <item h="1" m="1" x="1027"/>
        <item h="1" m="1" x="1028"/>
        <item h="1" m="1" x="1029"/>
        <item h="1" m="1" x="1240"/>
        <item h="1" m="1" x="1241"/>
        <item h="1" m="1" x="1242"/>
        <item h="1" m="1" x="1243"/>
        <item h="1" m="1" x="1244"/>
        <item h="1" m="1" x="1245"/>
        <item h="1" m="1" x="1246"/>
        <item h="1" m="1" x="172"/>
        <item h="1" m="1" x="233"/>
        <item h="1" m="1" x="234"/>
        <item h="1" m="1" x="236"/>
        <item h="1" m="1" x="253"/>
        <item h="1" m="1" x="259"/>
        <item h="1" m="1" x="724"/>
        <item h="1" m="1" x="1218"/>
        <item h="1" m="1" x="1230"/>
        <item h="1" m="1" x="1236"/>
        <item h="1" m="1" x="1237"/>
        <item h="1" m="1" x="1232"/>
        <item h="1" m="1" x="1405"/>
        <item h="1" m="1" x="1341"/>
        <item h="1" m="1" x="1505"/>
        <item h="1" m="1" x="1373"/>
        <item h="1" m="1" x="944"/>
        <item h="1" m="1" x="649"/>
        <item h="1" m="1" x="650"/>
        <item h="1" m="1" x="651"/>
        <item h="1" m="1" x="652"/>
        <item h="1" m="1" x="1435"/>
        <item h="1" m="1" x="1462"/>
        <item h="1" m="1" x="1488"/>
        <item h="1" m="1" x="1509"/>
        <item h="1" m="1" x="1481"/>
        <item h="1" m="1" x="1517"/>
        <item h="1" m="1" x="1297"/>
        <item h="1" m="1" x="1304"/>
        <item h="1" m="1" x="1338"/>
        <item h="1" m="1" x="1295"/>
        <item h="1" m="1" x="1426"/>
        <item h="1" m="1" x="755"/>
        <item h="1" m="1" x="757"/>
        <item h="1" m="1" x="758"/>
        <item h="1" m="1" x="760"/>
        <item h="1" m="1" x="761"/>
        <item h="1" m="1" x="765"/>
        <item h="1" m="1" x="766"/>
        <item h="1" m="1" x="1247"/>
        <item h="1" m="1" x="1248"/>
        <item h="1" m="1" x="1249"/>
        <item h="1" m="1" x="1250"/>
        <item t="default"/>
      </items>
    </pivotField>
    <pivotField compact="0" outline="0" subtotalTop="0" showAll="0">
      <items count="2859">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3"/>
        <item m="1" x="524"/>
        <item m="1" x="525"/>
        <item m="1" x="526"/>
        <item m="1" x="527"/>
        <item m="1" x="528"/>
        <item m="1" x="529"/>
        <item m="1" x="530"/>
        <item m="1" x="531"/>
        <item m="1" x="532"/>
        <item m="1" x="533"/>
        <item m="1" x="534"/>
        <item m="1" x="535"/>
        <item m="1" x="1844"/>
        <item m="1" x="1848"/>
        <item m="1" x="1840"/>
        <item m="1" x="1823"/>
        <item m="1" x="1824"/>
        <item m="1" x="1825"/>
        <item m="1" x="1826"/>
        <item m="1" x="1827"/>
        <item m="1" x="1828"/>
        <item m="1" x="1829"/>
        <item m="1" x="1830"/>
        <item m="1" x="1831"/>
        <item m="1" x="1832"/>
        <item m="1" x="1833"/>
        <item m="1" x="1834"/>
        <item m="1" x="1835"/>
        <item m="1" x="1836"/>
        <item m="1" x="1837"/>
        <item m="1" x="1838"/>
        <item m="1" x="1839"/>
        <item m="1" x="1841"/>
        <item m="1" x="1842"/>
        <item m="1" x="1843"/>
        <item m="1" x="1845"/>
        <item m="1" x="1846"/>
        <item m="1" x="1847"/>
        <item m="1" x="1849"/>
        <item m="1" x="1850"/>
        <item m="1" x="1133"/>
        <item m="1" x="1134"/>
        <item m="1" x="1135"/>
        <item m="1" x="1136"/>
        <item m="1" x="1137"/>
        <item m="1" x="1138"/>
        <item m="1" x="1139"/>
        <item m="1" x="1140"/>
        <item m="1" x="1141"/>
        <item m="1" x="1142"/>
        <item m="1" x="1143"/>
        <item m="1" x="1144"/>
        <item m="1" x="1145"/>
        <item m="1" x="1146"/>
        <item m="1" x="1147"/>
        <item m="1" x="1148"/>
        <item m="1" x="1149"/>
        <item m="1" x="1150"/>
        <item m="1" x="1151"/>
        <item m="1" x="1152"/>
        <item m="1" x="1153"/>
        <item m="1" x="1154"/>
        <item m="1" x="1155"/>
        <item m="1" x="1156"/>
        <item m="1" x="1157"/>
        <item m="1" x="1158"/>
        <item m="1" x="1159"/>
        <item m="1" x="1160"/>
        <item m="1" x="1161"/>
        <item m="1" x="1162"/>
        <item m="1" x="1163"/>
        <item m="1" x="1164"/>
        <item m="1" x="1165"/>
        <item m="1" x="1166"/>
        <item m="1" x="1167"/>
        <item m="1" x="1168"/>
        <item m="1" x="1169"/>
        <item m="1" x="1170"/>
        <item m="1" x="1171"/>
        <item m="1" x="1172"/>
        <item m="1" x="1173"/>
        <item m="1" x="1174"/>
        <item m="1" x="1175"/>
        <item m="1" x="1176"/>
        <item m="1" x="1177"/>
        <item m="1" x="1178"/>
        <item m="1" x="1179"/>
        <item m="1" x="1180"/>
        <item m="1" x="685"/>
        <item m="1" x="602"/>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639"/>
        <item m="1" x="640"/>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6"/>
        <item m="1" x="687"/>
        <item m="1" x="688"/>
        <item m="1" x="689"/>
        <item m="1" x="690"/>
        <item m="1" x="691"/>
        <item m="1" x="692"/>
        <item m="1" x="383"/>
        <item m="1" x="384"/>
        <item m="1" x="386"/>
        <item m="1" x="387"/>
        <item m="1" x="389"/>
        <item m="1" x="390"/>
        <item m="1" x="391"/>
        <item m="1" x="392"/>
        <item m="1" x="393"/>
        <item m="1" x="394"/>
        <item m="1" x="395"/>
        <item m="1" x="396"/>
        <item m="1" x="397"/>
        <item m="1" x="398"/>
        <item m="1" x="399"/>
        <item m="1" x="385"/>
        <item m="1" x="382"/>
        <item m="1" x="388"/>
        <item m="1" x="2375"/>
        <item m="1" x="2376"/>
        <item m="1" x="2377"/>
        <item m="1" x="2378"/>
        <item m="1" x="2379"/>
        <item m="1" x="2380"/>
        <item m="1" x="2381"/>
        <item m="1" x="2383"/>
        <item m="1" x="2385"/>
        <item m="1" x="2386"/>
        <item m="1" x="2387"/>
        <item m="1" x="2392"/>
        <item m="1" x="2393"/>
        <item m="1" x="2394"/>
        <item m="1" x="416"/>
        <item m="1" x="417"/>
        <item m="1" x="418"/>
        <item m="1" x="419"/>
        <item m="1" x="420"/>
        <item m="1" x="421"/>
        <item m="1" x="422"/>
        <item m="1" x="423"/>
        <item m="1" x="424"/>
        <item m="1" x="425"/>
        <item m="1" x="432"/>
        <item m="1" x="433"/>
        <item m="1" x="434"/>
        <item m="1" x="435"/>
        <item m="1" x="436"/>
        <item m="1" x="437"/>
        <item m="1" x="426"/>
        <item m="1" x="427"/>
        <item m="1" x="428"/>
        <item m="1" x="438"/>
        <item m="1" x="429"/>
        <item m="1" x="430"/>
        <item m="1" x="431"/>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m="1" x="596"/>
        <item m="1" x="597"/>
        <item m="1" x="598"/>
        <item m="1" x="599"/>
        <item m="1" x="600"/>
        <item m="1" x="601"/>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1618"/>
        <item m="1" x="1631"/>
        <item m="1" x="1641"/>
        <item m="1" x="1651"/>
        <item m="1" x="1657"/>
        <item m="1" x="1617"/>
        <item m="1" x="1619"/>
        <item m="1" x="1620"/>
        <item m="1" x="1621"/>
        <item m="1" x="1622"/>
        <item m="1" x="1623"/>
        <item m="1" x="1624"/>
        <item m="1" x="1625"/>
        <item m="1" x="1626"/>
        <item m="1" x="1627"/>
        <item m="1" x="1628"/>
        <item m="1" x="1629"/>
        <item m="1" x="1630"/>
        <item m="1" x="1632"/>
        <item m="1" x="1633"/>
        <item m="1" x="1634"/>
        <item m="1" x="1635"/>
        <item m="1" x="1636"/>
        <item m="1" x="1637"/>
        <item m="1" x="1638"/>
        <item m="1" x="1639"/>
        <item m="1" x="1640"/>
        <item m="1" x="1642"/>
        <item m="1" x="1643"/>
        <item m="1" x="1644"/>
        <item m="1" x="1645"/>
        <item m="1" x="1646"/>
        <item m="1" x="1647"/>
        <item m="1" x="1648"/>
        <item m="1" x="1649"/>
        <item m="1" x="1650"/>
        <item m="1" x="1652"/>
        <item m="1" x="1653"/>
        <item m="1" x="1654"/>
        <item m="1" x="1655"/>
        <item m="1" x="1656"/>
        <item m="1" x="1658"/>
        <item m="1" x="1659"/>
        <item m="1" x="1660"/>
        <item m="1" x="1661"/>
        <item m="1" x="1662"/>
        <item m="1" x="1663"/>
        <item m="1" x="1664"/>
        <item m="1" x="1665"/>
        <item m="1" x="2289"/>
        <item m="1" x="1666"/>
        <item m="1" x="1667"/>
        <item m="1" x="1668"/>
        <item m="1" x="1669"/>
        <item m="1" x="1670"/>
        <item m="1" x="1671"/>
        <item m="1" x="1672"/>
        <item m="1" x="1673"/>
        <item m="1" x="1674"/>
        <item m="1" x="1675"/>
        <item m="1" x="1676"/>
        <item m="1" x="1677"/>
        <item m="1" x="1678"/>
        <item m="1" x="1679"/>
        <item m="1" x="1680"/>
        <item m="1" x="1681"/>
        <item m="1" x="1682"/>
        <item m="1" x="1683"/>
        <item m="1" x="1684"/>
        <item m="1" x="1685"/>
        <item m="1" x="1686"/>
        <item m="1" x="1687"/>
        <item m="1" x="1688"/>
        <item m="1" x="1689"/>
        <item m="1" x="1690"/>
        <item m="1" x="1691"/>
        <item m="1" x="1692"/>
        <item m="1" x="1693"/>
        <item m="1" x="1694"/>
        <item m="1" x="1695"/>
        <item m="1" x="1696"/>
        <item m="1" x="1697"/>
        <item m="1" x="1698"/>
        <item m="1" x="1699"/>
        <item m="1" x="1700"/>
        <item m="1" x="1701"/>
        <item m="1" x="1702"/>
        <item m="1" x="1703"/>
        <item m="1" x="1704"/>
        <item m="1" x="1705"/>
        <item x="23"/>
        <item x="3"/>
        <item x="24"/>
        <item x="6"/>
        <item x="20"/>
        <item x="4"/>
        <item x="28"/>
        <item x="29"/>
        <item x="25"/>
        <item x="22"/>
        <item x="0"/>
        <item x="1"/>
        <item x="2"/>
        <item x="26"/>
        <item x="7"/>
        <item x="8"/>
        <item x="21"/>
        <item x="5"/>
        <item x="27"/>
        <item x="9"/>
        <item x="16"/>
        <item x="10"/>
        <item x="18"/>
        <item x="11"/>
        <item x="30"/>
        <item x="19"/>
        <item x="13"/>
        <item x="15"/>
        <item x="12"/>
        <item x="17"/>
        <item x="14"/>
        <item m="1" x="2474"/>
        <item m="1" x="2475"/>
        <item m="1" x="2476"/>
        <item m="1" x="2477"/>
        <item m="1" x="2478"/>
        <item m="1" x="2479"/>
        <item m="1" x="2480"/>
        <item m="1" x="2481"/>
        <item m="1" x="2482"/>
        <item m="1" x="2483"/>
        <item m="1" x="2484"/>
        <item m="1" x="2485"/>
        <item m="1" x="1598"/>
        <item m="1" x="1599"/>
        <item m="1" x="1600"/>
        <item m="1" x="1601"/>
        <item m="1" x="1602"/>
        <item m="1" x="1603"/>
        <item m="1" x="1604"/>
        <item m="1" x="1605"/>
        <item m="1" x="1606"/>
        <item m="1" x="1607"/>
        <item m="1" x="1608"/>
        <item m="1" x="1609"/>
        <item m="1" x="1610"/>
        <item m="1" x="1611"/>
        <item m="1" x="1612"/>
        <item m="1" x="1613"/>
        <item m="1" x="1614"/>
        <item m="1" x="1615"/>
        <item m="1" x="1616"/>
        <item m="1" x="2573"/>
        <item m="1" x="2772"/>
        <item m="1" x="2580"/>
        <item m="1" x="2791"/>
        <item m="1" x="2595"/>
        <item m="1" x="2805"/>
        <item m="1" x="2610"/>
        <item m="1" x="2823"/>
        <item m="1" x="2623"/>
        <item m="1" x="2645"/>
        <item m="1" x="2665"/>
        <item m="1" x="2679"/>
        <item m="1" x="2694"/>
        <item m="1" x="2712"/>
        <item m="1" x="2642"/>
        <item m="1" x="2736"/>
        <item m="1" x="2800"/>
        <item m="1" x="2614"/>
        <item m="1" x="2656"/>
        <item m="1" x="2743"/>
        <item m="1" x="2806"/>
        <item m="1" x="2619"/>
        <item m="1" x="2773"/>
        <item m="1" x="2567"/>
        <item m="1" x="2775"/>
        <item m="1" x="2568"/>
        <item m="1" x="2576"/>
        <item m="1" x="2753"/>
        <item m="1" x="2581"/>
        <item m="1" x="2758"/>
        <item m="1" x="2590"/>
        <item m="1" x="2763"/>
        <item m="1" x="2597"/>
        <item m="1" x="2792"/>
        <item m="1" x="2606"/>
        <item m="1" x="2781"/>
        <item m="1" x="2612"/>
        <item m="1" x="2793"/>
        <item m="1" x="2677"/>
        <item m="1" x="2833"/>
        <item m="1" x="2766"/>
        <item m="1" x="2740"/>
        <item m="1" x="2574"/>
        <item m="1" x="2634"/>
        <item m="1" x="2692"/>
        <item m="1" x="2788"/>
        <item m="1" x="2585"/>
        <item m="1" x="2647"/>
        <item m="1" x="2701"/>
        <item m="1" x="2798"/>
        <item m="1" x="2591"/>
        <item m="1" x="2632"/>
        <item m="1" x="2639"/>
        <item m="1" x="2818"/>
        <item m="1" x="2691"/>
        <item m="1" x="2826"/>
        <item m="1" x="2700"/>
        <item m="1" x="2839"/>
        <item m="1" x="2710"/>
        <item m="1" x="2648"/>
        <item m="1" x="2844"/>
        <item m="1" x="2560"/>
        <item m="1" x="2786"/>
        <item m="1" x="2659"/>
        <item m="1" x="2674"/>
        <item m="1" x="2747"/>
        <item m="1" x="2794"/>
        <item m="1" x="2668"/>
        <item m="1" x="2683"/>
        <item m="1" x="2752"/>
        <item m="1" x="2802"/>
        <item m="1" x="2675"/>
        <item m="1" x="2688"/>
        <item m="1" x="2756"/>
        <item m="1" x="2808"/>
        <item m="1" x="2684"/>
        <item m="1" x="2696"/>
        <item m="1" x="2762"/>
        <item m="1" x="2689"/>
        <item m="1" x="2706"/>
        <item m="1" x="2770"/>
        <item m="1" x="2697"/>
        <item m="1" x="2713"/>
        <item m="1" x="2780"/>
        <item m="1" x="2836"/>
        <item m="1" x="2707"/>
        <item m="1" x="2723"/>
        <item m="1" x="2790"/>
        <item m="1" x="2849"/>
        <item m="1" x="2714"/>
        <item m="1" x="2583"/>
        <item m="1" x="2768"/>
        <item m="1" x="2778"/>
        <item m="1" x="2649"/>
        <item m="1" x="2738"/>
        <item m="1" x="2787"/>
        <item m="1" x="2660"/>
        <item m="1" x="2676"/>
        <item m="1" x="2748"/>
        <item m="1" x="2795"/>
        <item m="1" x="2670"/>
        <item m="1" x="2777"/>
        <item m="1" x="2641"/>
        <item m="1" x="2838"/>
        <item m="1" x="2589"/>
        <item m="1" x="2613"/>
        <item m="1" x="2655"/>
        <item m="1" x="2618"/>
        <item m="1" x="2664"/>
        <item m="1" x="2857"/>
        <item m="1" x="2624"/>
        <item m="1" x="2672"/>
        <item m="1" x="2629"/>
        <item m="1" x="2761"/>
        <item m="1" x="2261"/>
        <item m="1" x="2262"/>
        <item m="1" x="2263"/>
        <item m="1" x="2264"/>
        <item m="1" x="2265"/>
        <item m="1" x="2266"/>
        <item m="1" x="2267"/>
        <item m="1" x="2268"/>
        <item m="1" x="2269"/>
        <item m="1" x="2270"/>
        <item m="1" x="2271"/>
        <item m="1" x="2272"/>
        <item m="1" x="2273"/>
        <item m="1" x="2274"/>
        <item m="1" x="2275"/>
        <item m="1" x="2276"/>
        <item m="1" x="2277"/>
        <item m="1" x="2278"/>
        <item m="1" x="2279"/>
        <item m="1" x="2280"/>
        <item m="1" x="2281"/>
        <item m="1" x="2282"/>
        <item m="1" x="2283"/>
        <item m="1" x="2284"/>
        <item m="1" x="2285"/>
        <item m="1" x="2286"/>
        <item m="1" x="2287"/>
        <item m="1" x="2288"/>
        <item m="1" x="1423"/>
        <item m="1" x="1424"/>
        <item m="1" x="1425"/>
        <item m="1" x="1426"/>
        <item m="1" x="1427"/>
        <item m="1" x="1428"/>
        <item m="1" x="1429"/>
        <item m="1" x="1430"/>
        <item m="1" x="1431"/>
        <item m="1" x="1432"/>
        <item m="1" x="1433"/>
        <item m="1" x="1434"/>
        <item m="1" x="1435"/>
        <item m="1" x="1436"/>
        <item m="1" x="1437"/>
        <item m="1" x="1438"/>
        <item m="1" x="1439"/>
        <item m="1" x="1440"/>
        <item m="1" x="1441"/>
        <item m="1" x="1442"/>
        <item m="1" x="1443"/>
        <item m="1" x="1444"/>
        <item m="1" x="1445"/>
        <item m="1" x="1446"/>
        <item m="1" x="1447"/>
        <item m="1" x="1448"/>
        <item m="1" x="1449"/>
        <item m="1" x="1450"/>
        <item m="1" x="1451"/>
        <item m="1" x="1452"/>
        <item m="1" x="1453"/>
        <item m="1" x="1454"/>
        <item m="1" x="1455"/>
        <item m="1" x="1456"/>
        <item m="1" x="1457"/>
        <item m="1" x="1458"/>
        <item m="1" x="1459"/>
        <item m="1" x="1460"/>
        <item m="1" x="1461"/>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522"/>
        <item m="1" x="1274"/>
        <item m="1" x="1275"/>
        <item m="1" x="1276"/>
        <item m="1" x="1277"/>
        <item m="1" x="1278"/>
        <item m="1" x="1279"/>
        <item m="1" x="1280"/>
        <item m="1" x="1281"/>
        <item m="1" x="1282"/>
        <item m="1" x="1283"/>
        <item m="1" x="1284"/>
        <item m="1" x="1285"/>
        <item m="1" x="1286"/>
        <item m="1" x="1287"/>
        <item m="1" x="1288"/>
        <item m="1" x="1289"/>
        <item m="1" x="1290"/>
        <item m="1" x="1291"/>
        <item m="1" x="1292"/>
        <item m="1" x="1293"/>
        <item m="1" x="1294"/>
        <item m="1" x="1295"/>
        <item m="1" x="1296"/>
        <item m="1" x="1297"/>
        <item m="1" x="1298"/>
        <item m="1" x="1299"/>
        <item m="1" x="1300"/>
        <item m="1" x="1301"/>
        <item m="1" x="1302"/>
        <item m="1" x="1303"/>
        <item m="1" x="1304"/>
        <item m="1" x="1305"/>
        <item m="1" x="1306"/>
        <item m="1" x="1307"/>
        <item m="1" x="1308"/>
        <item m="1" x="1309"/>
        <item m="1" x="1310"/>
        <item m="1" x="1311"/>
        <item m="1" x="1312"/>
        <item m="1" x="1313"/>
        <item m="1" x="1314"/>
        <item m="1" x="2468"/>
        <item m="1" x="2457"/>
        <item m="1" x="2461"/>
        <item m="1" x="2466"/>
        <item m="1" x="2459"/>
        <item m="1" x="2472"/>
        <item m="1" x="2473"/>
        <item m="1" x="2471"/>
        <item m="1" x="2463"/>
        <item m="1" x="2465"/>
        <item m="1" x="2470"/>
        <item m="1" x="2464"/>
        <item m="1" x="2467"/>
        <item m="1" x="2456"/>
        <item m="1" x="2460"/>
        <item m="1" x="2469"/>
        <item m="1" x="2462"/>
        <item m="1" x="2458"/>
        <item m="1" x="2455"/>
        <item m="1" x="2851"/>
        <item m="1" x="2716"/>
        <item m="1" x="2680"/>
        <item m="1" x="2559"/>
        <item m="1" x="2673"/>
        <item m="1" x="2782"/>
        <item m="1" x="2726"/>
        <item m="1" x="2737"/>
        <item m="1" x="2750"/>
        <item m="1" x="2693"/>
        <item m="1" x="2711"/>
        <item m="1" x="2779"/>
        <item m="1" x="2776"/>
        <item m="1" x="2807"/>
        <item m="1" x="2588"/>
        <item m="1" x="2617"/>
        <item m="1" x="2722"/>
        <item m="1" x="2744"/>
        <item m="1" x="2789"/>
        <item m="1" x="2804"/>
        <item m="1" x="2820"/>
        <item m="1" x="2650"/>
        <item m="1" x="2754"/>
        <item m="1" x="2628"/>
        <item m="1" x="2640"/>
        <item m="1" x="2600"/>
        <item m="1" x="2598"/>
        <item m="1" x="2827"/>
        <item m="1" x="2625"/>
        <item m="1" x="2840"/>
        <item m="1" x="2630"/>
        <item m="1" x="2809"/>
        <item m="1" x="2685"/>
        <item m="1" x="2699"/>
        <item m="1" x="2715"/>
        <item m="1" x="2643"/>
        <item m="1" x="2678"/>
        <item m="1" x="2745"/>
        <item m="1" x="2755"/>
        <item m="1" x="1040"/>
        <item m="1" x="1041"/>
        <item m="1" x="1042"/>
        <item m="1" x="1043"/>
        <item m="1" x="1044"/>
        <item m="1" x="1045"/>
        <item m="1" x="1046"/>
        <item m="1" x="1047"/>
        <item m="1" x="1048"/>
        <item m="1" x="1049"/>
        <item m="1" x="1050"/>
        <item m="1" x="1051"/>
        <item m="1" x="1052"/>
        <item m="1" x="1053"/>
        <item m="1" x="1054"/>
        <item m="1" x="1055"/>
        <item m="1" x="1056"/>
        <item m="1" x="1057"/>
        <item m="1" x="1058"/>
        <item m="1" x="1059"/>
        <item m="1" x="1060"/>
        <item m="1" x="1061"/>
        <item m="1" x="1062"/>
        <item m="1" x="1063"/>
        <item m="1" x="1064"/>
        <item m="1" x="1065"/>
        <item m="1" x="1066"/>
        <item m="1" x="1067"/>
        <item m="1" x="1068"/>
        <item m="1" x="1069"/>
        <item m="1" x="1070"/>
        <item m="1" x="1071"/>
        <item m="1" x="1072"/>
        <item m="1" x="1073"/>
        <item m="1" x="1074"/>
        <item m="1" x="1075"/>
        <item m="1" x="1076"/>
        <item m="1" x="1077"/>
        <item m="1" x="1078"/>
        <item m="1" x="1079"/>
        <item m="1" x="1080"/>
        <item m="1" x="1081"/>
        <item m="1" x="1082"/>
        <item m="1" x="1083"/>
        <item m="1" x="1084"/>
        <item m="1" x="1085"/>
        <item m="1" x="1086"/>
        <item m="1" x="1087"/>
        <item m="1" x="1088"/>
        <item m="1" x="1089"/>
        <item m="1" x="1090"/>
        <item m="1" x="1091"/>
        <item m="1" x="1092"/>
        <item m="1" x="1093"/>
        <item m="1" x="1094"/>
        <item m="1" x="1095"/>
        <item m="1" x="1096"/>
        <item m="1" x="1097"/>
        <item m="1" x="1098"/>
        <item m="1" x="1099"/>
        <item m="1" x="1100"/>
        <item m="1" x="1101"/>
        <item m="1" x="1102"/>
        <item m="1" x="1103"/>
        <item m="1" x="1104"/>
        <item m="1" x="1105"/>
        <item m="1" x="1106"/>
        <item m="1" x="1107"/>
        <item m="1" x="1108"/>
        <item m="1" x="1109"/>
        <item m="1" x="1110"/>
        <item m="1" x="1111"/>
        <item m="1" x="1112"/>
        <item m="1" x="1113"/>
        <item m="1" x="1114"/>
        <item m="1" x="1115"/>
        <item m="1" x="1116"/>
        <item m="1" x="1117"/>
        <item m="1" x="1118"/>
        <item m="1" x="1119"/>
        <item m="1" x="1120"/>
        <item m="1" x="1121"/>
        <item m="1" x="1122"/>
        <item m="1" x="1123"/>
        <item m="1" x="1124"/>
        <item m="1" x="1125"/>
        <item m="1" x="1126"/>
        <item m="1" x="1127"/>
        <item m="1" x="1128"/>
        <item m="1" x="1129"/>
        <item m="1" x="1130"/>
        <item m="1" x="1131"/>
        <item m="1" x="1132"/>
        <item m="1" x="2553"/>
        <item m="1" x="1775"/>
        <item m="1" x="1776"/>
        <item m="1" x="1777"/>
        <item m="1" x="1778"/>
        <item m="1" x="1779"/>
        <item m="1" x="1780"/>
        <item m="1" x="1781"/>
        <item m="1" x="1782"/>
        <item m="1" x="1783"/>
        <item m="1" x="1784"/>
        <item m="1" x="1785"/>
        <item m="1" x="1786"/>
        <item m="1" x="1787"/>
        <item m="1" x="1788"/>
        <item m="1" x="1789"/>
        <item m="1" x="1790"/>
        <item m="1" x="1791"/>
        <item m="1" x="1792"/>
        <item m="1" x="1793"/>
        <item m="1" x="1794"/>
        <item m="1" x="1795"/>
        <item m="1" x="1796"/>
        <item m="1" x="1797"/>
        <item m="1" x="1798"/>
        <item m="1" x="1799"/>
        <item m="1" x="1800"/>
        <item m="1" x="1801"/>
        <item m="1" x="1802"/>
        <item m="1" x="1803"/>
        <item m="1" x="1804"/>
        <item m="1" x="1805"/>
        <item m="1" x="1806"/>
        <item m="1" x="1807"/>
        <item m="1" x="1808"/>
        <item m="1" x="1809"/>
        <item m="1" x="1810"/>
        <item m="1" x="1811"/>
        <item m="1" x="1812"/>
        <item m="1" x="1813"/>
        <item m="1" x="1814"/>
        <item m="1" x="1815"/>
        <item m="1" x="1816"/>
        <item m="1" x="1817"/>
        <item m="1" x="1818"/>
        <item m="1" x="1819"/>
        <item m="1" x="1820"/>
        <item m="1" x="1821"/>
        <item m="1" x="1822"/>
        <item m="1" x="2556"/>
        <item m="1" x="2853"/>
        <item m="1" x="2719"/>
        <item m="1" x="2682"/>
        <item m="1" x="2774"/>
        <item m="1" x="2731"/>
        <item m="1" x="2603"/>
        <item m="1" x="2621"/>
        <item m="1" x="2654"/>
        <item m="1" x="2825"/>
        <item m="1" x="2733"/>
        <item m="1" x="2698"/>
        <item m="1" x="2837"/>
        <item m="1" x="2708"/>
        <item m="1" x="2769"/>
        <item m="1" x="2671"/>
        <item m="1" x="2830"/>
        <item m="1" x="2843"/>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m="1" x="1006"/>
        <item m="1" x="1007"/>
        <item m="1" x="1008"/>
        <item m="1" x="1009"/>
        <item m="1" x="1010"/>
        <item m="1" x="1011"/>
        <item m="1" x="1012"/>
        <item m="1" x="1013"/>
        <item m="1" x="1014"/>
        <item m="1" x="1015"/>
        <item m="1" x="1016"/>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2816"/>
        <item m="1" x="978"/>
        <item m="1" x="979"/>
        <item m="1" x="980"/>
        <item m="1" x="981"/>
        <item m="1" x="982"/>
        <item m="1" x="983"/>
        <item m="1" x="984"/>
        <item m="1" x="1764"/>
        <item m="1" x="1765"/>
        <item m="1" x="1766"/>
        <item m="1" x="1767"/>
        <item m="1" x="1768"/>
        <item m="1" x="1769"/>
        <item m="1" x="1770"/>
        <item m="1" x="1771"/>
        <item m="1" x="1772"/>
        <item m="1" x="1773"/>
        <item m="1" x="1774"/>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33"/>
        <item m="1" x="777"/>
        <item m="1" x="778"/>
        <item m="1" x="779"/>
        <item m="1" x="780"/>
        <item m="1" x="781"/>
        <item m="1" x="782"/>
        <item m="1" x="783"/>
        <item m="1" x="784"/>
        <item m="1" x="734"/>
        <item m="1" x="785"/>
        <item m="1" x="786"/>
        <item m="1" x="735"/>
        <item m="1" x="787"/>
        <item m="1" x="788"/>
        <item m="1" x="789"/>
        <item m="1" x="790"/>
        <item m="1" x="791"/>
        <item m="1" x="792"/>
        <item m="1" x="736"/>
        <item m="1" x="793"/>
        <item m="1" x="794"/>
        <item m="1" x="795"/>
        <item m="1" x="796"/>
        <item m="1" x="797"/>
        <item m="1" x="798"/>
        <item m="1" x="799"/>
        <item m="1" x="800"/>
        <item m="1" x="801"/>
        <item m="1" x="802"/>
        <item m="1" x="803"/>
        <item m="1" x="804"/>
        <item m="1" x="737"/>
        <item m="1" x="805"/>
        <item m="1" x="806"/>
        <item m="1" x="807"/>
        <item m="1" x="808"/>
        <item m="1" x="809"/>
        <item m="1" x="810"/>
        <item m="1" x="811"/>
        <item m="1" x="812"/>
        <item m="1" x="813"/>
        <item m="1" x="814"/>
        <item m="1" x="815"/>
        <item m="1" x="816"/>
        <item m="1" x="817"/>
        <item m="1" x="818"/>
        <item m="1" x="738"/>
        <item m="1" x="819"/>
        <item m="1" x="820"/>
        <item m="1" x="821"/>
        <item m="1" x="822"/>
        <item m="1" x="823"/>
        <item m="1" x="824"/>
        <item m="1" x="825"/>
        <item m="1" x="826"/>
        <item m="1" x="827"/>
        <item m="1" x="828"/>
        <item m="1" x="829"/>
        <item m="1" x="830"/>
        <item m="1" x="831"/>
        <item m="1" x="832"/>
        <item m="1" x="833"/>
        <item m="1" x="739"/>
        <item m="1" x="834"/>
        <item m="1" x="835"/>
        <item m="1" x="836"/>
        <item m="1" x="837"/>
        <item m="1" x="838"/>
        <item m="1" x="839"/>
        <item m="1" x="840"/>
        <item m="1" x="841"/>
        <item m="1" x="842"/>
        <item m="1" x="843"/>
        <item m="1" x="844"/>
        <item m="1" x="845"/>
        <item m="1" x="846"/>
        <item m="1" x="2616"/>
        <item m="1" x="2741"/>
        <item m="1" x="2563"/>
        <item m="1" x="2797"/>
        <item m="1" x="2811"/>
        <item m="1" x="2760"/>
        <item m="1" x="2577"/>
        <item m="1" x="2582"/>
        <item m="1" x="2579"/>
        <item m="1" x="2565"/>
        <item m="1" x="1878"/>
        <item m="1" x="1879"/>
        <item m="1" x="1880"/>
        <item m="1" x="1881"/>
        <item m="1" x="1882"/>
        <item m="1" x="1883"/>
        <item m="1" x="1884"/>
        <item m="1" x="1885"/>
        <item m="1" x="1886"/>
        <item m="1" x="1887"/>
        <item m="1" x="1888"/>
        <item m="1" x="1889"/>
        <item m="1" x="2351"/>
        <item m="1" x="2358"/>
        <item m="1" x="2324"/>
        <item m="1" x="2296"/>
        <item m="1" x="2305"/>
        <item m="1" x="2306"/>
        <item m="1" x="1181"/>
        <item m="1" x="1182"/>
        <item m="1" x="1183"/>
        <item m="1" x="1184"/>
        <item m="1" x="1185"/>
        <item m="1" x="1186"/>
        <item m="1" x="1187"/>
        <item m="1" x="1188"/>
        <item m="1" x="1189"/>
        <item m="1" x="1190"/>
        <item m="1" x="1191"/>
        <item m="1" x="1192"/>
        <item m="1" x="1193"/>
        <item m="1" x="1194"/>
        <item m="1" x="1195"/>
        <item m="1" x="1196"/>
        <item m="1" x="1197"/>
        <item m="1" x="1198"/>
        <item m="1" x="1199"/>
        <item m="1" x="1200"/>
        <item m="1" x="1201"/>
        <item m="1" x="1202"/>
        <item m="1" x="1203"/>
        <item m="1" x="1204"/>
        <item m="1" x="1205"/>
        <item m="1" x="1206"/>
        <item m="1" x="2354"/>
        <item m="1" x="2307"/>
        <item m="1" x="2325"/>
        <item m="1" x="2297"/>
        <item m="1" x="2290"/>
        <item m="1" x="2359"/>
        <item m="1" x="2368"/>
        <item m="1" x="2338"/>
        <item m="1" x="2355"/>
        <item m="1" x="2369"/>
        <item m="1" x="2298"/>
        <item m="1" x="2308"/>
        <item m="1" x="2343"/>
        <item m="1" x="2309"/>
        <item m="1" x="2344"/>
        <item m="1" x="2345"/>
        <item m="1" x="2328"/>
        <item m="1" x="2352"/>
        <item m="1" x="2310"/>
        <item m="1" x="2291"/>
        <item m="1" x="2360"/>
        <item m="1" x="2370"/>
        <item m="1" x="2339"/>
        <item m="1" x="2356"/>
        <item m="1" x="2371"/>
        <item m="1" x="2299"/>
        <item m="1" x="2311"/>
        <item m="1" x="2346"/>
        <item m="1" x="1207"/>
        <item m="1" x="1208"/>
        <item m="1" x="1209"/>
        <item m="1" x="1210"/>
        <item m="1" x="1211"/>
        <item m="1" x="1212"/>
        <item m="1" x="1213"/>
        <item m="1" x="1214"/>
        <item m="1" x="1216"/>
        <item m="1" x="1217"/>
        <item m="1" x="1218"/>
        <item m="1" x="1219"/>
        <item m="1" x="1220"/>
        <item m="1" x="1221"/>
        <item m="1" x="1222"/>
        <item m="1" x="1223"/>
        <item m="1" x="1224"/>
        <item m="1" x="2353"/>
        <item m="1" x="1017"/>
        <item m="1" x="1018"/>
        <item m="1" x="1019"/>
        <item m="1" x="1020"/>
        <item m="1" x="1021"/>
        <item m="1" x="1022"/>
        <item m="1" x="1225"/>
        <item m="1" x="1226"/>
        <item m="1" x="1227"/>
        <item m="1" x="1228"/>
        <item m="1" x="1229"/>
        <item m="1" x="1230"/>
        <item m="1" x="1231"/>
        <item m="1" x="2326"/>
        <item m="1" x="2292"/>
        <item m="1" x="2361"/>
        <item m="1" x="2312"/>
        <item m="1" x="2313"/>
        <item m="1" x="2350"/>
        <item m="1" x="2293"/>
        <item m="1" x="2294"/>
        <item m="1" x="2295"/>
        <item m="1" x="2300"/>
        <item m="1" x="2362"/>
        <item m="1" x="2363"/>
        <item m="1" x="2364"/>
        <item m="1" x="2365"/>
        <item m="1" x="2366"/>
        <item m="1" x="2357"/>
        <item m="1" x="2372"/>
        <item m="1" x="2301"/>
        <item m="1" x="2314"/>
        <item m="1" x="2340"/>
        <item m="1" x="2315"/>
        <item m="1" x="2316"/>
        <item m="1" x="2347"/>
        <item m="1" x="2348"/>
        <item m="1" x="2317"/>
        <item m="1" x="2318"/>
        <item m="1" x="2329"/>
        <item m="1" x="2330"/>
        <item m="1" x="2302"/>
        <item m="1" x="2374"/>
        <item m="1" x="2319"/>
        <item m="1" x="2320"/>
        <item m="1" x="2334"/>
        <item m="1" x="2335"/>
        <item m="1" x="2336"/>
        <item m="1" x="2333"/>
        <item m="1" x="2303"/>
        <item m="1" x="2367"/>
        <item m="1" x="2321"/>
        <item m="1" x="2331"/>
        <item m="1" x="2373"/>
        <item m="1" x="2349"/>
        <item m="1" x="2304"/>
        <item m="1" x="2322"/>
        <item m="1" x="2332"/>
        <item m="1" x="2323"/>
        <item m="1" x="1232"/>
        <item m="1" x="2663"/>
        <item m="1" x="2764"/>
        <item m="1" x="2486"/>
        <item m="1" x="2487"/>
        <item m="1" x="1233"/>
        <item m="1" x="1234"/>
        <item m="1" x="1235"/>
        <item m="1" x="1236"/>
        <item m="1" x="1237"/>
        <item m="1" x="1238"/>
        <item m="1" x="1239"/>
        <item m="1" x="1240"/>
        <item m="1" x="1241"/>
        <item m="1" x="1242"/>
        <item m="1" x="1243"/>
        <item m="1" x="2337"/>
        <item m="1" x="2488"/>
        <item m="1" x="2489"/>
        <item m="1" x="2490"/>
        <item m="1" x="2491"/>
        <item m="1" x="2492"/>
        <item m="1" x="2493"/>
        <item m="1" x="2494"/>
        <item m="1" x="2495"/>
        <item m="1" x="2496"/>
        <item m="1" x="2497"/>
        <item m="1" x="2498"/>
        <item m="1" x="2499"/>
        <item m="1" x="2500"/>
        <item m="1" x="2501"/>
        <item m="1" x="2502"/>
        <item m="1" x="2503"/>
        <item m="1" x="2504"/>
        <item m="1" x="2505"/>
        <item m="1" x="2506"/>
        <item m="1" x="2507"/>
        <item m="1" x="2508"/>
        <item m="1" x="2509"/>
        <item m="1" x="2510"/>
        <item m="1" x="2511"/>
        <item m="1" x="2512"/>
        <item m="1" x="2513"/>
        <item m="1" x="2514"/>
        <item m="1" x="2515"/>
        <item m="1" x="2516"/>
        <item m="1" x="2517"/>
        <item m="1" x="2518"/>
        <item m="1" x="2519"/>
        <item m="1" x="2520"/>
        <item m="1" x="2521"/>
        <item m="1" x="2522"/>
        <item m="1" x="2523"/>
        <item m="1" x="2524"/>
        <item m="1" x="2525"/>
        <item m="1" x="2526"/>
        <item m="1" x="2527"/>
        <item m="1" x="2528"/>
        <item m="1" x="2529"/>
        <item m="1" x="2530"/>
        <item m="1" x="2531"/>
        <item m="1" x="2532"/>
        <item m="1" x="2533"/>
        <item m="1" x="2534"/>
        <item m="1" x="2535"/>
        <item m="1" x="2536"/>
        <item m="1" x="2537"/>
        <item m="1" x="2538"/>
        <item m="1" x="2539"/>
        <item m="1" x="2540"/>
        <item m="1" x="2541"/>
        <item m="1" x="2542"/>
        <item m="1" x="2543"/>
        <item m="1" x="2544"/>
        <item m="1" x="2545"/>
        <item m="1" x="2546"/>
        <item m="1" x="2547"/>
        <item m="1" x="2548"/>
        <item m="1" x="2549"/>
        <item m="1" x="2550"/>
        <item m="1" x="2551"/>
        <item m="1" x="2552"/>
        <item m="1" x="1315"/>
        <item m="1" x="1316"/>
        <item m="1" x="1317"/>
        <item m="1" x="1318"/>
        <item m="1" x="1319"/>
        <item m="1" x="1320"/>
        <item m="1" x="1321"/>
        <item m="1" x="1322"/>
        <item m="1" x="1323"/>
        <item m="1" x="1324"/>
        <item m="1" x="1325"/>
        <item m="1" x="1326"/>
        <item m="1" x="1327"/>
        <item m="1" x="1328"/>
        <item m="1" x="1329"/>
        <item m="1" x="1330"/>
        <item m="1" x="1331"/>
        <item m="1" x="1332"/>
        <item m="1" x="1333"/>
        <item m="1" x="1334"/>
        <item m="1" x="1335"/>
        <item m="1" x="1336"/>
        <item m="1" x="1337"/>
        <item m="1" x="1338"/>
        <item m="1" x="1339"/>
        <item m="1" x="1340"/>
        <item m="1" x="1345"/>
        <item m="1" x="1346"/>
        <item m="1" x="1347"/>
        <item m="1" x="1348"/>
        <item m="1" x="1349"/>
        <item m="1" x="1351"/>
        <item m="1" x="1352"/>
        <item m="1" x="1353"/>
        <item m="1" x="1356"/>
        <item m="1" x="1357"/>
        <item m="1" x="1358"/>
        <item m="1" x="1359"/>
        <item m="1" x="1360"/>
        <item m="1" x="1363"/>
        <item m="1" x="1364"/>
        <item m="1" x="1365"/>
        <item m="1" x="1366"/>
        <item m="1" x="1368"/>
        <item m="1" x="1371"/>
        <item m="1" x="1374"/>
        <item m="1" x="1375"/>
        <item m="1" x="1376"/>
        <item m="1" x="1377"/>
        <item m="1" x="1379"/>
        <item m="1" x="1380"/>
        <item m="1" x="1383"/>
        <item m="1" x="1384"/>
        <item m="1" x="1386"/>
        <item m="1" x="1387"/>
        <item m="1" x="1390"/>
        <item m="1" x="1391"/>
        <item m="1" x="1393"/>
        <item m="1" x="1395"/>
        <item m="1" x="1396"/>
        <item m="1" x="1397"/>
        <item m="1" x="1398"/>
        <item m="1" x="1399"/>
        <item m="1" x="1400"/>
        <item m="1" x="1401"/>
        <item m="1" x="1402"/>
        <item m="1" x="1403"/>
        <item m="1" x="1404"/>
        <item m="1" x="1405"/>
        <item m="1" x="1406"/>
        <item m="1" x="1407"/>
        <item m="1" x="1408"/>
        <item m="1" x="1409"/>
        <item m="1" x="1410"/>
        <item m="1" x="1411"/>
        <item m="1" x="1412"/>
        <item m="1" x="1413"/>
        <item m="1" x="1414"/>
        <item m="1" x="1415"/>
        <item m="1" x="1416"/>
        <item m="1" x="1417"/>
        <item m="1" x="1418"/>
        <item m="1" x="1419"/>
        <item m="1" x="1420"/>
        <item m="1" x="1421"/>
        <item m="1" x="1422"/>
        <item m="1" x="1970"/>
        <item m="1" x="1971"/>
        <item m="1" x="1972"/>
        <item m="1" x="1973"/>
        <item m="1" x="1974"/>
        <item m="1" x="1975"/>
        <item m="1" x="1976"/>
        <item m="1" x="1977"/>
        <item m="1" x="1978"/>
        <item m="1" x="1979"/>
        <item m="1" x="1980"/>
        <item m="1" x="1981"/>
        <item m="1" x="1982"/>
        <item m="1" x="1983"/>
        <item m="1" x="1984"/>
        <item m="1" x="1985"/>
        <item m="1" x="1986"/>
        <item m="1" x="1987"/>
        <item m="1" x="1988"/>
        <item m="1" x="1989"/>
        <item m="1" x="1990"/>
        <item m="1" x="1991"/>
        <item m="1" x="1992"/>
        <item m="1" x="1993"/>
        <item m="1" x="1994"/>
        <item m="1" x="1995"/>
        <item m="1" x="1996"/>
        <item m="1" x="1997"/>
        <item m="1" x="1998"/>
        <item m="1" x="1999"/>
        <item m="1" x="2000"/>
        <item m="1" x="2001"/>
        <item m="1" x="2002"/>
        <item m="1" x="2003"/>
        <item m="1" x="2004"/>
        <item m="1" x="2005"/>
        <item m="1" x="2006"/>
        <item m="1" x="2007"/>
        <item m="1" x="2008"/>
        <item m="1" x="2009"/>
        <item m="1" x="2010"/>
        <item m="1" x="2011"/>
        <item m="1" x="2012"/>
        <item m="1" x="2013"/>
        <item m="1" x="2014"/>
        <item m="1" x="2015"/>
        <item m="1" x="2016"/>
        <item m="1" x="2017"/>
        <item m="1" x="2018"/>
        <item m="1" x="2019"/>
        <item m="1" x="2020"/>
        <item m="1" x="2021"/>
        <item m="1" x="2022"/>
        <item m="1" x="2023"/>
        <item m="1" x="2024"/>
        <item m="1" x="2025"/>
        <item m="1" x="2026"/>
        <item m="1" x="2027"/>
        <item m="1" x="2028"/>
        <item m="1" x="2029"/>
        <item m="1" x="2030"/>
        <item m="1" x="2031"/>
        <item m="1" x="2032"/>
        <item m="1" x="2033"/>
        <item m="1" x="2034"/>
        <item m="1" x="2035"/>
        <item m="1" x="2036"/>
        <item m="1" x="2037"/>
        <item m="1" x="2038"/>
        <item m="1" x="2039"/>
        <item m="1" x="2040"/>
        <item m="1" x="2041"/>
        <item m="1" x="2042"/>
        <item m="1" x="2043"/>
        <item m="1" x="2044"/>
        <item m="1" x="2045"/>
        <item m="1" x="2046"/>
        <item m="1" x="2047"/>
        <item m="1" x="2048"/>
        <item m="1" x="2049"/>
        <item m="1" x="2050"/>
        <item m="1" x="2051"/>
        <item m="1" x="2052"/>
        <item m="1" x="2053"/>
        <item m="1" x="2054"/>
        <item m="1" x="2055"/>
        <item m="1" x="2056"/>
        <item m="1" x="2057"/>
        <item m="1" x="2058"/>
        <item m="1" x="2059"/>
        <item m="1" x="2060"/>
        <item m="1" x="2061"/>
        <item m="1" x="2062"/>
        <item m="1" x="2063"/>
        <item m="1" x="2064"/>
        <item m="1" x="2065"/>
        <item m="1" x="2066"/>
        <item m="1" x="2067"/>
        <item m="1" x="2068"/>
        <item m="1" x="2069"/>
        <item m="1" x="2070"/>
        <item m="1" x="2071"/>
        <item m="1" x="2072"/>
        <item m="1" x="2073"/>
        <item m="1" x="2074"/>
        <item m="1" x="2075"/>
        <item m="1" x="2076"/>
        <item m="1" x="2077"/>
        <item m="1" x="2078"/>
        <item m="1" x="2079"/>
        <item m="1" x="2080"/>
        <item m="1" x="2081"/>
        <item m="1" x="2082"/>
        <item m="1" x="2083"/>
        <item m="1" x="2084"/>
        <item m="1" x="2085"/>
        <item m="1" x="2086"/>
        <item m="1" x="2087"/>
        <item m="1" x="2088"/>
        <item m="1" x="2089"/>
        <item m="1" x="2090"/>
        <item m="1" x="2091"/>
        <item m="1" x="2092"/>
        <item m="1" x="2093"/>
        <item m="1" x="2094"/>
        <item m="1" x="2095"/>
        <item m="1" x="2096"/>
        <item m="1" x="2097"/>
        <item m="1" x="2783"/>
        <item m="1" x="2098"/>
        <item m="1" x="2099"/>
        <item m="1" x="2100"/>
        <item m="1" x="2101"/>
        <item m="1" x="2102"/>
        <item m="1" x="2103"/>
        <item m="1" x="2104"/>
        <item m="1" x="2105"/>
        <item m="1" x="2106"/>
        <item m="1" x="2107"/>
        <item m="1" x="2108"/>
        <item m="1" x="2109"/>
        <item m="1" x="2110"/>
        <item m="1" x="2111"/>
        <item m="1" x="2112"/>
        <item m="1" x="2113"/>
        <item m="1" x="2114"/>
        <item m="1" x="2115"/>
        <item m="1" x="2116"/>
        <item m="1" x="2117"/>
        <item m="1" x="2118"/>
        <item m="1" x="2119"/>
        <item m="1" x="2120"/>
        <item m="1" x="2121"/>
        <item m="1" x="2122"/>
        <item m="1" x="2123"/>
        <item m="1" x="2124"/>
        <item m="1" x="2125"/>
        <item m="1" x="2126"/>
        <item m="1" x="2127"/>
        <item m="1" x="2128"/>
        <item m="1" x="2129"/>
        <item m="1" x="2130"/>
        <item m="1" x="2131"/>
        <item m="1" x="2132"/>
        <item m="1" x="2133"/>
        <item m="1" x="400"/>
        <item m="1" x="401"/>
        <item m="1" x="403"/>
        <item m="1" x="404"/>
        <item m="1" x="405"/>
        <item m="1" x="407"/>
        <item m="1" x="408"/>
        <item m="1" x="409"/>
        <item m="1" x="410"/>
        <item m="1" x="411"/>
        <item m="1" x="412"/>
        <item m="1" x="413"/>
        <item m="1" x="414"/>
        <item m="1" x="1462"/>
        <item m="1" x="1463"/>
        <item m="1" x="1464"/>
        <item m="1" x="1465"/>
        <item m="1" x="1466"/>
        <item m="1" x="1467"/>
        <item m="1" x="1468"/>
        <item m="1" x="1469"/>
        <item m="1" x="1470"/>
        <item m="1" x="1471"/>
        <item m="1" x="1472"/>
        <item m="1" x="1473"/>
        <item m="1" x="1474"/>
        <item m="1" x="1475"/>
        <item m="1" x="1476"/>
        <item m="1" x="1477"/>
        <item m="1" x="1478"/>
        <item m="1" x="1479"/>
        <item m="1" x="1480"/>
        <item m="1" x="1481"/>
        <item m="1" x="1482"/>
        <item m="1" x="1483"/>
        <item m="1" x="1484"/>
        <item m="1" x="1485"/>
        <item m="1" x="1486"/>
        <item m="1" x="1487"/>
        <item m="1" x="1488"/>
        <item m="1" x="2644"/>
        <item m="1" x="2834"/>
        <item m="1" x="2848"/>
        <item m="1" x="2148"/>
        <item m="1" x="2149"/>
        <item m="1" x="2150"/>
        <item m="1" x="2151"/>
        <item m="1" x="2152"/>
        <item m="1" x="2153"/>
        <item m="1" x="2154"/>
        <item m="1" x="2155"/>
        <item m="1" x="2156"/>
        <item m="1" x="2157"/>
        <item m="1" x="2158"/>
        <item m="1" x="2159"/>
        <item m="1" x="2160"/>
        <item m="1" x="2161"/>
        <item m="1" x="2162"/>
        <item m="1" x="2163"/>
        <item m="1" x="2164"/>
        <item m="1" x="2165"/>
        <item m="1" x="2166"/>
        <item m="1" x="2167"/>
        <item m="1" x="2168"/>
        <item m="1" x="2169"/>
        <item m="1" x="2170"/>
        <item m="1" x="2171"/>
        <item m="1" x="2172"/>
        <item m="1" x="2173"/>
        <item m="1" x="2174"/>
        <item m="1" x="2175"/>
        <item m="1" x="2176"/>
        <item m="1" x="2177"/>
        <item m="1" x="2178"/>
        <item m="1" x="2179"/>
        <item m="1" x="2180"/>
        <item m="1" x="2181"/>
        <item m="1" x="2182"/>
        <item m="1" x="2183"/>
        <item m="1" x="2184"/>
        <item m="1" x="2185"/>
        <item m="1" x="2186"/>
        <item m="1" x="2187"/>
        <item m="1" x="2188"/>
        <item m="1" x="2189"/>
        <item m="1" x="2190"/>
        <item m="1" x="2191"/>
        <item m="1" x="2192"/>
        <item m="1" x="2193"/>
        <item m="1" x="2194"/>
        <item m="1" x="2195"/>
        <item m="1" x="2196"/>
        <item m="1" x="2197"/>
        <item m="1" x="2198"/>
        <item m="1" x="2199"/>
        <item m="1" x="2200"/>
        <item m="1" x="2201"/>
        <item m="1" x="2202"/>
        <item m="1" x="2203"/>
        <item m="1" x="2204"/>
        <item m="1" x="2205"/>
        <item m="1" x="2206"/>
        <item m="1" x="2134"/>
        <item m="1" x="2207"/>
        <item m="1" x="2208"/>
        <item m="1" x="2209"/>
        <item m="1" x="2210"/>
        <item m="1" x="2211"/>
        <item m="1" x="2212"/>
        <item m="1" x="2213"/>
        <item m="1" x="2214"/>
        <item m="1" x="2215"/>
        <item m="1" x="2216"/>
        <item m="1" x="2217"/>
        <item m="1" x="2218"/>
        <item m="1" x="2219"/>
        <item m="1" x="2220"/>
        <item m="1" x="2221"/>
        <item m="1" x="2222"/>
        <item m="1" x="2223"/>
        <item m="1" x="2224"/>
        <item m="1" x="2225"/>
        <item m="1" x="2226"/>
        <item m="1" x="2227"/>
        <item m="1" x="2228"/>
        <item m="1" x="2229"/>
        <item m="1" x="2230"/>
        <item m="1" x="2231"/>
        <item m="1" x="2232"/>
        <item m="1" x="2233"/>
        <item m="1" x="2234"/>
        <item m="1" x="2235"/>
        <item m="1" x="2236"/>
        <item m="1" x="2237"/>
        <item m="1" x="2238"/>
        <item m="1" x="2239"/>
        <item m="1" x="2240"/>
        <item m="1" x="2241"/>
        <item m="1" x="2242"/>
        <item m="1" x="2243"/>
        <item m="1" x="2244"/>
        <item m="1" x="2245"/>
        <item m="1" x="2246"/>
        <item m="1" x="2135"/>
        <item m="1" x="2136"/>
        <item m="1" x="2137"/>
        <item m="1" x="2138"/>
        <item m="1" x="2139"/>
        <item m="1" x="2140"/>
        <item m="1" x="2141"/>
        <item m="1" x="2142"/>
        <item m="1" x="2143"/>
        <item m="1" x="2144"/>
        <item m="1" x="2145"/>
        <item m="1" x="2146"/>
        <item m="1" x="2247"/>
        <item m="1" x="2248"/>
        <item m="1" x="2249"/>
        <item m="1" x="2250"/>
        <item m="1" x="2251"/>
        <item m="1" x="2252"/>
        <item m="1" x="2253"/>
        <item m="1" x="2254"/>
        <item m="1" x="2255"/>
        <item m="1" x="2256"/>
        <item m="1" x="2257"/>
        <item m="1" x="2258"/>
        <item m="1" x="2259"/>
        <item m="1" x="2260"/>
        <item m="1" x="2147"/>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1244"/>
        <item m="1" x="1245"/>
        <item m="1" x="1246"/>
        <item m="1" x="1247"/>
        <item m="1" x="1248"/>
        <item m="1" x="1249"/>
        <item m="1" x="1250"/>
        <item m="1" x="1251"/>
        <item m="1" x="1252"/>
        <item m="1" x="1253"/>
        <item m="1" x="1254"/>
        <item m="1" x="1255"/>
        <item m="1" x="1256"/>
        <item m="1" x="1257"/>
        <item m="1" x="1258"/>
        <item m="1" x="1259"/>
        <item m="1" x="1260"/>
        <item m="1" x="1261"/>
        <item m="1" x="1262"/>
        <item m="1" x="1263"/>
        <item m="1" x="1264"/>
        <item m="1" x="1265"/>
        <item m="1" x="1266"/>
        <item m="1" x="1267"/>
        <item m="1" x="1268"/>
        <item m="1" x="1269"/>
        <item m="1" x="1270"/>
        <item m="1" x="1271"/>
        <item m="1" x="1272"/>
        <item m="1" x="1273"/>
        <item m="1" x="1489"/>
        <item m="1" x="1490"/>
        <item m="1" x="1491"/>
        <item m="1" x="2796"/>
        <item m="1" x="1492"/>
        <item m="1" x="1493"/>
        <item m="1" x="1494"/>
        <item m="1" x="1495"/>
        <item m="1" x="1496"/>
        <item m="1" x="1497"/>
        <item m="1" x="1498"/>
        <item m="1" x="1499"/>
        <item m="1" x="1500"/>
        <item m="1" x="1501"/>
        <item m="1" x="1502"/>
        <item m="1" x="1503"/>
        <item m="1" x="1504"/>
        <item m="1" x="1505"/>
        <item m="1" x="1506"/>
        <item m="1" x="1507"/>
        <item m="1" x="1508"/>
        <item m="1" x="1509"/>
        <item m="1" x="1510"/>
        <item m="1" x="1511"/>
        <item m="1" x="1512"/>
        <item m="1" x="1513"/>
        <item m="1" x="1514"/>
        <item m="1" x="1515"/>
        <item m="1" x="1516"/>
        <item m="1" x="1592"/>
        <item m="1" x="1593"/>
        <item m="1" x="1594"/>
        <item m="1" x="1595"/>
        <item m="1" x="1596"/>
        <item m="1" x="1597"/>
        <item m="1" x="1523"/>
        <item m="1" x="1524"/>
        <item m="1" x="1525"/>
        <item m="1" x="1526"/>
        <item m="1" x="1527"/>
        <item m="1" x="1528"/>
        <item m="1" x="1529"/>
        <item m="1" x="1530"/>
        <item m="1" x="1531"/>
        <item m="1" x="1532"/>
        <item m="1" x="1533"/>
        <item m="1" x="1534"/>
        <item m="1" x="1535"/>
        <item m="1" x="1536"/>
        <item m="1" x="1537"/>
        <item m="1" x="1538"/>
        <item m="1" x="1539"/>
        <item m="1" x="1540"/>
        <item m="1" x="1541"/>
        <item m="1" x="1542"/>
        <item m="1" x="1543"/>
        <item m="1" x="1544"/>
        <item m="1" x="1545"/>
        <item m="1" x="1546"/>
        <item m="1" x="1547"/>
        <item m="1" x="1548"/>
        <item m="1" x="1549"/>
        <item m="1" x="1550"/>
        <item m="1" x="1551"/>
        <item m="1" x="1552"/>
        <item m="1" x="1553"/>
        <item m="1" x="1554"/>
        <item m="1" x="1555"/>
        <item m="1" x="1556"/>
        <item m="1" x="1557"/>
        <item m="1" x="1558"/>
        <item m="1" x="1559"/>
        <item m="1" x="1560"/>
        <item m="1" x="1561"/>
        <item m="1" x="1562"/>
        <item m="1" x="1563"/>
        <item m="1" x="1564"/>
        <item m="1" x="1565"/>
        <item m="1" x="1566"/>
        <item m="1" x="1567"/>
        <item m="1" x="1568"/>
        <item m="1" x="1569"/>
        <item m="1" x="1570"/>
        <item m="1" x="1571"/>
        <item m="1" x="1572"/>
        <item m="1" x="1573"/>
        <item m="1" x="1574"/>
        <item m="1" x="1575"/>
        <item m="1" x="1576"/>
        <item m="1" x="1577"/>
        <item m="1" x="1578"/>
        <item m="1" x="1579"/>
        <item m="1" x="1580"/>
        <item m="1" x="1581"/>
        <item m="1" x="1582"/>
        <item m="1" x="1583"/>
        <item m="1" x="1584"/>
        <item m="1" x="1585"/>
        <item m="1" x="1586"/>
        <item m="1" x="1587"/>
        <item m="1" x="1588"/>
        <item m="1" x="1589"/>
        <item m="1" x="1590"/>
        <item m="1" x="1591"/>
        <item m="1" x="1517"/>
        <item m="1" x="1518"/>
        <item m="1" x="1519"/>
        <item m="1" x="1520"/>
        <item m="1" x="1521"/>
        <item m="1" x="1522"/>
        <item m="1" x="2846"/>
        <item m="1" x="2831"/>
        <item m="1" x="2702"/>
        <item m="1" x="2667"/>
        <item m="1" x="2759"/>
        <item m="1" x="2720"/>
        <item m="1" x="2587"/>
        <item m="1" x="2607"/>
        <item m="1" x="2636"/>
        <item m="1" x="2810"/>
        <item m="1" x="2721"/>
        <item m="1" x="2686"/>
        <item m="1" x="2817"/>
        <item m="1" x="2690"/>
        <item m="1" x="2757"/>
        <item m="1" x="2653"/>
        <item m="1" x="2586"/>
        <item m="1" x="2815"/>
        <item m="1" x="2822"/>
        <item m="1" x="161"/>
        <item m="1" x="162"/>
        <item m="1" x="164"/>
        <item m="1" x="165"/>
        <item m="1" x="166"/>
        <item m="1" x="167"/>
        <item m="1" x="168"/>
        <item m="1" x="169"/>
        <item m="1" x="171"/>
        <item m="1" x="175"/>
        <item m="1" x="176"/>
        <item m="1" x="178"/>
        <item m="1" x="179"/>
        <item m="1" x="180"/>
        <item m="1" x="181"/>
        <item m="1" x="182"/>
        <item m="1" x="183"/>
        <item m="1" x="184"/>
        <item m="1" x="185"/>
        <item m="1" x="187"/>
        <item m="1" x="188"/>
        <item m="1" x="190"/>
        <item m="1" x="191"/>
        <item m="1" x="194"/>
        <item m="1" x="195"/>
        <item m="1" x="196"/>
        <item m="1" x="200"/>
        <item m="1" x="201"/>
        <item m="1" x="202"/>
        <item m="1" x="203"/>
        <item m="1" x="204"/>
        <item m="1" x="205"/>
        <item m="1" x="206"/>
        <item m="1" x="212"/>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694"/>
        <item m="1" x="719"/>
        <item m="1" x="720"/>
        <item m="1" x="721"/>
        <item m="1" x="722"/>
        <item m="1" x="723"/>
        <item m="1" x="724"/>
        <item m="1" x="725"/>
        <item m="1" x="726"/>
        <item m="1" x="727"/>
        <item m="1" x="728"/>
        <item m="1" x="729"/>
        <item m="1" x="730"/>
        <item m="1" x="731"/>
        <item m="1" x="732"/>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69"/>
        <item m="1" x="887"/>
        <item m="1" x="70"/>
        <item m="1" x="71"/>
        <item m="1" x="72"/>
        <item m="1" x="73"/>
        <item m="1" x="74"/>
        <item m="1" x="75"/>
        <item m="1" x="888"/>
        <item m="1" x="76"/>
        <item m="1" x="889"/>
        <item m="1" x="77"/>
        <item m="1" x="78"/>
        <item m="1" x="79"/>
        <item m="1" x="890"/>
        <item m="1" x="80"/>
        <item m="1" x="81"/>
        <item m="1" x="82"/>
        <item m="1" x="83"/>
        <item m="1" x="84"/>
        <item m="1" x="85"/>
        <item m="1" x="86"/>
        <item m="1" x="87"/>
        <item m="1" x="891"/>
        <item m="1" x="88"/>
        <item m="1" x="892"/>
        <item m="1" x="89"/>
        <item m="1" x="90"/>
        <item m="1" x="91"/>
        <item m="1" x="92"/>
        <item m="1" x="893"/>
        <item m="1" x="894"/>
        <item m="1" x="895"/>
        <item m="1" x="896"/>
        <item m="1" x="93"/>
        <item m="1" x="94"/>
        <item m="1" x="95"/>
        <item m="1" x="96"/>
        <item m="1" x="97"/>
        <item m="1" x="98"/>
        <item m="1" x="99"/>
        <item m="1" x="100"/>
        <item m="1" x="101"/>
        <item m="1" x="897"/>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2725"/>
        <item m="1" x="2596"/>
        <item m="1" x="2611"/>
        <item m="1" x="2572"/>
        <item m="1" x="2569"/>
        <item m="1" x="2661"/>
        <item m="1" x="1890"/>
        <item m="1" x="1891"/>
        <item m="1" x="1892"/>
        <item m="1" x="1893"/>
        <item m="1" x="1894"/>
        <item m="1" x="1895"/>
        <item m="1" x="1896"/>
        <item m="1" x="1897"/>
        <item m="1" x="1898"/>
        <item m="1" x="1899"/>
        <item m="1" x="1900"/>
        <item m="1" x="1901"/>
        <item m="1" x="1902"/>
        <item m="1" x="1903"/>
        <item m="1" x="1904"/>
        <item m="1" x="1905"/>
        <item m="1" x="1906"/>
        <item m="1" x="1907"/>
        <item m="1" x="1908"/>
        <item m="1" x="1909"/>
        <item m="1" x="1910"/>
        <item m="1" x="1911"/>
        <item m="1" x="1912"/>
        <item m="1" x="1913"/>
        <item m="1" x="1914"/>
        <item m="1" x="1915"/>
        <item m="1" x="1916"/>
        <item m="1" x="1917"/>
        <item m="1" x="1918"/>
        <item m="1" x="1919"/>
        <item m="1" x="1920"/>
        <item m="1" x="1921"/>
        <item m="1" x="1922"/>
        <item m="1" x="1923"/>
        <item m="1" x="1924"/>
        <item m="1" x="1925"/>
        <item m="1" x="1926"/>
        <item m="1" x="1927"/>
        <item m="1" x="1928"/>
        <item m="1" x="1929"/>
        <item m="1" x="1930"/>
        <item m="1" x="1931"/>
        <item m="1" x="1932"/>
        <item m="1" x="1933"/>
        <item m="1" x="1934"/>
        <item m="1" x="1935"/>
        <item m="1" x="1936"/>
        <item m="1" x="1937"/>
        <item m="1" x="1938"/>
        <item m="1" x="1939"/>
        <item m="1" x="1940"/>
        <item m="1" x="1941"/>
        <item m="1" x="1942"/>
        <item m="1" x="1943"/>
        <item m="1" x="1944"/>
        <item m="1" x="1945"/>
        <item m="1" x="1946"/>
        <item m="1" x="1947"/>
        <item m="1" x="1948"/>
        <item m="1" x="1949"/>
        <item m="1" x="1950"/>
        <item m="1" x="1951"/>
        <item m="1" x="1952"/>
        <item m="1" x="1953"/>
        <item m="1" x="1954"/>
        <item m="1" x="1955"/>
        <item m="1" x="1956"/>
        <item m="1" x="1957"/>
        <item m="1" x="1958"/>
        <item m="1" x="1959"/>
        <item m="1" x="1960"/>
        <item m="1" x="1961"/>
        <item m="1" x="1962"/>
        <item m="1" x="1963"/>
        <item m="1" x="1964"/>
        <item m="1" x="1965"/>
        <item m="1" x="1966"/>
        <item m="1" x="1967"/>
        <item m="1" x="1968"/>
        <item m="1" x="1969"/>
        <item m="1" x="2395"/>
        <item m="1" x="2396"/>
        <item m="1" x="2397"/>
        <item m="1" x="2398"/>
        <item m="1" x="2399"/>
        <item m="1" x="2400"/>
        <item m="1" x="2401"/>
        <item m="1" x="2402"/>
        <item m="1" x="2403"/>
        <item m="1" x="2404"/>
        <item m="1" x="2405"/>
        <item m="1" x="2406"/>
        <item m="1" x="2407"/>
        <item m="1" x="2408"/>
        <item m="1" x="2409"/>
        <item m="1" x="2410"/>
        <item m="1" x="2411"/>
        <item m="1" x="2412"/>
        <item m="1" x="2413"/>
        <item m="1" x="2414"/>
        <item m="1" x="2415"/>
        <item m="1" x="2416"/>
        <item m="1" x="2417"/>
        <item m="1" x="2418"/>
        <item m="1" x="2419"/>
        <item m="1" x="2420"/>
        <item m="1" x="2421"/>
        <item m="1" x="2422"/>
        <item m="1" x="2423"/>
        <item m="1" x="2424"/>
        <item m="1" x="2425"/>
        <item m="1" x="341"/>
        <item m="1" x="342"/>
        <item m="1" x="343"/>
        <item m="1" x="344"/>
        <item m="1" x="345"/>
        <item m="1" x="346"/>
        <item m="1" x="347"/>
        <item m="1" x="348"/>
        <item m="1" x="349"/>
        <item m="1" x="350"/>
        <item m="1" x="2571"/>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402"/>
        <item m="1" x="406"/>
        <item m="1" x="415"/>
        <item m="1" x="2327"/>
        <item m="1" x="2341"/>
        <item m="1" x="2342"/>
        <item m="1" x="2447"/>
        <item m="1" x="2448"/>
        <item m="1" x="2449"/>
        <item m="1" x="2450"/>
        <item m="1" x="2451"/>
        <item m="1" x="2452"/>
        <item m="1" x="2453"/>
        <item m="1" x="2454"/>
        <item m="1" x="2391"/>
        <item m="1" x="2382"/>
        <item m="1" x="2388"/>
        <item m="1" x="2389"/>
        <item m="1" x="2390"/>
        <item m="1" x="2384"/>
        <item m="1" x="2785"/>
        <item m="1" x="2658"/>
        <item m="1" x="2626"/>
        <item m="1" x="2727"/>
        <item m="1" x="2813"/>
        <item m="1" x="2687"/>
        <item m="1" x="2703"/>
        <item m="1" x="2704"/>
        <item m="1" x="2558"/>
        <item m="1" x="2592"/>
        <item m="1" x="2765"/>
        <item m="1" x="2784"/>
        <item m="1" x="2801"/>
        <item m="1" x="2739"/>
        <item m="1" x="2850"/>
        <item m="1" x="2561"/>
        <item m="1" x="2652"/>
        <item m="1" x="2847"/>
        <item m="1" x="2803"/>
        <item m="1" x="2593"/>
        <item m="1" x="2742"/>
        <item m="1" x="2608"/>
        <item m="1" x="2662"/>
        <item m="1" x="2604"/>
        <item m="1" x="2749"/>
        <item m="1" x="2635"/>
        <item m="1" x="2575"/>
        <item m="1" x="2799"/>
        <item m="1" x="2602"/>
        <item m="1" x="1215"/>
        <item m="1" x="878"/>
        <item m="1" x="879"/>
        <item m="1" x="880"/>
        <item m="1" x="881"/>
        <item m="1" x="882"/>
        <item m="1" x="883"/>
        <item m="1" x="884"/>
        <item m="1" x="886"/>
        <item m="1" x="1706"/>
        <item m="1" x="1707"/>
        <item m="1" x="1708"/>
        <item m="1" x="1709"/>
        <item m="1" x="1710"/>
        <item m="1" x="1711"/>
        <item m="1" x="1712"/>
        <item m="1" x="1713"/>
        <item m="1" x="1714"/>
        <item m="1" x="1715"/>
        <item m="1" x="1716"/>
        <item m="1" x="1717"/>
        <item m="1" x="1718"/>
        <item m="1" x="1719"/>
        <item m="1" x="1720"/>
        <item m="1" x="1721"/>
        <item m="1" x="1722"/>
        <item m="1" x="1723"/>
        <item m="1" x="1724"/>
        <item m="1" x="1023"/>
        <item m="1" x="1024"/>
        <item m="1" x="1025"/>
        <item m="1" x="1026"/>
        <item m="1" x="1027"/>
        <item m="1" x="1028"/>
        <item m="1" x="1029"/>
        <item m="1" x="1030"/>
        <item m="1" x="1031"/>
        <item m="1" x="1032"/>
        <item m="1" x="1033"/>
        <item m="1" x="1034"/>
        <item m="1" x="1035"/>
        <item m="1" x="1036"/>
        <item m="1" x="1037"/>
        <item m="1" x="1038"/>
        <item m="1" x="1039"/>
        <item m="1" x="2555"/>
        <item m="1" x="2852"/>
        <item m="1" x="2717"/>
        <item m="1" x="2681"/>
        <item m="1" x="2771"/>
        <item m="1" x="2728"/>
        <item m="1" x="2601"/>
        <item m="1" x="2620"/>
        <item m="1" x="2651"/>
        <item m="1" x="2824"/>
        <item m="1" x="2732"/>
        <item m="1" x="2695"/>
        <item m="1" x="2835"/>
        <item m="1" x="2705"/>
        <item m="1" x="2767"/>
        <item m="1" x="2669"/>
        <item m="1" x="2599"/>
        <item m="1" x="2828"/>
        <item m="1" x="2841"/>
        <item m="1" x="2627"/>
        <item m="1" x="2812"/>
        <item m="1" x="2633"/>
        <item m="1" x="2819"/>
        <item m="1" x="2638"/>
        <item m="1" x="2829"/>
        <item m="1" x="2646"/>
        <item m="1" x="2842"/>
        <item m="1" x="2657"/>
        <item m="1" x="2854"/>
        <item m="1" x="2666"/>
        <item m="1" x="2554"/>
        <item m="1" x="2814"/>
        <item m="1" x="2594"/>
        <item m="1" x="2709"/>
        <item m="1" x="2856"/>
        <item m="1" x="2821"/>
        <item m="1" x="2605"/>
        <item m="1" x="2718"/>
        <item m="1" x="2557"/>
        <item m="1" x="2832"/>
        <item m="1" x="2609"/>
        <item m="1" x="2724"/>
        <item m="1" x="2564"/>
        <item m="1" x="2845"/>
        <item m="1" x="2615"/>
        <item m="1" x="2729"/>
        <item m="1" x="2566"/>
        <item m="1" x="2855"/>
        <item m="1" x="2622"/>
        <item m="1" x="2734"/>
        <item m="1" x="2570"/>
        <item m="1" x="2562"/>
        <item m="1" x="2631"/>
        <item m="1" x="2746"/>
        <item m="1" x="2578"/>
        <item m="1" x="2637"/>
        <item m="1" x="2751"/>
        <item m="1" x="2584"/>
        <item m="1" x="2730"/>
        <item m="1" x="2735"/>
        <item m="1" x="163"/>
        <item m="1" x="170"/>
        <item m="1" x="172"/>
        <item m="1" x="173"/>
        <item m="1" x="174"/>
        <item m="1" x="177"/>
        <item m="1" x="186"/>
        <item m="1" x="189"/>
        <item m="1" x="192"/>
        <item m="1" x="193"/>
        <item m="1" x="197"/>
        <item m="1" x="198"/>
        <item m="1" x="199"/>
        <item m="1" x="207"/>
        <item m="1" x="208"/>
        <item m="1" x="209"/>
        <item m="1" x="210"/>
        <item m="1" x="211"/>
        <item m="1" x="1341"/>
        <item m="1" x="1342"/>
        <item m="1" x="1343"/>
        <item m="1" x="1344"/>
        <item m="1" x="1350"/>
        <item m="1" x="1354"/>
        <item m="1" x="1355"/>
        <item m="1" x="1361"/>
        <item m="1" x="1362"/>
        <item m="1" x="1367"/>
        <item m="1" x="1369"/>
        <item m="1" x="1370"/>
        <item m="1" x="1372"/>
        <item m="1" x="1373"/>
        <item m="1" x="1378"/>
        <item m="1" x="1381"/>
        <item m="1" x="1382"/>
        <item m="1" x="1385"/>
        <item m="1" x="1388"/>
        <item m="1" x="1389"/>
        <item m="1" x="1392"/>
        <item m="1" x="1394"/>
        <item m="1" x="693"/>
        <item m="1" x="2426"/>
        <item m="1" x="2427"/>
        <item m="1" x="2428"/>
        <item m="1" x="2429"/>
        <item m="1" x="2430"/>
        <item m="1" x="2431"/>
        <item m="1" x="2432"/>
        <item m="1" x="2433"/>
        <item m="1" x="2434"/>
        <item m="1" x="2435"/>
        <item m="1" x="2436"/>
        <item m="1" x="2437"/>
        <item m="1" x="2438"/>
        <item m="1" x="2439"/>
        <item m="1" x="2440"/>
        <item m="1" x="2441"/>
        <item m="1" x="2442"/>
        <item m="1" x="2443"/>
        <item m="1" x="2444"/>
        <item m="1" x="2445"/>
        <item m="1" x="2446"/>
        <item m="1" x="1851"/>
        <item m="1" x="1852"/>
        <item m="1" x="1853"/>
        <item m="1" x="1854"/>
        <item m="1" x="1855"/>
        <item m="1" x="1856"/>
        <item m="1" x="1857"/>
        <item m="1" x="1858"/>
        <item m="1" x="1859"/>
        <item m="1" x="1860"/>
        <item m="1" x="1861"/>
        <item m="1" x="1862"/>
        <item m="1" x="1863"/>
        <item m="1" x="1864"/>
        <item m="1" x="1865"/>
        <item m="1" x="1866"/>
        <item m="1" x="1867"/>
        <item m="1" x="1868"/>
        <item m="1" x="1869"/>
        <item m="1" x="1870"/>
        <item m="1" x="1871"/>
        <item m="1" x="1872"/>
        <item m="1" x="1873"/>
        <item m="1" x="1874"/>
        <item m="1" x="1875"/>
        <item m="1" x="1876"/>
        <item m="1" x="1877"/>
        <item m="1" x="1725"/>
        <item m="1" x="1726"/>
        <item m="1" x="1727"/>
        <item m="1" x="1728"/>
        <item m="1" x="1729"/>
        <item m="1" x="1730"/>
        <item m="1" x="1731"/>
        <item m="1" x="1732"/>
        <item m="1" x="1733"/>
        <item m="1" x="1734"/>
        <item m="1" x="1735"/>
        <item m="1" x="1736"/>
        <item m="1" x="1737"/>
        <item m="1" x="1738"/>
        <item m="1" x="1739"/>
        <item m="1" x="1740"/>
        <item m="1" x="1741"/>
        <item m="1" x="1742"/>
        <item m="1" x="1743"/>
        <item m="1" x="1744"/>
        <item m="1" x="1745"/>
        <item m="1" x="1746"/>
        <item m="1" x="1747"/>
        <item m="1" x="1748"/>
        <item m="1" x="1749"/>
        <item m="1" x="1750"/>
        <item m="1" x="1751"/>
        <item m="1" x="1752"/>
        <item m="1" x="1753"/>
        <item m="1" x="1754"/>
        <item m="1" x="1755"/>
        <item m="1" x="1756"/>
        <item m="1" x="1757"/>
        <item m="1" x="1758"/>
        <item m="1" x="1759"/>
        <item m="1" x="1760"/>
        <item m="1" x="1761"/>
        <item m="1" x="1762"/>
        <item m="1" x="1763"/>
        <item m="1" x="885"/>
        <item t="default"/>
      </items>
    </pivotField>
    <pivotField compact="0" numFmtId="22" outline="0" subtotalTop="0" showAll="0"/>
    <pivotField compact="0" numFmtId="14" outline="0" subtotalTop="0" showAll="0"/>
    <pivotField compact="0" outline="0" subtotalTop="0" showAll="0"/>
    <pivotField compact="0" outline="0" subtotalTop="0" showAll="0"/>
    <pivotField compact="0" numFmtId="2" outline="0" subtotalTop="0" showAll="0"/>
    <pivotField compact="0" outline="0" subtotalTop="0" showAll="0"/>
    <pivotField compact="0" outline="0" subtotalTop="0" showAll="0"/>
    <pivotField dataField="1" compact="0" outline="0" subtotalTop="0" showAll="0">
      <items count="3">
        <item m="1" x="1"/>
        <item x="0"/>
        <item t="default"/>
      </items>
    </pivotField>
    <pivotField compact="0" outline="0" subtotalTop="0" showAll="0">
      <items count="63">
        <item m="1" x="61"/>
        <item m="1" x="59"/>
        <item m="1" x="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compact="0" outline="0" subtotalTop="0" showAll="0">
      <items count="5">
        <item m="1" x="3"/>
        <item m="1" x="1"/>
        <item m="1" x="2"/>
        <item x="0"/>
        <item t="default"/>
      </items>
    </pivotField>
    <pivotField compact="0" outline="0" subtotalTop="0" showAll="0">
      <items count="4">
        <item m="1" x="2"/>
        <item x="0"/>
        <item m="1" x="1"/>
        <item t="default"/>
      </items>
    </pivotField>
    <pivotField name="Firma de sup. Mto." compact="0" outline="0" subtotalTop="0" showAll="0">
      <items count="3">
        <item x="0"/>
        <item m="1" x="1"/>
        <item t="default"/>
      </items>
    </pivotField>
    <pivotField axis="axisRow" compact="0" outline="0" subtotalTop="0" showAll="0">
      <items count="709">
        <item m="1" x="225"/>
        <item m="1" x="222"/>
        <item m="1" x="642"/>
        <item m="1" x="392"/>
        <item m="1" x="628"/>
        <item m="1" x="385"/>
        <item m="1" x="612"/>
        <item m="1" x="373"/>
        <item m="1" x="12"/>
        <item m="1" x="194"/>
        <item m="1" x="699"/>
        <item m="1" x="387"/>
        <item m="1" x="293"/>
        <item m="1" x="500"/>
        <item m="1" x="424"/>
        <item m="1" x="498"/>
        <item m="1" x="437"/>
        <item m="1" x="414"/>
        <item m="1" x="234"/>
        <item m="1" x="390"/>
        <item m="1" x="300"/>
        <item m="1" x="301"/>
        <item m="1" x="587"/>
        <item m="1" x="307"/>
        <item m="1" x="559"/>
        <item m="1" x="13"/>
        <item m="1" x="522"/>
        <item m="1" x="676"/>
        <item m="1" x="30"/>
        <item m="1" x="640"/>
        <item m="1" x="110"/>
        <item m="1" x="670"/>
        <item m="1" x="102"/>
        <item m="1" x="90"/>
        <item m="1" x="632"/>
        <item m="1" x="328"/>
        <item m="1" x="625"/>
        <item m="1" x="160"/>
        <item m="1" x="685"/>
        <item m="1" x="400"/>
        <item m="1" x="161"/>
        <item m="1" x="564"/>
        <item m="1" x="667"/>
        <item m="1" x="322"/>
        <item m="1" x="297"/>
        <item m="1" x="229"/>
        <item m="1" x="606"/>
        <item m="1" x="577"/>
        <item m="1" x="316"/>
        <item m="1" x="237"/>
        <item m="1" x="510"/>
        <item m="1" x="686"/>
        <item m="1" x="438"/>
        <item m="1" x="419"/>
        <item m="1" x="250"/>
        <item m="1" x="281"/>
        <item m="1" x="504"/>
        <item m="1" x="382"/>
        <item m="1" x="363"/>
        <item m="1" x="165"/>
        <item m="1" x="672"/>
        <item m="1" x="32"/>
        <item m="1" x="138"/>
        <item m="1" x="33"/>
        <item m="1" x="345"/>
        <item m="1" x="418"/>
        <item m="1" x="378"/>
        <item m="1" x="17"/>
        <item m="1" x="439"/>
        <item m="1" x="18"/>
        <item m="1" x="517"/>
        <item m="1" x="240"/>
        <item m="1" x="630"/>
        <item m="1" x="565"/>
        <item m="1" x="434"/>
        <item m="1" x="422"/>
        <item m="1" x="405"/>
        <item m="1" x="542"/>
        <item m="1" x="356"/>
        <item m="1" x="337"/>
        <item m="1" x="376"/>
        <item m="1" x="519"/>
        <item m="1" x="346"/>
        <item m="1" x="675"/>
        <item m="1" x="410"/>
        <item m="1" x="283"/>
        <item m="1" x="406"/>
        <item m="1" x="624"/>
        <item m="1" x="682"/>
        <item m="1" x="557"/>
        <item m="1" x="507"/>
        <item m="1" x="588"/>
        <item m="1" x="265"/>
        <item m="1" x="451"/>
        <item m="1" x="579"/>
        <item m="1" x="344"/>
        <item m="1" x="501"/>
        <item m="1" x="399"/>
        <item m="1" x="578"/>
        <item x="2"/>
        <item m="1" x="272"/>
        <item m="1" x="47"/>
        <item m="1" x="649"/>
        <item m="1" x="93"/>
        <item m="1" x="482"/>
        <item m="1" x="509"/>
        <item m="1" x="594"/>
        <item m="1" x="217"/>
        <item m="1" x="478"/>
        <item m="1" x="532"/>
        <item m="1" x="614"/>
        <item m="1" x="615"/>
        <item m="1" x="620"/>
        <item m="1" x="218"/>
        <item m="1" x="370"/>
        <item m="1" x="466"/>
        <item m="1" x="296"/>
        <item m="1" x="386"/>
        <item m="1" x="623"/>
        <item m="1" x="696"/>
        <item m="1" x="511"/>
        <item m="1" x="610"/>
        <item m="1" x="427"/>
        <item m="1" x="495"/>
        <item m="1" x="705"/>
        <item m="1" x="375"/>
        <item m="1" x="219"/>
        <item m="1" x="412"/>
        <item m="1" x="292"/>
        <item m="1" x="639"/>
        <item m="1" x="602"/>
        <item m="1" x="242"/>
        <item m="1" x="636"/>
        <item m="1" x="621"/>
        <item m="1" x="591"/>
        <item m="1" x="491"/>
        <item m="1" x="379"/>
        <item m="1" x="429"/>
        <item m="1" x="655"/>
        <item m="1" x="653"/>
        <item m="1" x="633"/>
        <item m="1" x="677"/>
        <item m="1" x="654"/>
        <item m="1" x="270"/>
        <item m="1" x="635"/>
        <item m="1" x="441"/>
        <item m="1" x="608"/>
        <item m="1" x="629"/>
        <item m="1" x="421"/>
        <item m="1" x="355"/>
        <item x="11"/>
        <item m="1" x="83"/>
        <item x="10"/>
        <item m="1" x="430"/>
        <item m="1" x="516"/>
        <item m="1" x="371"/>
        <item m="1" x="680"/>
        <item m="1" x="704"/>
        <item m="1" x="497"/>
        <item m="1" x="590"/>
        <item m="1" x="586"/>
        <item m="1" x="347"/>
        <item m="1" x="528"/>
        <item m="1" x="626"/>
        <item m="1" x="513"/>
        <item m="1" x="674"/>
        <item m="1" x="332"/>
        <item m="1" x="546"/>
        <item m="1" x="340"/>
        <item m="1" x="645"/>
        <item m="1" x="697"/>
        <item m="1" x="266"/>
        <item m="1" x="658"/>
        <item m="1" x="241"/>
        <item m="1" x="669"/>
        <item m="1" x="428"/>
        <item m="1" x="450"/>
        <item m="1" x="205"/>
        <item m="1" x="393"/>
        <item m="1" x="659"/>
        <item m="1" x="668"/>
        <item m="1" x="618"/>
        <item m="1" x="331"/>
        <item m="1" x="398"/>
        <item m="1" x="395"/>
        <item m="1" x="693"/>
        <item m="1" x="239"/>
        <item m="1" x="514"/>
        <item m="1" x="687"/>
        <item m="1" x="380"/>
        <item m="1" x="384"/>
        <item m="1" x="432"/>
        <item m="1" x="285"/>
        <item m="1" x="533"/>
        <item m="1" x="595"/>
        <item m="1" x="276"/>
        <item m="1" x="474"/>
        <item m="1" x="108"/>
        <item m="1" x="485"/>
        <item m="1" x="287"/>
        <item m="1" x="460"/>
        <item m="1" x="38"/>
        <item m="1" x="468"/>
        <item m="1" x="294"/>
        <item x="3"/>
        <item m="1" x="698"/>
        <item m="1" x="350"/>
        <item m="1" x="388"/>
        <item m="1" x="220"/>
        <item m="1" x="279"/>
        <item x="5"/>
        <item m="1" x="656"/>
        <item m="1" x="459"/>
        <item m="1" x="643"/>
        <item m="1" x="440"/>
        <item m="1" x="558"/>
        <item m="1" x="547"/>
        <item m="1" x="544"/>
        <item m="1" x="515"/>
        <item m="1" x="311"/>
        <item m="1" x="462"/>
        <item m="1" x="286"/>
        <item m="1" x="45"/>
        <item m="1" x="174"/>
        <item m="1" x="157"/>
        <item m="1" x="135"/>
        <item m="1" x="563"/>
        <item m="1" x="334"/>
        <item m="1" x="691"/>
        <item m="1" x="391"/>
        <item m="1" x="442"/>
        <item m="1" x="476"/>
        <item m="1" x="634"/>
        <item m="1" x="230"/>
        <item m="1" x="443"/>
        <item m="1" x="425"/>
        <item m="1" x="583"/>
        <item m="1" x="541"/>
        <item m="1" x="321"/>
        <item m="1" x="568"/>
        <item m="1" x="221"/>
        <item m="1" x="245"/>
        <item m="1" x="569"/>
        <item m="1" x="236"/>
        <item m="1" x="472"/>
        <item m="1" x="570"/>
        <item m="1" x="252"/>
        <item m="1" x="251"/>
        <item m="1" x="571"/>
        <item m="1" x="269"/>
        <item m="1" x="572"/>
        <item m="1" x="284"/>
        <item m="1" x="262"/>
        <item m="1" x="573"/>
        <item m="1" x="302"/>
        <item m="1" x="488"/>
        <item m="1" x="354"/>
        <item m="1" x="314"/>
        <item m="1" x="684"/>
        <item m="1" x="394"/>
        <item m="1" x="426"/>
        <item m="1" x="353"/>
        <item m="1" x="126"/>
        <item m="1" x="609"/>
        <item m="1" x="203"/>
        <item m="1" x="326"/>
        <item m="1" x="650"/>
        <item m="1" x="531"/>
        <item m="1" x="327"/>
        <item m="1" x="480"/>
        <item m="1" x="278"/>
        <item m="1" x="601"/>
        <item m="1" x="417"/>
        <item m="1" x="404"/>
        <item m="1" x="226"/>
        <item m="1" x="671"/>
        <item m="1" x="641"/>
        <item m="1" x="273"/>
        <item m="1" x="550"/>
        <item m="1" x="666"/>
        <item m="1" x="535"/>
        <item m="1" x="323"/>
        <item m="1" x="683"/>
        <item m="1" x="431"/>
        <item m="1" x="452"/>
        <item m="1" x="689"/>
        <item m="1" x="339"/>
        <item m="1" x="585"/>
        <item m="1" x="556"/>
        <item m="1" x="411"/>
        <item m="1" x="622"/>
        <item m="1" x="536"/>
        <item m="1" x="647"/>
        <item m="1" x="538"/>
        <item m="1" x="611"/>
        <item m="1" x="15"/>
        <item m="1" x="492"/>
        <item m="1" x="16"/>
        <item m="1" x="343"/>
        <item m="1" x="409"/>
        <item m="1" x="644"/>
        <item m="1" x="464"/>
        <item m="1" x="503"/>
        <item m="1" x="631"/>
        <item m="1" x="600"/>
        <item m="1" x="29"/>
        <item m="1" x="413"/>
        <item m="1" x="290"/>
        <item m="1" x="530"/>
        <item m="1" x="291"/>
        <item m="1" x="329"/>
        <item m="1" x="320"/>
        <item m="1" x="453"/>
        <item m="1" x="333"/>
        <item m="1" x="525"/>
        <item m="1" x="580"/>
        <item m="1" x="465"/>
        <item m="1" x="366"/>
        <item m="1" x="31"/>
        <item m="1" x="605"/>
        <item m="1" x="289"/>
        <item m="1" x="661"/>
        <item m="1" x="34"/>
        <item m="1" x="663"/>
        <item m="1" x="534"/>
        <item m="1" x="593"/>
        <item m="1" x="523"/>
        <item m="1" x="36"/>
        <item m="1" x="582"/>
        <item m="1" x="692"/>
        <item m="1" x="288"/>
        <item m="1" x="435"/>
        <item m="1" x="494"/>
        <item m="1" x="678"/>
        <item m="1" x="548"/>
        <item m="1" x="271"/>
        <item m="1" x="299"/>
        <item m="1" x="309"/>
        <item m="1" x="651"/>
        <item m="1" x="549"/>
        <item m="1" x="267"/>
        <item m="1" x="657"/>
        <item m="1" x="277"/>
        <item m="1" x="508"/>
        <item m="1" x="383"/>
        <item m="1" x="701"/>
        <item m="1" x="694"/>
        <item m="1" x="305"/>
        <item m="1" x="227"/>
        <item m="1" x="338"/>
        <item m="1" x="341"/>
        <item m="1" x="86"/>
        <item m="1" x="499"/>
        <item m="1" x="235"/>
        <item m="1" x="368"/>
        <item m="1" x="599"/>
        <item m="1" x="475"/>
        <item m="1" x="312"/>
        <item m="1" x="461"/>
        <item m="1" x="561"/>
        <item m="1" x="352"/>
        <item m="1" x="662"/>
        <item m="1" x="521"/>
        <item m="1" x="369"/>
        <item m="1" x="256"/>
        <item m="1" x="584"/>
        <item m="1" x="540"/>
        <item m="1" x="706"/>
        <item m="1" x="351"/>
        <item m="1" x="233"/>
        <item m="1" x="543"/>
        <item m="1" x="304"/>
        <item m="1" x="545"/>
        <item m="1" x="527"/>
        <item m="1" x="537"/>
        <item m="1" x="303"/>
        <item m="1" x="493"/>
        <item m="1" x="707"/>
        <item m="1" x="555"/>
        <item m="1" x="648"/>
        <item m="1" x="407"/>
        <item m="1" x="576"/>
        <item m="1" x="458"/>
        <item m="1" x="324"/>
        <item m="1" x="275"/>
        <item m="1" x="249"/>
        <item m="1" x="403"/>
        <item m="1" x="231"/>
        <item m="1" x="436"/>
        <item m="1" x="367"/>
        <item m="1" x="349"/>
        <item m="1" x="223"/>
        <item m="1" x="224"/>
        <item m="1" x="637"/>
        <item m="1" x="487"/>
        <item m="1" x="665"/>
        <item m="1" x="310"/>
        <item m="1" x="489"/>
        <item m="1" x="483"/>
        <item m="1" x="490"/>
        <item m="1" x="496"/>
        <item m="1" x="374"/>
        <item m="1" x="456"/>
        <item m="1" x="566"/>
        <item m="1" x="598"/>
        <item m="1" x="261"/>
        <item m="1" x="457"/>
        <item m="1" x="520"/>
        <item m="1" x="348"/>
        <item m="1" x="607"/>
        <item m="1" x="467"/>
        <item m="1" x="318"/>
        <item m="1" x="574"/>
        <item m="1" x="652"/>
        <item m="1" x="681"/>
        <item m="1" x="420"/>
        <item m="1" x="619"/>
        <item m="1" x="553"/>
        <item m="1" x="486"/>
        <item m="1" x="454"/>
        <item m="1" x="335"/>
        <item m="1" x="167"/>
        <item m="1" x="690"/>
        <item m="1" x="264"/>
        <item m="1" x="589"/>
        <item m="1" x="679"/>
        <item m="1" x="319"/>
        <item m="1" x="560"/>
        <item m="1" x="702"/>
        <item m="1" x="597"/>
        <item m="1" x="688"/>
        <item m="1" x="228"/>
        <item m="1" x="526"/>
        <item m="1" x="596"/>
        <item m="1" x="268"/>
        <item m="1" x="243"/>
        <item m="1" x="506"/>
        <item m="1" x="308"/>
        <item m="1" x="362"/>
        <item m="1" x="604"/>
        <item m="1" x="562"/>
        <item m="1" x="473"/>
        <item m="1" x="342"/>
        <item m="1" x="660"/>
        <item m="1" x="592"/>
        <item m="1" x="260"/>
        <item m="1" x="613"/>
        <item m="1" x="109"/>
        <item m="1" x="581"/>
        <item m="1" x="529"/>
        <item m="1" x="381"/>
        <item m="1" x="336"/>
        <item m="1" x="552"/>
        <item m="1" x="298"/>
        <item m="1" x="703"/>
        <item m="1" x="638"/>
        <item m="1" x="197"/>
        <item m="1" x="700"/>
        <item m="1" x="567"/>
        <item m="1" x="518"/>
        <item m="1" x="238"/>
        <item m="1" x="280"/>
        <item m="1" x="282"/>
        <item m="1" x="315"/>
        <item m="1" x="372"/>
        <item m="1" x="470"/>
        <item m="1" x="471"/>
        <item m="1" x="664"/>
        <item m="1" x="415"/>
        <item m="1" x="360"/>
        <item m="1" x="247"/>
        <item m="1" x="248"/>
        <item m="1" x="357"/>
        <item m="1" x="512"/>
        <item m="1" x="358"/>
        <item m="1" x="359"/>
        <item m="1" x="551"/>
        <item m="1" x="330"/>
        <item x="4"/>
        <item m="1" x="125"/>
        <item x="0"/>
        <item x="6"/>
        <item x="8"/>
        <item m="1" x="127"/>
        <item m="1" x="114"/>
        <item m="1" x="115"/>
        <item m="1" x="116"/>
        <item m="1" x="117"/>
        <item m="1" x="118"/>
        <item m="1" x="119"/>
        <item m="1" x="28"/>
        <item m="1" x="19"/>
        <item m="1" x="20"/>
        <item m="1" x="21"/>
        <item m="1" x="22"/>
        <item m="1" x="23"/>
        <item m="1" x="24"/>
        <item m="1" x="25"/>
        <item m="1" x="92"/>
        <item m="1" x="27"/>
        <item m="1" x="40"/>
        <item m="1" x="41"/>
        <item m="1" x="42"/>
        <item m="1" x="43"/>
        <item m="1" x="44"/>
        <item m="1" x="46"/>
        <item m="1" x="37"/>
        <item m="1" x="39"/>
        <item m="1" x="50"/>
        <item m="1" x="51"/>
        <item m="1" x="52"/>
        <item m="1" x="53"/>
        <item m="1" x="54"/>
        <item m="1" x="55"/>
        <item m="1" x="56"/>
        <item m="1" x="57"/>
        <item m="1" x="58"/>
        <item m="1" x="59"/>
        <item m="1" x="66"/>
        <item m="1" x="67"/>
        <item m="1" x="68"/>
        <item m="1" x="69"/>
        <item m="1" x="70"/>
        <item m="1" x="71"/>
        <item m="1" x="60"/>
        <item m="1" x="61"/>
        <item m="1" x="62"/>
        <item m="1" x="72"/>
        <item m="1" x="63"/>
        <item m="1" x="64"/>
        <item m="1" x="65"/>
        <item m="1" x="84"/>
        <item m="1" x="85"/>
        <item m="1" x="87"/>
        <item m="1" x="88"/>
        <item m="1" x="89"/>
        <item m="1" x="91"/>
        <item m="1" x="14"/>
        <item m="1" x="150"/>
        <item m="1" x="152"/>
        <item m="1" x="153"/>
        <item m="1" x="154"/>
        <item m="1" x="155"/>
        <item m="1" x="151"/>
        <item m="1" x="156"/>
        <item m="1" x="158"/>
        <item m="1" x="159"/>
        <item m="1" x="162"/>
        <item m="1" x="163"/>
        <item m="1" x="164"/>
        <item m="1" x="166"/>
        <item x="1"/>
        <item x="9"/>
        <item x="7"/>
        <item m="1" x="673"/>
        <item m="1" x="232"/>
        <item m="1" x="377"/>
        <item m="1" x="408"/>
        <item m="1" x="463"/>
        <item m="1" x="365"/>
        <item m="1" x="616"/>
        <item m="1" x="617"/>
        <item m="1" x="524"/>
        <item m="1" x="423"/>
        <item m="1" x="505"/>
        <item m="1" x="539"/>
        <item m="1" x="258"/>
        <item m="1" x="259"/>
        <item m="1" x="263"/>
        <item m="1" x="317"/>
        <item m="1" x="554"/>
        <item m="1" x="575"/>
        <item m="1" x="397"/>
        <item m="1" x="477"/>
        <item m="1" x="479"/>
        <item m="1" x="481"/>
        <item m="1" x="484"/>
        <item m="1" x="416"/>
        <item m="1" x="253"/>
        <item m="1" x="254"/>
        <item m="1" x="402"/>
        <item m="1" x="306"/>
        <item m="1" x="295"/>
        <item m="1" x="627"/>
        <item m="1" x="603"/>
        <item m="1" x="646"/>
        <item m="1" x="244"/>
        <item m="1" x="396"/>
        <item m="1" x="325"/>
        <item m="1" x="26"/>
        <item m="1" x="78"/>
        <item m="1" x="79"/>
        <item m="1" x="80"/>
        <item m="1" x="81"/>
        <item m="1" x="82"/>
        <item m="1" x="77"/>
        <item m="1" x="73"/>
        <item m="1" x="74"/>
        <item m="1" x="75"/>
        <item m="1" x="76"/>
        <item m="1" x="120"/>
        <item m="1" x="128"/>
        <item m="1" x="209"/>
        <item m="1" x="208"/>
        <item m="1" x="168"/>
        <item m="1" x="169"/>
        <item m="1" x="170"/>
        <item m="1" x="171"/>
        <item m="1" x="172"/>
        <item m="1" x="173"/>
        <item m="1" x="113"/>
        <item m="1" x="111"/>
        <item m="1" x="112"/>
        <item m="1" x="99"/>
        <item m="1" x="100"/>
        <item m="1" x="101"/>
        <item m="1" x="94"/>
        <item m="1" x="95"/>
        <item m="1" x="103"/>
        <item m="1" x="96"/>
        <item m="1" x="97"/>
        <item m="1" x="98"/>
        <item m="1" x="104"/>
        <item m="1" x="105"/>
        <item m="1" x="106"/>
        <item m="1" x="469"/>
        <item m="1" x="121"/>
        <item m="1" x="122"/>
        <item m="1" x="123"/>
        <item m="1" x="195"/>
        <item m="1" x="196"/>
        <item m="1" x="210"/>
        <item m="1" x="124"/>
        <item m="1" x="211"/>
        <item m="1" x="212"/>
        <item m="1" x="213"/>
        <item m="1" x="214"/>
        <item m="1" x="215"/>
        <item m="1" x="216"/>
        <item m="1" x="129"/>
        <item m="1" x="130"/>
        <item m="1" x="131"/>
        <item m="1" x="133"/>
        <item m="1" x="134"/>
        <item m="1" x="136"/>
        <item m="1" x="137"/>
        <item m="1" x="139"/>
        <item m="1" x="175"/>
        <item m="1" x="176"/>
        <item m="1" x="177"/>
        <item m="1" x="178"/>
        <item m="1" x="179"/>
        <item m="1" x="180"/>
        <item m="1" x="181"/>
        <item m="1" x="182"/>
        <item m="1" x="183"/>
        <item m="1" x="184"/>
        <item m="1" x="185"/>
        <item m="1" x="186"/>
        <item m="1" x="49"/>
        <item m="1" x="48"/>
        <item m="1" x="389"/>
        <item m="1" x="433"/>
        <item m="1" x="695"/>
        <item m="1" x="188"/>
        <item m="1" x="189"/>
        <item m="1" x="190"/>
        <item m="1" x="187"/>
        <item m="1" x="191"/>
        <item m="1" x="192"/>
        <item m="1" x="193"/>
        <item m="1" x="140"/>
        <item m="1" x="141"/>
        <item m="1" x="142"/>
        <item m="1" x="143"/>
        <item m="1" x="144"/>
        <item m="1" x="145"/>
        <item m="1" x="146"/>
        <item m="1" x="147"/>
        <item m="1" x="148"/>
        <item m="1" x="149"/>
        <item m="1" x="35"/>
        <item m="1" x="455"/>
        <item m="1" x="199"/>
        <item m="1" x="313"/>
        <item m="1" x="364"/>
        <item m="1" x="361"/>
        <item m="1" x="274"/>
        <item m="1" x="201"/>
        <item m="1" x="401"/>
        <item m="1" x="502"/>
        <item m="1" x="202"/>
        <item m="1" x="255"/>
        <item m="1" x="198"/>
        <item m="1" x="200"/>
        <item m="1" x="206"/>
        <item m="1" x="207"/>
        <item m="1" x="107"/>
        <item m="1" x="132"/>
        <item m="1" x="246"/>
        <item m="1" x="444"/>
        <item m="1" x="445"/>
        <item m="1" x="446"/>
        <item m="1" x="447"/>
        <item m="1" x="448"/>
        <item m="1" x="449"/>
        <item m="1" x="257"/>
        <item m="1" x="204"/>
        <item t="default"/>
      </items>
    </pivotField>
    <pivotField axis="axisPage" compact="0" outline="0" subtotalTop="0" multipleItemSelectionAllowed="1" showAll="0">
      <items count="5">
        <item h="1" m="1" x="3"/>
        <item x="0"/>
        <item h="1" x="1"/>
        <item h="1" m="1" x="2"/>
        <item t="default"/>
      </items>
    </pivotField>
    <pivotField compact="0" outline="0" subtotalTop="0" showAll="0"/>
  </pivotFields>
  <rowFields count="4">
    <field x="21"/>
    <field x="7"/>
    <field x="5"/>
    <field x="1"/>
  </rowFields>
  <rowItems count="5">
    <i>
      <x v="99"/>
      <x v="4"/>
      <x v="793"/>
      <x/>
    </i>
    <i r="2">
      <x v="919"/>
      <x/>
    </i>
    <i t="default" r="1">
      <x v="4"/>
    </i>
    <i t="default">
      <x v="99"/>
    </i>
    <i t="grand">
      <x/>
    </i>
  </rowItems>
  <colItems count="1">
    <i/>
  </colItems>
  <pageFields count="1">
    <pageField fld="22" hier="-1"/>
  </pageFields>
  <dataFields count="1">
    <dataField name="Ejecutado" fld="16" subtotal="count" baseField="0" baseItem="0"/>
  </dataFields>
  <formats count="720">
    <format dxfId="719">
      <pivotArea field="3" type="button" dataOnly="0" labelOnly="1" outline="0"/>
    </format>
    <format dxfId="718">
      <pivotArea field="1" type="button" dataOnly="0" labelOnly="1" outline="0" axis="axisRow" fieldPosition="3"/>
    </format>
    <format dxfId="717">
      <pivotArea field="3" type="button" dataOnly="0" labelOnly="1" outline="0"/>
    </format>
    <format dxfId="716">
      <pivotArea field="7" type="button" dataOnly="0" labelOnly="1" outline="0" axis="axisRow" fieldPosition="1"/>
    </format>
    <format dxfId="715">
      <pivotArea type="all" dataOnly="0" outline="0" fieldPosition="0"/>
    </format>
    <format dxfId="714">
      <pivotArea field="1" type="button" dataOnly="0" labelOnly="1" outline="0" axis="axisRow" fieldPosition="3"/>
    </format>
    <format dxfId="713">
      <pivotArea field="3" type="button" dataOnly="0" labelOnly="1" outline="0"/>
    </format>
    <format dxfId="712">
      <pivotArea field="7" type="button" dataOnly="0" labelOnly="1" outline="0" axis="axisRow" fieldPosition="1"/>
    </format>
    <format dxfId="711">
      <pivotArea dataOnly="0" labelOnly="1" outline="0" fieldPosition="0">
        <references count="1">
          <reference field="7" count="0"/>
        </references>
      </pivotArea>
    </format>
    <format dxfId="710">
      <pivotArea dataOnly="0" labelOnly="1" outline="0" fieldPosition="0">
        <references count="1">
          <reference field="7" count="0"/>
        </references>
      </pivotArea>
    </format>
    <format dxfId="709">
      <pivotArea field="1" type="button" dataOnly="0" labelOnly="1" outline="0" axis="axisRow" fieldPosition="3"/>
    </format>
    <format dxfId="708">
      <pivotArea field="3" type="button" dataOnly="0" labelOnly="1" outline="0"/>
    </format>
    <format dxfId="707">
      <pivotArea field="7" type="button" dataOnly="0" labelOnly="1" outline="0" axis="axisRow" fieldPosition="1"/>
    </format>
    <format dxfId="706">
      <pivotArea type="all" dataOnly="0" outline="0" fieldPosition="0"/>
    </format>
    <format dxfId="705">
      <pivotArea field="1" type="button" dataOnly="0" labelOnly="1" outline="0" axis="axisRow" fieldPosition="3"/>
    </format>
    <format dxfId="704">
      <pivotArea field="3" type="button" dataOnly="0" labelOnly="1" outline="0"/>
    </format>
    <format dxfId="703">
      <pivotArea field="5" type="button" dataOnly="0" labelOnly="1" outline="0" axis="axisRow" fieldPosition="2"/>
    </format>
    <format dxfId="702">
      <pivotArea field="7" type="button" dataOnly="0" labelOnly="1" outline="0" axis="axisRow" fieldPosition="1"/>
    </format>
    <format dxfId="701">
      <pivotArea field="5" type="button" dataOnly="0" labelOnly="1" outline="0" axis="axisRow" fieldPosition="2"/>
    </format>
    <format dxfId="700">
      <pivotArea field="16" type="button" dataOnly="0" labelOnly="1" outline="0"/>
    </format>
    <format dxfId="699">
      <pivotArea field="17" type="button" dataOnly="0" labelOnly="1" outline="0"/>
    </format>
    <format dxfId="698">
      <pivotArea field="18" type="button" dataOnly="0" labelOnly="1" outline="0"/>
    </format>
    <format dxfId="697">
      <pivotArea field="19" type="button" dataOnly="0" labelOnly="1" outline="0"/>
    </format>
    <format dxfId="696">
      <pivotArea field="1" type="button" dataOnly="0" labelOnly="1" outline="0" axis="axisRow" fieldPosition="3"/>
    </format>
    <format dxfId="695">
      <pivotArea field="3" type="button" dataOnly="0" labelOnly="1" outline="0"/>
    </format>
    <format dxfId="694">
      <pivotArea field="5" type="button" dataOnly="0" labelOnly="1" outline="0" axis="axisRow" fieldPosition="2"/>
    </format>
    <format dxfId="693">
      <pivotArea field="7" type="button" dataOnly="0" labelOnly="1" outline="0" axis="axisRow" fieldPosition="1"/>
    </format>
    <format dxfId="692">
      <pivotArea field="16" type="button" dataOnly="0" labelOnly="1" outline="0"/>
    </format>
    <format dxfId="691">
      <pivotArea field="17" type="button" dataOnly="0" labelOnly="1" outline="0"/>
    </format>
    <format dxfId="690">
      <pivotArea field="18" type="button" dataOnly="0" labelOnly="1" outline="0"/>
    </format>
    <format dxfId="689">
      <pivotArea field="19" type="button" dataOnly="0" labelOnly="1" outline="0"/>
    </format>
    <format dxfId="688">
      <pivotArea field="1" type="button" dataOnly="0" labelOnly="1" outline="0" axis="axisRow" fieldPosition="3"/>
    </format>
    <format dxfId="687">
      <pivotArea field="3" type="button" dataOnly="0" labelOnly="1" outline="0"/>
    </format>
    <format dxfId="686">
      <pivotArea field="5" type="button" dataOnly="0" labelOnly="1" outline="0" axis="axisRow" fieldPosition="2"/>
    </format>
    <format dxfId="685">
      <pivotArea field="7" type="button" dataOnly="0" labelOnly="1" outline="0" axis="axisRow" fieldPosition="1"/>
    </format>
    <format dxfId="684">
      <pivotArea field="16" type="button" dataOnly="0" labelOnly="1" outline="0"/>
    </format>
    <format dxfId="683">
      <pivotArea field="17" type="button" dataOnly="0" labelOnly="1" outline="0"/>
    </format>
    <format dxfId="682">
      <pivotArea field="18" type="button" dataOnly="0" labelOnly="1" outline="0"/>
    </format>
    <format dxfId="681">
      <pivotArea field="19" type="button" dataOnly="0" labelOnly="1" outline="0"/>
    </format>
    <format dxfId="680">
      <pivotArea outline="0" collapsedLevelsAreSubtotals="1" fieldPosition="0"/>
    </format>
    <format dxfId="679">
      <pivotArea dataOnly="0" labelOnly="1" outline="0" axis="axisValues" fieldPosition="0"/>
    </format>
    <format dxfId="678">
      <pivotArea field="1" type="button" dataOnly="0" labelOnly="1" outline="0" axis="axisRow" fieldPosition="3"/>
    </format>
    <format dxfId="677">
      <pivotArea field="3" type="button" dataOnly="0" labelOnly="1" outline="0"/>
    </format>
    <format dxfId="676">
      <pivotArea field="7" type="button" dataOnly="0" labelOnly="1" outline="0" axis="axisRow" fieldPosition="1"/>
    </format>
    <format dxfId="675">
      <pivotArea field="5" type="button" dataOnly="0" labelOnly="1" outline="0" axis="axisRow" fieldPosition="2"/>
    </format>
    <format dxfId="674">
      <pivotArea field="16" type="button" dataOnly="0" labelOnly="1" outline="0"/>
    </format>
    <format dxfId="673">
      <pivotArea field="17" type="button" dataOnly="0" labelOnly="1" outline="0"/>
    </format>
    <format dxfId="672">
      <pivotArea field="18" type="button" dataOnly="0" labelOnly="1" outline="0"/>
    </format>
    <format dxfId="671">
      <pivotArea dataOnly="0" labelOnly="1" outline="0" axis="axisValues" fieldPosition="0"/>
    </format>
    <format dxfId="670">
      <pivotArea field="17" type="button" dataOnly="0" labelOnly="1" outline="0"/>
    </format>
    <format dxfId="669">
      <pivotArea field="18" type="button" dataOnly="0" labelOnly="1" outline="0"/>
    </format>
    <format dxfId="668">
      <pivotArea field="1" type="button" dataOnly="0" labelOnly="1" outline="0" axis="axisRow" fieldPosition="3"/>
    </format>
    <format dxfId="667">
      <pivotArea field="3" type="button" dataOnly="0" labelOnly="1" outline="0"/>
    </format>
    <format dxfId="666">
      <pivotArea field="7" type="button" dataOnly="0" labelOnly="1" outline="0" axis="axisRow" fieldPosition="1"/>
    </format>
    <format dxfId="665">
      <pivotArea field="5" type="button" dataOnly="0" labelOnly="1" outline="0" axis="axisRow" fieldPosition="2"/>
    </format>
    <format dxfId="664">
      <pivotArea field="16" type="button" dataOnly="0" labelOnly="1" outline="0"/>
    </format>
    <format dxfId="663">
      <pivotArea field="17" type="button" dataOnly="0" labelOnly="1" outline="0"/>
    </format>
    <format dxfId="662">
      <pivotArea field="18" type="button" dataOnly="0" labelOnly="1" outline="0"/>
    </format>
    <format dxfId="661">
      <pivotArea dataOnly="0" labelOnly="1" outline="0" axis="axisValues" fieldPosition="0"/>
    </format>
    <format dxfId="660">
      <pivotArea field="1" type="button" dataOnly="0" labelOnly="1" outline="0" axis="axisRow" fieldPosition="3"/>
    </format>
    <format dxfId="659">
      <pivotArea field="3" type="button" dataOnly="0" labelOnly="1" outline="0"/>
    </format>
    <format dxfId="658">
      <pivotArea field="7" type="button" dataOnly="0" labelOnly="1" outline="0" axis="axisRow" fieldPosition="1"/>
    </format>
    <format dxfId="657">
      <pivotArea field="5" type="button" dataOnly="0" labelOnly="1" outline="0" axis="axisRow" fieldPosition="2"/>
    </format>
    <format dxfId="656">
      <pivotArea field="16" type="button" dataOnly="0" labelOnly="1" outline="0"/>
    </format>
    <format dxfId="655">
      <pivotArea field="17" type="button" dataOnly="0" labelOnly="1" outline="0"/>
    </format>
    <format dxfId="654">
      <pivotArea field="18" type="button" dataOnly="0" labelOnly="1" outline="0"/>
    </format>
    <format dxfId="653">
      <pivotArea dataOnly="0" labelOnly="1" outline="0" axis="axisValues" fieldPosition="0"/>
    </format>
    <format dxfId="652">
      <pivotArea field="1" type="button" dataOnly="0" labelOnly="1" outline="0" axis="axisRow" fieldPosition="3"/>
    </format>
    <format dxfId="651">
      <pivotArea field="3" type="button" dataOnly="0" labelOnly="1" outline="0"/>
    </format>
    <format dxfId="650">
      <pivotArea field="7" type="button" dataOnly="0" labelOnly="1" outline="0" axis="axisRow" fieldPosition="1"/>
    </format>
    <format dxfId="649">
      <pivotArea field="5" type="button" dataOnly="0" labelOnly="1" outline="0" axis="axisRow" fieldPosition="2"/>
    </format>
    <format dxfId="648">
      <pivotArea field="16" type="button" dataOnly="0" labelOnly="1" outline="0"/>
    </format>
    <format dxfId="647">
      <pivotArea field="17" type="button" dataOnly="0" labelOnly="1" outline="0"/>
    </format>
    <format dxfId="646">
      <pivotArea field="18" type="button" dataOnly="0" labelOnly="1" outline="0"/>
    </format>
    <format dxfId="645">
      <pivotArea dataOnly="0" labelOnly="1" outline="0" axis="axisValues" fieldPosition="0"/>
    </format>
    <format dxfId="644">
      <pivotArea field="1" type="button" dataOnly="0" labelOnly="1" outline="0" axis="axisRow" fieldPosition="3"/>
    </format>
    <format dxfId="643">
      <pivotArea field="3" type="button" dataOnly="0" labelOnly="1" outline="0"/>
    </format>
    <format dxfId="642">
      <pivotArea field="7" type="button" dataOnly="0" labelOnly="1" outline="0" axis="axisRow" fieldPosition="1"/>
    </format>
    <format dxfId="641">
      <pivotArea field="5" type="button" dataOnly="0" labelOnly="1" outline="0" axis="axisRow" fieldPosition="2"/>
    </format>
    <format dxfId="640">
      <pivotArea field="16" type="button" dataOnly="0" labelOnly="1" outline="0"/>
    </format>
    <format dxfId="639">
      <pivotArea field="17" type="button" dataOnly="0" labelOnly="1" outline="0"/>
    </format>
    <format dxfId="638">
      <pivotArea field="18" type="button" dataOnly="0" labelOnly="1" outline="0"/>
    </format>
    <format dxfId="637">
      <pivotArea dataOnly="0" labelOnly="1" outline="0" axis="axisValues" fieldPosition="0"/>
    </format>
    <format dxfId="636">
      <pivotArea field="1" type="button" dataOnly="0" labelOnly="1" outline="0" axis="axisRow" fieldPosition="3"/>
    </format>
    <format dxfId="635">
      <pivotArea field="3" type="button" dataOnly="0" labelOnly="1" outline="0"/>
    </format>
    <format dxfId="634">
      <pivotArea field="7" type="button" dataOnly="0" labelOnly="1" outline="0" axis="axisRow" fieldPosition="1"/>
    </format>
    <format dxfId="633">
      <pivotArea field="5" type="button" dataOnly="0" labelOnly="1" outline="0" axis="axisRow" fieldPosition="2"/>
    </format>
    <format dxfId="632">
      <pivotArea field="16" type="button" dataOnly="0" labelOnly="1" outline="0"/>
    </format>
    <format dxfId="631">
      <pivotArea field="17" type="button" dataOnly="0" labelOnly="1" outline="0"/>
    </format>
    <format dxfId="630">
      <pivotArea field="18" type="button" dataOnly="0" labelOnly="1" outline="0"/>
    </format>
    <format dxfId="629">
      <pivotArea dataOnly="0" labelOnly="1" outline="0" axis="axisValues" fieldPosition="0"/>
    </format>
    <format dxfId="628">
      <pivotArea field="3" type="button" dataOnly="0" labelOnly="1" outline="0"/>
    </format>
    <format dxfId="627">
      <pivotArea dataOnly="0" labelOnly="1" outline="0" fieldPosition="0">
        <references count="1">
          <reference field="7" count="0"/>
        </references>
      </pivotArea>
    </format>
    <format dxfId="626">
      <pivotArea field="20" type="button" dataOnly="0" labelOnly="1" outline="0"/>
    </format>
    <format dxfId="625">
      <pivotArea field="4" type="button" dataOnly="0" labelOnly="1" outline="0"/>
    </format>
    <format dxfId="624">
      <pivotArea field="4" type="button" dataOnly="0" labelOnly="1" outline="0"/>
    </format>
    <format dxfId="623">
      <pivotArea field="20" type="button" dataOnly="0" labelOnly="1" outline="0"/>
    </format>
    <format dxfId="622">
      <pivotArea field="4" type="button" dataOnly="0" labelOnly="1" outline="0"/>
    </format>
    <format dxfId="621">
      <pivotArea field="21" type="button" dataOnly="0" labelOnly="1" outline="0" axis="axisRow" fieldPosition="0"/>
    </format>
    <format dxfId="620">
      <pivotArea field="21" type="button" dataOnly="0" labelOnly="1" outline="0" axis="axisRow" fieldPosition="0"/>
    </format>
    <format dxfId="619">
      <pivotArea field="21" type="button" dataOnly="0" labelOnly="1" outline="0" axis="axisRow" fieldPosition="0"/>
    </format>
    <format dxfId="618">
      <pivotArea field="21" type="button" dataOnly="0" labelOnly="1" outline="0" axis="axisRow" fieldPosition="0"/>
    </format>
    <format dxfId="617">
      <pivotArea field="21" type="button" dataOnly="0" labelOnly="1" outline="0" axis="axisRow" fieldPosition="0"/>
    </format>
    <format dxfId="616">
      <pivotArea field="21" type="button" dataOnly="0" labelOnly="1" outline="0" axis="axisRow" fieldPosition="0"/>
    </format>
    <format dxfId="615">
      <pivotArea field="21" type="button" dataOnly="0" labelOnly="1" outline="0" axis="axisRow" fieldPosition="0"/>
    </format>
    <format dxfId="614">
      <pivotArea field="21" type="button" dataOnly="0" labelOnly="1" outline="0" axis="axisRow" fieldPosition="0"/>
    </format>
    <format dxfId="613">
      <pivotArea field="21" type="button" dataOnly="0" labelOnly="1" outline="0" axis="axisRow" fieldPosition="0"/>
    </format>
    <format dxfId="612">
      <pivotArea field="21" type="button" dataOnly="0" labelOnly="1" outline="0" axis="axisRow" fieldPosition="0"/>
    </format>
    <format dxfId="611">
      <pivotArea field="21" type="button" dataOnly="0" labelOnly="1" outline="0" axis="axisRow" fieldPosition="0"/>
    </format>
    <format dxfId="610">
      <pivotArea field="21" type="button" dataOnly="0" labelOnly="1" outline="0" axis="axisRow" fieldPosition="0"/>
    </format>
    <format dxfId="609">
      <pivotArea field="21" type="button" dataOnly="0" labelOnly="1" outline="0" axis="axisRow" fieldPosition="0"/>
    </format>
    <format dxfId="608">
      <pivotArea field="21" type="button" dataOnly="0" labelOnly="1" outline="0" axis="axisRow" fieldPosition="0"/>
    </format>
    <format dxfId="607">
      <pivotArea field="21" type="button" dataOnly="0" labelOnly="1" outline="0" axis="axisRow" fieldPosition="0"/>
    </format>
    <format dxfId="606">
      <pivotArea field="21" type="button" dataOnly="0" labelOnly="1" outline="0" axis="axisRow" fieldPosition="0"/>
    </format>
    <format dxfId="605">
      <pivotArea field="3" type="button" dataOnly="0" labelOnly="1" outline="0"/>
    </format>
    <format dxfId="604">
      <pivotArea field="3" type="button" dataOnly="0" labelOnly="1" outline="0"/>
    </format>
    <format dxfId="603">
      <pivotArea field="21" type="button" dataOnly="0" labelOnly="1" outline="0" axis="axisRow" fieldPosition="0"/>
    </format>
    <format dxfId="602">
      <pivotArea field="21" type="button" dataOnly="0" labelOnly="1" outline="0" axis="axisRow" fieldPosition="0"/>
    </format>
    <format dxfId="601">
      <pivotArea field="21" type="button" dataOnly="0" labelOnly="1" outline="0" axis="axisRow" fieldPosition="0"/>
    </format>
    <format dxfId="600">
      <pivotArea field="21" type="button" dataOnly="0" labelOnly="1" outline="0" axis="axisRow" fieldPosition="0"/>
    </format>
    <format dxfId="599">
      <pivotArea field="21" type="button" dataOnly="0" labelOnly="1" outline="0" axis="axisRow" fieldPosition="0"/>
    </format>
    <format dxfId="598">
      <pivotArea field="21" type="button" dataOnly="0" labelOnly="1" outline="0" axis="axisRow" fieldPosition="0"/>
    </format>
    <format dxfId="597">
      <pivotArea field="21" type="button" dataOnly="0" labelOnly="1" outline="0" axis="axisRow" fieldPosition="0"/>
    </format>
    <format dxfId="596">
      <pivotArea field="7" type="button" dataOnly="0" labelOnly="1" outline="0" axis="axisRow" fieldPosition="1"/>
    </format>
    <format dxfId="595">
      <pivotArea field="7" type="button" dataOnly="0" labelOnly="1" outline="0" axis="axisRow" fieldPosition="1"/>
    </format>
    <format dxfId="594">
      <pivotArea field="3" type="button" dataOnly="0" labelOnly="1" outline="0"/>
    </format>
    <format dxfId="593">
      <pivotArea field="3" type="button" dataOnly="0" labelOnly="1" outline="0"/>
    </format>
    <format dxfId="592">
      <pivotArea field="7" type="button" dataOnly="0" labelOnly="1" outline="0" axis="axisRow" fieldPosition="1"/>
    </format>
    <format dxfId="591">
      <pivotArea field="7" type="button" dataOnly="0" labelOnly="1" outline="0" axis="axisRow" fieldPosition="1"/>
    </format>
    <format dxfId="590">
      <pivotArea field="21" type="button" dataOnly="0" labelOnly="1" outline="0" axis="axisRow" fieldPosition="0"/>
    </format>
    <format dxfId="589">
      <pivotArea field="21" type="button" dataOnly="0" labelOnly="1" outline="0" axis="axisRow" fieldPosition="0"/>
    </format>
    <format dxfId="588">
      <pivotArea field="3" type="button" dataOnly="0" labelOnly="1" outline="0"/>
    </format>
    <format dxfId="587">
      <pivotArea field="3" type="button" dataOnly="0" labelOnly="1" outline="0"/>
    </format>
    <format dxfId="586">
      <pivotArea field="3" type="button" dataOnly="0" labelOnly="1" outline="0"/>
    </format>
    <format dxfId="585">
      <pivotArea field="3" type="button" dataOnly="0" labelOnly="1" outline="0"/>
    </format>
    <format dxfId="584">
      <pivotArea field="7" type="button" dataOnly="0" labelOnly="1" outline="0" axis="axisRow" fieldPosition="1"/>
    </format>
    <format dxfId="583">
      <pivotArea field="7" type="button" dataOnly="0" labelOnly="1" outline="0" axis="axisRow" fieldPosition="1"/>
    </format>
    <format dxfId="582">
      <pivotArea field="21" type="button" dataOnly="0" labelOnly="1" outline="0" axis="axisRow" fieldPosition="0"/>
    </format>
    <format dxfId="581">
      <pivotArea field="21" type="button" dataOnly="0" labelOnly="1" outline="0" axis="axisRow" fieldPosition="0"/>
    </format>
    <format dxfId="580">
      <pivotArea field="3" type="button" dataOnly="0" labelOnly="1" outline="0"/>
    </format>
    <format dxfId="579">
      <pivotArea field="7" type="button" dataOnly="0" labelOnly="1" outline="0" axis="axisRow" fieldPosition="1"/>
    </format>
    <format dxfId="578">
      <pivotArea field="21" type="button" dataOnly="0" labelOnly="1" outline="0" axis="axisRow" fieldPosition="0"/>
    </format>
    <format dxfId="577">
      <pivotArea field="3" type="button" dataOnly="0" labelOnly="1" outline="0"/>
    </format>
    <format dxfId="576">
      <pivotArea field="3" type="button" dataOnly="0" labelOnly="1" outline="0"/>
    </format>
    <format dxfId="575">
      <pivotArea field="7" type="button" dataOnly="0" labelOnly="1" outline="0" axis="axisRow" fieldPosition="1"/>
    </format>
    <format dxfId="574">
      <pivotArea field="7" type="button" dataOnly="0" labelOnly="1" outline="0" axis="axisRow" fieldPosition="1"/>
    </format>
    <format dxfId="573">
      <pivotArea field="3" type="button" dataOnly="0" labelOnly="1" outline="0"/>
    </format>
    <format dxfId="572">
      <pivotArea field="3" type="button" dataOnly="0" labelOnly="1" outline="0"/>
    </format>
    <format dxfId="571">
      <pivotArea field="7" type="button" dataOnly="0" labelOnly="1" outline="0" axis="axisRow" fieldPosition="1"/>
    </format>
    <format dxfId="570">
      <pivotArea field="7" type="button" dataOnly="0" labelOnly="1" outline="0" axis="axisRow" fieldPosition="1"/>
    </format>
    <format dxfId="569">
      <pivotArea field="3" type="button" dataOnly="0" labelOnly="1" outline="0"/>
    </format>
    <format dxfId="568">
      <pivotArea field="3" type="button" dataOnly="0" labelOnly="1" outline="0"/>
    </format>
    <format dxfId="567">
      <pivotArea field="7" type="button" dataOnly="0" labelOnly="1" outline="0" axis="axisRow" fieldPosition="1"/>
    </format>
    <format dxfId="566">
      <pivotArea field="7" type="button" dataOnly="0" labelOnly="1" outline="0" axis="axisRow" fieldPosition="1"/>
    </format>
    <format dxfId="565">
      <pivotArea field="21" type="button" dataOnly="0" labelOnly="1" outline="0" axis="axisRow" fieldPosition="0"/>
    </format>
    <format dxfId="564">
      <pivotArea field="21" type="button" dataOnly="0" labelOnly="1" outline="0" axis="axisRow" fieldPosition="0"/>
    </format>
    <format dxfId="563">
      <pivotArea field="3" type="button" dataOnly="0" labelOnly="1" outline="0"/>
    </format>
    <format dxfId="562">
      <pivotArea field="3" type="button" dataOnly="0" labelOnly="1" outline="0"/>
    </format>
    <format dxfId="561">
      <pivotArea field="7" type="button" dataOnly="0" labelOnly="1" outline="0" axis="axisRow" fieldPosition="1"/>
    </format>
    <format dxfId="560">
      <pivotArea field="7" type="button" dataOnly="0" labelOnly="1" outline="0" axis="axisRow" fieldPosition="1"/>
    </format>
    <format dxfId="559">
      <pivotArea field="21" type="button" dataOnly="0" labelOnly="1" outline="0" axis="axisRow" fieldPosition="0"/>
    </format>
    <format dxfId="558">
      <pivotArea field="21" type="button" dataOnly="0" labelOnly="1" outline="0" axis="axisRow" fieldPosition="0"/>
    </format>
    <format dxfId="557">
      <pivotArea field="3" type="button" dataOnly="0" labelOnly="1" outline="0"/>
    </format>
    <format dxfId="556">
      <pivotArea field="3" type="button" dataOnly="0" labelOnly="1" outline="0"/>
    </format>
    <format dxfId="555">
      <pivotArea field="7" type="button" dataOnly="0" labelOnly="1" outline="0" axis="axisRow" fieldPosition="1"/>
    </format>
    <format dxfId="554">
      <pivotArea field="7" type="button" dataOnly="0" labelOnly="1" outline="0" axis="axisRow" fieldPosition="1"/>
    </format>
    <format dxfId="553">
      <pivotArea field="21" type="button" dataOnly="0" labelOnly="1" outline="0" axis="axisRow" fieldPosition="0"/>
    </format>
    <format dxfId="552">
      <pivotArea field="21" type="button" dataOnly="0" labelOnly="1" outline="0" axis="axisRow" fieldPosition="0"/>
    </format>
    <format dxfId="551">
      <pivotArea field="21" type="button" dataOnly="0" labelOnly="1" outline="0" axis="axisRow" fieldPosition="0"/>
    </format>
    <format dxfId="550">
      <pivotArea field="3" type="button" dataOnly="0" labelOnly="1" outline="0"/>
    </format>
    <format dxfId="549">
      <pivotArea field="3" type="button" dataOnly="0" labelOnly="1" outline="0"/>
    </format>
    <format dxfId="548">
      <pivotArea field="7" type="button" dataOnly="0" labelOnly="1" outline="0" axis="axisRow" fieldPosition="1"/>
    </format>
    <format dxfId="547">
      <pivotArea field="7" type="button" dataOnly="0" labelOnly="1" outline="0" axis="axisRow" fieldPosition="1"/>
    </format>
    <format dxfId="546">
      <pivotArea field="21" type="button" dataOnly="0" labelOnly="1" outline="0" axis="axisRow" fieldPosition="0"/>
    </format>
    <format dxfId="545">
      <pivotArea field="21" type="button" dataOnly="0" labelOnly="1" outline="0" axis="axisRow" fieldPosition="0"/>
    </format>
    <format dxfId="544">
      <pivotArea field="3" type="button" dataOnly="0" labelOnly="1" outline="0"/>
    </format>
    <format dxfId="543">
      <pivotArea field="3" type="button" dataOnly="0" labelOnly="1" outline="0"/>
    </format>
    <format dxfId="542">
      <pivotArea field="7" type="button" dataOnly="0" labelOnly="1" outline="0" axis="axisRow" fieldPosition="1"/>
    </format>
    <format dxfId="541">
      <pivotArea field="7" type="button" dataOnly="0" labelOnly="1" outline="0" axis="axisRow" fieldPosition="1"/>
    </format>
    <format dxfId="540">
      <pivotArea field="21" type="button" dataOnly="0" labelOnly="1" outline="0" axis="axisRow" fieldPosition="0"/>
    </format>
    <format dxfId="539">
      <pivotArea field="21" type="button" dataOnly="0" labelOnly="1" outline="0" axis="axisRow" fieldPosition="0"/>
    </format>
    <format dxfId="538">
      <pivotArea field="21" type="button" dataOnly="0" labelOnly="1" outline="0" axis="axisRow" fieldPosition="0"/>
    </format>
    <format dxfId="537">
      <pivotArea field="3" type="button" dataOnly="0" labelOnly="1" outline="0"/>
    </format>
    <format dxfId="536">
      <pivotArea field="7" type="button" dataOnly="0" labelOnly="1" outline="0" axis="axisRow" fieldPosition="1"/>
    </format>
    <format dxfId="535">
      <pivotArea field="7" type="button" dataOnly="0" labelOnly="1" outline="0" axis="axisRow" fieldPosition="1"/>
    </format>
    <format dxfId="534">
      <pivotArea field="21" type="button" dataOnly="0" labelOnly="1" outline="0" axis="axisRow" fieldPosition="0"/>
    </format>
    <format dxfId="533">
      <pivotArea field="21" type="button" dataOnly="0" labelOnly="1" outline="0" axis="axisRow" fieldPosition="0"/>
    </format>
    <format dxfId="532">
      <pivotArea field="7" type="button" dataOnly="0" labelOnly="1" outline="0" axis="axisRow" fieldPosition="1"/>
    </format>
    <format dxfId="531">
      <pivotArea field="7" type="button" dataOnly="0" labelOnly="1" outline="0" axis="axisRow" fieldPosition="1"/>
    </format>
    <format dxfId="530">
      <pivotArea field="3" type="button" dataOnly="0" labelOnly="1" outline="0"/>
    </format>
    <format dxfId="529">
      <pivotArea field="3" type="button" dataOnly="0" labelOnly="1" outline="0"/>
    </format>
    <format dxfId="528">
      <pivotArea field="3" type="button" dataOnly="0" labelOnly="1" outline="0"/>
    </format>
    <format dxfId="527">
      <pivotArea field="7" type="button" dataOnly="0" labelOnly="1" outline="0" axis="axisRow" fieldPosition="1"/>
    </format>
    <format dxfId="526">
      <pivotArea field="7" type="button" dataOnly="0" labelOnly="1" outline="0" axis="axisRow" fieldPosition="1"/>
    </format>
    <format dxfId="525">
      <pivotArea field="21" type="button" dataOnly="0" labelOnly="1" outline="0" axis="axisRow" fieldPosition="0"/>
    </format>
    <format dxfId="524">
      <pivotArea field="21" type="button" dataOnly="0" labelOnly="1" outline="0" axis="axisRow" fieldPosition="0"/>
    </format>
    <format dxfId="523">
      <pivotArea field="21" type="button" dataOnly="0" labelOnly="1" outline="0" axis="axisRow" fieldPosition="0"/>
    </format>
    <format dxfId="522">
      <pivotArea field="3" type="button" dataOnly="0" labelOnly="1" outline="0"/>
    </format>
    <format dxfId="521">
      <pivotArea field="3" type="button" dataOnly="0" labelOnly="1" outline="0"/>
    </format>
    <format dxfId="520">
      <pivotArea field="7" type="button" dataOnly="0" labelOnly="1" outline="0" axis="axisRow" fieldPosition="1"/>
    </format>
    <format dxfId="519">
      <pivotArea field="7" type="button" dataOnly="0" labelOnly="1" outline="0" axis="axisRow" fieldPosition="1"/>
    </format>
    <format dxfId="518">
      <pivotArea field="21" type="button" dataOnly="0" labelOnly="1" outline="0" axis="axisRow" fieldPosition="0"/>
    </format>
    <format dxfId="517">
      <pivotArea field="21" type="button" dataOnly="0" labelOnly="1" outline="0" axis="axisRow" fieldPosition="0"/>
    </format>
    <format dxfId="516">
      <pivotArea field="7" type="button" dataOnly="0" labelOnly="1" outline="0" axis="axisRow" fieldPosition="1"/>
    </format>
    <format dxfId="515">
      <pivotArea field="7" type="button" dataOnly="0" labelOnly="1" outline="0" axis="axisRow" fieldPosition="1"/>
    </format>
    <format dxfId="514">
      <pivotArea field="3" type="button" dataOnly="0" labelOnly="1" outline="0"/>
    </format>
    <format dxfId="513">
      <pivotArea field="3" type="button" dataOnly="0" labelOnly="1" outline="0"/>
    </format>
    <format dxfId="512">
      <pivotArea field="3" type="button" dataOnly="0" labelOnly="1" outline="0"/>
    </format>
    <format dxfId="511">
      <pivotArea field="3" type="button" dataOnly="0" labelOnly="1" outline="0"/>
    </format>
    <format dxfId="510">
      <pivotArea field="7" type="button" dataOnly="0" labelOnly="1" outline="0" axis="axisRow" fieldPosition="1"/>
    </format>
    <format dxfId="509">
      <pivotArea field="7" type="button" dataOnly="0" labelOnly="1" outline="0" axis="axisRow" fieldPosition="1"/>
    </format>
    <format dxfId="508">
      <pivotArea field="21" type="button" dataOnly="0" labelOnly="1" outline="0" axis="axisRow" fieldPosition="0"/>
    </format>
    <format dxfId="507">
      <pivotArea field="21" type="button" dataOnly="0" labelOnly="1" outline="0" axis="axisRow" fieldPosition="0"/>
    </format>
    <format dxfId="506">
      <pivotArea field="3" type="button" dataOnly="0" labelOnly="1" outline="0"/>
    </format>
    <format dxfId="505">
      <pivotArea field="3" type="button" dataOnly="0" labelOnly="1" outline="0"/>
    </format>
    <format dxfId="504">
      <pivotArea field="3" type="button" dataOnly="0" labelOnly="1" outline="0"/>
    </format>
    <format dxfId="503">
      <pivotArea field="3" type="button" dataOnly="0" labelOnly="1" outline="0"/>
    </format>
    <format dxfId="502">
      <pivotArea field="7" type="button" dataOnly="0" labelOnly="1" outline="0" axis="axisRow" fieldPosition="1"/>
    </format>
    <format dxfId="501">
      <pivotArea field="7" type="button" dataOnly="0" labelOnly="1" outline="0" axis="axisRow" fieldPosition="1"/>
    </format>
    <format dxfId="500">
      <pivotArea field="3" type="button" dataOnly="0" labelOnly="1" outline="0"/>
    </format>
    <format dxfId="499">
      <pivotArea field="3" type="button" dataOnly="0" labelOnly="1" outline="0"/>
    </format>
    <format dxfId="498">
      <pivotArea field="7" type="button" dataOnly="0" labelOnly="1" outline="0" axis="axisRow" fieldPosition="1"/>
    </format>
    <format dxfId="497">
      <pivotArea field="7" type="button" dataOnly="0" labelOnly="1" outline="0" axis="axisRow" fieldPosition="1"/>
    </format>
    <format dxfId="496">
      <pivotArea field="3" type="button" dataOnly="0" labelOnly="1" outline="0"/>
    </format>
    <format dxfId="495">
      <pivotArea field="3" type="button" dataOnly="0" labelOnly="1" outline="0"/>
    </format>
    <format dxfId="494">
      <pivotArea field="7" type="button" dataOnly="0" labelOnly="1" outline="0" axis="axisRow" fieldPosition="1"/>
    </format>
    <format dxfId="493">
      <pivotArea field="7" type="button" dataOnly="0" labelOnly="1" outline="0" axis="axisRow" fieldPosition="1"/>
    </format>
    <format dxfId="492">
      <pivotArea field="21" type="button" dataOnly="0" labelOnly="1" outline="0" axis="axisRow" fieldPosition="0"/>
    </format>
    <format dxfId="491">
      <pivotArea field="21" type="button" dataOnly="0" labelOnly="1" outline="0" axis="axisRow" fieldPosition="0"/>
    </format>
    <format dxfId="490">
      <pivotArea field="3" type="button" dataOnly="0" labelOnly="1" outline="0"/>
    </format>
    <format dxfId="489">
      <pivotArea field="3" type="button" dataOnly="0" labelOnly="1" outline="0"/>
    </format>
    <format dxfId="488">
      <pivotArea field="7" type="button" dataOnly="0" labelOnly="1" outline="0" axis="axisRow" fieldPosition="1"/>
    </format>
    <format dxfId="487">
      <pivotArea field="7" type="button" dataOnly="0" labelOnly="1" outline="0" axis="axisRow" fieldPosition="1"/>
    </format>
    <format dxfId="486">
      <pivotArea field="21" type="button" dataOnly="0" labelOnly="1" outline="0" axis="axisRow" fieldPosition="0"/>
    </format>
    <format dxfId="485">
      <pivotArea field="21" type="button" dataOnly="0" labelOnly="1" outline="0" axis="axisRow" fieldPosition="0"/>
    </format>
    <format dxfId="484">
      <pivotArea field="3" type="button" dataOnly="0" labelOnly="1" outline="0"/>
    </format>
    <format dxfId="483">
      <pivotArea field="3" type="button" dataOnly="0" labelOnly="1" outline="0"/>
    </format>
    <format dxfId="482">
      <pivotArea field="7" type="button" dataOnly="0" labelOnly="1" outline="0" axis="axisRow" fieldPosition="1"/>
    </format>
    <format dxfId="481">
      <pivotArea field="7" type="button" dataOnly="0" labelOnly="1" outline="0" axis="axisRow" fieldPosition="1"/>
    </format>
    <format dxfId="480">
      <pivotArea field="3" type="button" dataOnly="0" labelOnly="1" outline="0"/>
    </format>
    <format dxfId="479">
      <pivotArea field="3" type="button" dataOnly="0" labelOnly="1" outline="0"/>
    </format>
    <format dxfId="478">
      <pivotArea field="7" type="button" dataOnly="0" labelOnly="1" outline="0" axis="axisRow" fieldPosition="1"/>
    </format>
    <format dxfId="477">
      <pivotArea field="7" type="button" dataOnly="0" labelOnly="1" outline="0" axis="axisRow" fieldPosition="1"/>
    </format>
    <format dxfId="476">
      <pivotArea field="3" type="button" dataOnly="0" labelOnly="1" outline="0"/>
    </format>
    <format dxfId="475">
      <pivotArea field="3" type="button" dataOnly="0" labelOnly="1" outline="0"/>
    </format>
    <format dxfId="474">
      <pivotArea field="7" type="button" dataOnly="0" labelOnly="1" outline="0" axis="axisRow" fieldPosition="1"/>
    </format>
    <format dxfId="473">
      <pivotArea field="7" type="button" dataOnly="0" labelOnly="1" outline="0" axis="axisRow" fieldPosition="1"/>
    </format>
    <format dxfId="472">
      <pivotArea field="3" type="button" dataOnly="0" labelOnly="1" outline="0"/>
    </format>
    <format dxfId="471">
      <pivotArea field="3" type="button" dataOnly="0" labelOnly="1" outline="0"/>
    </format>
    <format dxfId="470">
      <pivotArea field="7" type="button" dataOnly="0" labelOnly="1" outline="0" axis="axisRow" fieldPosition="1"/>
    </format>
    <format dxfId="469">
      <pivotArea field="7" type="button" dataOnly="0" labelOnly="1" outline="0" axis="axisRow" fieldPosition="1"/>
    </format>
    <format dxfId="468">
      <pivotArea field="3" type="button" dataOnly="0" labelOnly="1" outline="0"/>
    </format>
    <format dxfId="467">
      <pivotArea field="3" type="button" dataOnly="0" labelOnly="1" outline="0"/>
    </format>
    <format dxfId="466">
      <pivotArea field="7" type="button" dataOnly="0" labelOnly="1" outline="0" axis="axisRow" fieldPosition="1"/>
    </format>
    <format dxfId="465">
      <pivotArea field="7" type="button" dataOnly="0" labelOnly="1" outline="0" axis="axisRow" fieldPosition="1"/>
    </format>
    <format dxfId="464">
      <pivotArea field="3" type="button" dataOnly="0" labelOnly="1" outline="0"/>
    </format>
    <format dxfId="463">
      <pivotArea field="3" type="button" dataOnly="0" labelOnly="1" outline="0"/>
    </format>
    <format dxfId="462">
      <pivotArea field="7" type="button" dataOnly="0" labelOnly="1" outline="0" axis="axisRow" fieldPosition="1"/>
    </format>
    <format dxfId="461">
      <pivotArea field="7" type="button" dataOnly="0" labelOnly="1" outline="0" axis="axisRow" fieldPosition="1"/>
    </format>
    <format dxfId="460">
      <pivotArea field="3" type="button" dataOnly="0" labelOnly="1" outline="0"/>
    </format>
    <format dxfId="459">
      <pivotArea field="3" type="button" dataOnly="0" labelOnly="1" outline="0"/>
    </format>
    <format dxfId="458">
      <pivotArea field="7" type="button" dataOnly="0" labelOnly="1" outline="0" axis="axisRow" fieldPosition="1"/>
    </format>
    <format dxfId="457">
      <pivotArea field="7" type="button" dataOnly="0" labelOnly="1" outline="0" axis="axisRow" fieldPosition="1"/>
    </format>
    <format dxfId="456">
      <pivotArea field="21" type="button" dataOnly="0" labelOnly="1" outline="0" axis="axisRow" fieldPosition="0"/>
    </format>
    <format dxfId="455">
      <pivotArea field="21" type="button" dataOnly="0" labelOnly="1" outline="0" axis="axisRow" fieldPosition="0"/>
    </format>
    <format dxfId="454">
      <pivotArea field="21" type="button" dataOnly="0" labelOnly="1" outline="0" axis="axisRow" fieldPosition="0"/>
    </format>
    <format dxfId="453">
      <pivotArea field="3" type="button" dataOnly="0" labelOnly="1" outline="0"/>
    </format>
    <format dxfId="452">
      <pivotArea field="3" type="button" dataOnly="0" labelOnly="1" outline="0"/>
    </format>
    <format dxfId="451">
      <pivotArea field="7" type="button" dataOnly="0" labelOnly="1" outline="0" axis="axisRow" fieldPosition="1"/>
    </format>
    <format dxfId="450">
      <pivotArea field="7" type="button" dataOnly="0" labelOnly="1" outline="0" axis="axisRow" fieldPosition="1"/>
    </format>
    <format dxfId="449">
      <pivotArea field="21" type="button" dataOnly="0" labelOnly="1" outline="0" axis="axisRow" fieldPosition="0"/>
    </format>
    <format dxfId="448">
      <pivotArea field="21" type="button" dataOnly="0" labelOnly="1" outline="0" axis="axisRow" fieldPosition="0"/>
    </format>
    <format dxfId="447">
      <pivotArea field="3" type="button" dataOnly="0" labelOnly="1" outline="0"/>
    </format>
    <format dxfId="446">
      <pivotArea field="3" type="button" dataOnly="0" labelOnly="1" outline="0"/>
    </format>
    <format dxfId="445">
      <pivotArea field="7" type="button" dataOnly="0" labelOnly="1" outline="0" axis="axisRow" fieldPosition="1"/>
    </format>
    <format dxfId="444">
      <pivotArea field="7" type="button" dataOnly="0" labelOnly="1" outline="0" axis="axisRow" fieldPosition="1"/>
    </format>
    <format dxfId="443">
      <pivotArea field="21" type="button" dataOnly="0" labelOnly="1" outline="0" axis="axisRow" fieldPosition="0"/>
    </format>
    <format dxfId="442">
      <pivotArea field="21" type="button" dataOnly="0" labelOnly="1" outline="0" axis="axisRow" fieldPosition="0"/>
    </format>
    <format dxfId="441">
      <pivotArea field="3" type="button" dataOnly="0" labelOnly="1" outline="0"/>
    </format>
    <format dxfId="440">
      <pivotArea field="3" type="button" dataOnly="0" labelOnly="1" outline="0"/>
    </format>
    <format dxfId="439">
      <pivotArea field="7" type="button" dataOnly="0" labelOnly="1" outline="0" axis="axisRow" fieldPosition="1"/>
    </format>
    <format dxfId="438">
      <pivotArea field="7" type="button" dataOnly="0" labelOnly="1" outline="0" axis="axisRow" fieldPosition="1"/>
    </format>
    <format dxfId="437">
      <pivotArea field="3" type="button" dataOnly="0" labelOnly="1" outline="0"/>
    </format>
    <format dxfId="436">
      <pivotArea field="3" type="button" dataOnly="0" labelOnly="1" outline="0"/>
    </format>
    <format dxfId="435">
      <pivotArea field="7" type="button" dataOnly="0" labelOnly="1" outline="0" axis="axisRow" fieldPosition="1"/>
    </format>
    <format dxfId="434">
      <pivotArea field="7" type="button" dataOnly="0" labelOnly="1" outline="0" axis="axisRow" fieldPosition="1"/>
    </format>
    <format dxfId="433">
      <pivotArea field="21" type="button" dataOnly="0" labelOnly="1" outline="0" axis="axisRow" fieldPosition="0"/>
    </format>
    <format dxfId="432">
      <pivotArea field="21" type="button" dataOnly="0" labelOnly="1" outline="0" axis="axisRow" fieldPosition="0"/>
    </format>
    <format dxfId="431">
      <pivotArea field="3" type="button" dataOnly="0" labelOnly="1" outline="0"/>
    </format>
    <format dxfId="430">
      <pivotArea field="3" type="button" dataOnly="0" labelOnly="1" outline="0"/>
    </format>
    <format dxfId="429">
      <pivotArea field="7" type="button" dataOnly="0" labelOnly="1" outline="0" axis="axisRow" fieldPosition="1"/>
    </format>
    <format dxfId="428">
      <pivotArea field="7" type="button" dataOnly="0" labelOnly="1" outline="0" axis="axisRow" fieldPosition="1"/>
    </format>
    <format dxfId="427">
      <pivotArea field="21" type="button" dataOnly="0" labelOnly="1" outline="0" axis="axisRow" fieldPosition="0"/>
    </format>
    <format dxfId="426">
      <pivotArea field="21" type="button" dataOnly="0" labelOnly="1" outline="0" axis="axisRow" fieldPosition="0"/>
    </format>
    <format dxfId="425">
      <pivotArea field="3" type="button" dataOnly="0" labelOnly="1" outline="0"/>
    </format>
    <format dxfId="424">
      <pivotArea field="3" type="button" dataOnly="0" labelOnly="1" outline="0"/>
    </format>
    <format dxfId="423">
      <pivotArea field="7" type="button" dataOnly="0" labelOnly="1" outline="0" axis="axisRow" fieldPosition="1"/>
    </format>
    <format dxfId="422">
      <pivotArea field="7" type="button" dataOnly="0" labelOnly="1" outline="0" axis="axisRow" fieldPosition="1"/>
    </format>
    <format dxfId="421">
      <pivotArea field="21" type="button" dataOnly="0" labelOnly="1" outline="0" axis="axisRow" fieldPosition="0"/>
    </format>
    <format dxfId="420">
      <pivotArea field="21" type="button" dataOnly="0" labelOnly="1" outline="0" axis="axisRow" fieldPosition="0"/>
    </format>
    <format dxfId="419">
      <pivotArea field="3" type="button" dataOnly="0" labelOnly="1" outline="0"/>
    </format>
    <format dxfId="418">
      <pivotArea field="3" type="button" dataOnly="0" labelOnly="1" outline="0"/>
    </format>
    <format dxfId="417">
      <pivotArea field="7" type="button" dataOnly="0" labelOnly="1" outline="0" axis="axisRow" fieldPosition="1"/>
    </format>
    <format dxfId="416">
      <pivotArea field="7" type="button" dataOnly="0" labelOnly="1" outline="0" axis="axisRow" fieldPosition="1"/>
    </format>
    <format dxfId="415">
      <pivotArea field="21" type="button" dataOnly="0" labelOnly="1" outline="0" axis="axisRow" fieldPosition="0"/>
    </format>
    <format dxfId="414">
      <pivotArea field="21" type="button" dataOnly="0" labelOnly="1" outline="0" axis="axisRow" fieldPosition="0"/>
    </format>
    <format dxfId="413">
      <pivotArea field="3" type="button" dataOnly="0" labelOnly="1" outline="0"/>
    </format>
    <format dxfId="412">
      <pivotArea field="3" type="button" dataOnly="0" labelOnly="1" outline="0"/>
    </format>
    <format dxfId="411">
      <pivotArea field="7" type="button" dataOnly="0" labelOnly="1" outline="0" axis="axisRow" fieldPosition="1"/>
    </format>
    <format dxfId="410">
      <pivotArea field="7" type="button" dataOnly="0" labelOnly="1" outline="0" axis="axisRow" fieldPosition="1"/>
    </format>
    <format dxfId="409">
      <pivotArea field="21" type="button" dataOnly="0" labelOnly="1" outline="0" axis="axisRow" fieldPosition="0"/>
    </format>
    <format dxfId="408">
      <pivotArea field="21" type="button" dataOnly="0" labelOnly="1" outline="0" axis="axisRow" fieldPosition="0"/>
    </format>
    <format dxfId="407">
      <pivotArea field="3" type="button" dataOnly="0" labelOnly="1" outline="0"/>
    </format>
    <format dxfId="406">
      <pivotArea field="3" type="button" dataOnly="0" labelOnly="1" outline="0"/>
    </format>
    <format dxfId="405">
      <pivotArea field="7" type="button" dataOnly="0" labelOnly="1" outline="0" axis="axisRow" fieldPosition="1"/>
    </format>
    <format dxfId="404">
      <pivotArea field="7" type="button" dataOnly="0" labelOnly="1" outline="0" axis="axisRow" fieldPosition="1"/>
    </format>
    <format dxfId="403">
      <pivotArea field="3" type="button" dataOnly="0" labelOnly="1" outline="0"/>
    </format>
    <format dxfId="402">
      <pivotArea field="3" type="button" dataOnly="0" labelOnly="1" outline="0"/>
    </format>
    <format dxfId="401">
      <pivotArea field="3" type="button" dataOnly="0" labelOnly="1" outline="0"/>
    </format>
    <format dxfId="400">
      <pivotArea field="3" type="button" dataOnly="0" labelOnly="1" outline="0"/>
    </format>
    <format dxfId="399">
      <pivotArea field="3" type="button" dataOnly="0" labelOnly="1" outline="0"/>
    </format>
    <format dxfId="398">
      <pivotArea field="3" type="button" dataOnly="0" labelOnly="1" outline="0"/>
    </format>
    <format dxfId="397">
      <pivotArea field="3" type="button" dataOnly="0" labelOnly="1" outline="0"/>
    </format>
    <format dxfId="396">
      <pivotArea field="3" type="button" dataOnly="0" labelOnly="1" outline="0"/>
    </format>
    <format dxfId="395">
      <pivotArea field="3" type="button" dataOnly="0" labelOnly="1" outline="0"/>
    </format>
    <format dxfId="394">
      <pivotArea field="3" type="button" dataOnly="0" labelOnly="1" outline="0"/>
    </format>
    <format dxfId="393">
      <pivotArea field="3" type="button" dataOnly="0" labelOnly="1" outline="0"/>
    </format>
    <format dxfId="392">
      <pivotArea field="3" type="button" dataOnly="0" labelOnly="1" outline="0"/>
    </format>
    <format dxfId="391">
      <pivotArea field="3" type="button" dataOnly="0" labelOnly="1" outline="0"/>
    </format>
    <format dxfId="390">
      <pivotArea field="3" type="button" dataOnly="0" labelOnly="1" outline="0"/>
    </format>
    <format dxfId="389">
      <pivotArea field="3" type="button" dataOnly="0" labelOnly="1" outline="0"/>
    </format>
    <format dxfId="388">
      <pivotArea field="3" type="button" dataOnly="0" labelOnly="1" outline="0"/>
    </format>
    <format dxfId="387">
      <pivotArea field="3" type="button" dataOnly="0" labelOnly="1" outline="0"/>
    </format>
    <format dxfId="386">
      <pivotArea field="3" type="button" dataOnly="0" labelOnly="1" outline="0"/>
    </format>
    <format dxfId="385">
      <pivotArea field="3" type="button" dataOnly="0" labelOnly="1" outline="0"/>
    </format>
    <format dxfId="384">
      <pivotArea field="3" type="button" dataOnly="0" labelOnly="1" outline="0"/>
    </format>
    <format dxfId="383">
      <pivotArea field="3" type="button" dataOnly="0" labelOnly="1" outline="0"/>
    </format>
    <format dxfId="382">
      <pivotArea field="3" type="button" dataOnly="0" labelOnly="1" outline="0"/>
    </format>
    <format dxfId="381">
      <pivotArea field="3" type="button" dataOnly="0" labelOnly="1" outline="0"/>
    </format>
    <format dxfId="380">
      <pivotArea field="3" type="button" dataOnly="0" labelOnly="1" outline="0"/>
    </format>
    <format dxfId="379">
      <pivotArea field="3" type="button" dataOnly="0" labelOnly="1" outline="0"/>
    </format>
    <format dxfId="378">
      <pivotArea field="3" type="button" dataOnly="0" labelOnly="1" outline="0"/>
    </format>
    <format dxfId="377">
      <pivotArea field="3" type="button" dataOnly="0" labelOnly="1" outline="0"/>
    </format>
    <format dxfId="376">
      <pivotArea field="3" type="button" dataOnly="0" labelOnly="1" outline="0"/>
    </format>
    <format dxfId="375">
      <pivotArea field="3" type="button" dataOnly="0" labelOnly="1" outline="0"/>
    </format>
    <format dxfId="374">
      <pivotArea field="3" type="button" dataOnly="0" labelOnly="1" outline="0"/>
    </format>
    <format dxfId="373">
      <pivotArea field="3" type="button" dataOnly="0" labelOnly="1" outline="0"/>
    </format>
    <format dxfId="372">
      <pivotArea field="3" type="button" dataOnly="0" labelOnly="1" outline="0"/>
    </format>
    <format dxfId="371">
      <pivotArea field="3" type="button" dataOnly="0" labelOnly="1" outline="0"/>
    </format>
    <format dxfId="370">
      <pivotArea field="3" type="button" dataOnly="0" labelOnly="1" outline="0"/>
    </format>
    <format dxfId="369">
      <pivotArea field="3" type="button" dataOnly="0" labelOnly="1" outline="0"/>
    </format>
    <format dxfId="368">
      <pivotArea field="3" type="button" dataOnly="0" labelOnly="1" outline="0"/>
    </format>
    <format dxfId="367">
      <pivotArea field="3" type="button" dataOnly="0" labelOnly="1" outline="0"/>
    </format>
    <format dxfId="366">
      <pivotArea field="3" type="button" dataOnly="0" labelOnly="1" outline="0"/>
    </format>
    <format dxfId="365">
      <pivotArea field="3" type="button" dataOnly="0" labelOnly="1" outline="0"/>
    </format>
    <format dxfId="364">
      <pivotArea field="3" type="button" dataOnly="0" labelOnly="1" outline="0"/>
    </format>
    <format dxfId="363">
      <pivotArea field="3" type="button" dataOnly="0" labelOnly="1" outline="0"/>
    </format>
    <format dxfId="362">
      <pivotArea field="3" type="button" dataOnly="0" labelOnly="1" outline="0"/>
    </format>
    <format dxfId="361">
      <pivotArea field="3" type="button" dataOnly="0" labelOnly="1" outline="0"/>
    </format>
    <format dxfId="360">
      <pivotArea field="3" type="button" dataOnly="0" labelOnly="1" outline="0"/>
    </format>
    <format dxfId="359">
      <pivotArea field="3" type="button" dataOnly="0" labelOnly="1" outline="0"/>
    </format>
    <format dxfId="358">
      <pivotArea field="3" type="button" dataOnly="0" labelOnly="1" outline="0"/>
    </format>
    <format dxfId="357">
      <pivotArea field="7" type="button" dataOnly="0" labelOnly="1" outline="0" axis="axisRow" fieldPosition="1"/>
    </format>
    <format dxfId="356">
      <pivotArea field="7" type="button" dataOnly="0" labelOnly="1" outline="0" axis="axisRow" fieldPosition="1"/>
    </format>
    <format dxfId="355">
      <pivotArea field="3" type="button" dataOnly="0" labelOnly="1" outline="0"/>
    </format>
    <format dxfId="354">
      <pivotArea field="3" type="button" dataOnly="0" labelOnly="1" outline="0"/>
    </format>
    <format dxfId="353">
      <pivotArea field="8" type="button" dataOnly="0" labelOnly="1" outline="0"/>
    </format>
    <format dxfId="352">
      <pivotArea field="8" type="button" dataOnly="0" labelOnly="1" outline="0"/>
    </format>
    <format dxfId="351">
      <pivotArea type="all" dataOnly="0" outline="0" fieldPosition="0"/>
    </format>
    <format dxfId="350">
      <pivotArea field="5" type="button" dataOnly="0" labelOnly="1" outline="0" axis="axisRow" fieldPosition="2"/>
    </format>
    <format dxfId="349">
      <pivotArea dataOnly="0" labelOnly="1" outline="0" fieldPosition="0">
        <references count="1">
          <reference field="21" count="1" defaultSubtotal="1">
            <x v="223"/>
          </reference>
        </references>
      </pivotArea>
    </format>
    <format dxfId="348">
      <pivotArea dataOnly="0" labelOnly="1" grandRow="1" outline="0" fieldPosition="0"/>
    </format>
    <format dxfId="347">
      <pivotArea dataOnly="0" labelOnly="1" outline="0" fieldPosition="0">
        <references count="2">
          <reference field="7" count="1" defaultSubtotal="1">
            <x v="96"/>
          </reference>
          <reference field="21" count="1" selected="0">
            <x v="99"/>
          </reference>
        </references>
      </pivotArea>
    </format>
    <format dxfId="346">
      <pivotArea dataOnly="0" labelOnly="1" outline="0" fieldPosition="0">
        <references count="2">
          <reference field="7" count="1" defaultSubtotal="1">
            <x v="102"/>
          </reference>
          <reference field="21" count="1" selected="0">
            <x v="150"/>
          </reference>
        </references>
      </pivotArea>
    </format>
    <format dxfId="345">
      <pivotArea dataOnly="0" labelOnly="1" outline="0" fieldPosition="0">
        <references count="2">
          <reference field="7" count="1" defaultSubtotal="1">
            <x v="399"/>
          </reference>
          <reference field="21" count="1" selected="0">
            <x v="204"/>
          </reference>
        </references>
      </pivotArea>
    </format>
    <format dxfId="344">
      <pivotArea dataOnly="0" labelOnly="1" outline="0" fieldPosition="0">
        <references count="2">
          <reference field="7" count="1" defaultSubtotal="1">
            <x v="411"/>
          </reference>
          <reference field="21" count="1" selected="0">
            <x v="204"/>
          </reference>
        </references>
      </pivotArea>
    </format>
    <format dxfId="343">
      <pivotArea dataOnly="0" labelOnly="1" outline="0" fieldPosition="0">
        <references count="2">
          <reference field="7" count="1" defaultSubtotal="1">
            <x v="412"/>
          </reference>
          <reference field="21" count="1" selected="0">
            <x v="204"/>
          </reference>
        </references>
      </pivotArea>
    </format>
    <format dxfId="342">
      <pivotArea dataOnly="0" labelOnly="1" outline="0" fieldPosition="0">
        <references count="2">
          <reference field="7" count="1" defaultSubtotal="1">
            <x v="413"/>
          </reference>
          <reference field="21" count="1" selected="0">
            <x v="204"/>
          </reference>
        </references>
      </pivotArea>
    </format>
    <format dxfId="341">
      <pivotArea dataOnly="0" labelOnly="1" outline="0" fieldPosition="0">
        <references count="2">
          <reference field="7" count="1">
            <x v="144"/>
          </reference>
          <reference field="21" count="1" selected="0">
            <x v="223"/>
          </reference>
        </references>
      </pivotArea>
    </format>
    <format dxfId="340">
      <pivotArea dataOnly="0" labelOnly="1" outline="0" fieldPosition="0">
        <references count="2">
          <reference field="7" count="1" defaultSubtotal="1">
            <x v="416"/>
          </reference>
          <reference field="21" count="1" selected="0">
            <x v="223"/>
          </reference>
        </references>
      </pivotArea>
    </format>
    <format dxfId="339">
      <pivotArea dataOnly="0" labelOnly="1" outline="0" fieldPosition="0">
        <references count="2">
          <reference field="7" count="1" defaultSubtotal="1">
            <x v="97"/>
          </reference>
          <reference field="21" count="1" selected="0">
            <x v="478"/>
          </reference>
        </references>
      </pivotArea>
    </format>
    <format dxfId="338">
      <pivotArea dataOnly="0" labelOnly="1" outline="0" fieldPosition="0">
        <references count="2">
          <reference field="7" count="1" defaultSubtotal="1">
            <x v="398"/>
          </reference>
          <reference field="21" count="1" selected="0">
            <x v="478"/>
          </reference>
        </references>
      </pivotArea>
    </format>
    <format dxfId="337">
      <pivotArea dataOnly="0" labelOnly="1" outline="0" fieldPosition="0">
        <references count="2">
          <reference field="7" count="1" defaultSubtotal="1">
            <x v="400"/>
          </reference>
          <reference field="21" count="1" selected="0">
            <x v="479"/>
          </reference>
        </references>
      </pivotArea>
    </format>
    <format dxfId="336">
      <pivotArea dataOnly="0" labelOnly="1" outline="0" fieldPosition="0">
        <references count="2">
          <reference field="7" count="1" defaultSubtotal="1">
            <x v="404"/>
          </reference>
          <reference field="21" count="1" selected="0">
            <x v="480"/>
          </reference>
        </references>
      </pivotArea>
    </format>
    <format dxfId="335">
      <pivotArea dataOnly="0" labelOnly="1" outline="0" fieldPosition="0">
        <references count="2">
          <reference field="7" count="1" defaultSubtotal="1">
            <x v="409"/>
          </reference>
          <reference field="21" count="1" selected="0">
            <x v="480"/>
          </reference>
        </references>
      </pivotArea>
    </format>
    <format dxfId="334">
      <pivotArea dataOnly="0" labelOnly="1" outline="0" fieldPosition="0">
        <references count="2">
          <reference field="7" count="1" defaultSubtotal="1">
            <x v="415"/>
          </reference>
          <reference field="21" count="1" selected="0">
            <x v="481"/>
          </reference>
        </references>
      </pivotArea>
    </format>
    <format dxfId="333">
      <pivotArea dataOnly="0" labelOnly="1" outline="0" fieldPosition="0">
        <references count="2">
          <reference field="7" count="1" defaultSubtotal="1">
            <x v="390"/>
          </reference>
          <reference field="21" count="1" selected="0">
            <x v="482"/>
          </reference>
        </references>
      </pivotArea>
    </format>
    <format dxfId="332">
      <pivotArea dataOnly="0" labelOnly="1" outline="0" fieldPosition="0">
        <references count="2">
          <reference field="7" count="1" defaultSubtotal="1">
            <x v="417"/>
          </reference>
          <reference field="21" count="1" selected="0">
            <x v="483"/>
          </reference>
        </references>
      </pivotArea>
    </format>
    <format dxfId="331">
      <pivotArea dataOnly="0" labelOnly="1" outline="0" fieldPosition="0">
        <references count="3">
          <reference field="5" count="11">
            <x v="7"/>
            <x v="60"/>
            <x v="307"/>
            <x v="746"/>
            <x v="748"/>
            <x v="749"/>
            <x v="793"/>
            <x v="800"/>
            <x v="919"/>
            <x v="920"/>
            <x v="921"/>
          </reference>
          <reference field="7" count="1" selected="0">
            <x v="4"/>
          </reference>
          <reference field="21" count="1" selected="0">
            <x v="99"/>
          </reference>
        </references>
      </pivotArea>
    </format>
    <format dxfId="330">
      <pivotArea dataOnly="0" labelOnly="1" outline="0" fieldPosition="0">
        <references count="3">
          <reference field="5" count="10">
            <x v="10"/>
            <x v="11"/>
            <x v="41"/>
            <x v="81"/>
            <x v="98"/>
            <x v="767"/>
            <x v="922"/>
            <x v="923"/>
            <x v="924"/>
            <x v="925"/>
          </reference>
          <reference field="7" count="1" selected="0">
            <x v="96"/>
          </reference>
          <reference field="21" count="1" selected="0">
            <x v="99"/>
          </reference>
        </references>
      </pivotArea>
    </format>
    <format dxfId="329">
      <pivotArea dataOnly="0" labelOnly="1" outline="0" fieldPosition="0">
        <references count="3">
          <reference field="5" count="7">
            <x v="58"/>
            <x v="72"/>
            <x v="358"/>
            <x v="361"/>
            <x v="918"/>
            <x v="962"/>
            <x v="963"/>
          </reference>
          <reference field="7" count="1" selected="0">
            <x v="102"/>
          </reference>
          <reference field="21" count="1" selected="0">
            <x v="150"/>
          </reference>
        </references>
      </pivotArea>
    </format>
    <format dxfId="328">
      <pivotArea dataOnly="0" labelOnly="1" outline="0" fieldPosition="0">
        <references count="3">
          <reference field="5" count="9">
            <x v="810"/>
            <x v="811"/>
            <x v="812"/>
            <x v="813"/>
            <x v="814"/>
            <x v="815"/>
            <x v="816"/>
            <x v="817"/>
            <x v="818"/>
          </reference>
          <reference field="7" count="1" selected="0">
            <x v="104"/>
          </reference>
          <reference field="21" count="1" selected="0">
            <x v="152"/>
          </reference>
        </references>
      </pivotArea>
    </format>
    <format dxfId="327">
      <pivotArea dataOnly="0" labelOnly="1" outline="0" fieldPosition="0">
        <references count="3">
          <reference field="5" count="2">
            <x v="926"/>
            <x v="927"/>
          </reference>
          <reference field="7" count="1" selected="0">
            <x v="402"/>
          </reference>
          <reference field="21" count="1" selected="0">
            <x v="152"/>
          </reference>
        </references>
      </pivotArea>
    </format>
    <format dxfId="326">
      <pivotArea dataOnly="0" labelOnly="1" outline="0" fieldPosition="0">
        <references count="3">
          <reference field="5" count="13">
            <x v="0"/>
            <x v="29"/>
            <x v="72"/>
            <x v="117"/>
            <x v="299"/>
            <x v="310"/>
            <x v="311"/>
            <x v="313"/>
            <x v="772"/>
            <x v="774"/>
            <x v="776"/>
            <x v="840"/>
            <x v="844"/>
          </reference>
          <reference field="7" count="1" selected="0">
            <x v="403"/>
          </reference>
          <reference field="21" count="1" selected="0">
            <x v="152"/>
          </reference>
        </references>
      </pivotArea>
    </format>
    <format dxfId="325">
      <pivotArea dataOnly="0" labelOnly="1" outline="0" fieldPosition="0">
        <references count="3">
          <reference field="5" count="21">
            <x v="1"/>
            <x v="165"/>
            <x v="166"/>
            <x v="168"/>
            <x v="175"/>
            <x v="307"/>
            <x v="748"/>
            <x v="749"/>
            <x v="856"/>
            <x v="859"/>
            <x v="860"/>
            <x v="863"/>
            <x v="864"/>
            <x v="944"/>
            <x v="945"/>
            <x v="946"/>
            <x v="947"/>
            <x v="948"/>
            <x v="949"/>
            <x v="950"/>
            <x v="951"/>
          </reference>
          <reference field="7" count="1" selected="0">
            <x v="138"/>
          </reference>
          <reference field="21" count="1" selected="0">
            <x v="204"/>
          </reference>
        </references>
      </pivotArea>
    </format>
    <format dxfId="324">
      <pivotArea dataOnly="0" labelOnly="1" outline="0" fieldPosition="0">
        <references count="3">
          <reference field="5" count="25">
            <x v="1"/>
            <x v="13"/>
            <x v="71"/>
            <x v="86"/>
            <x v="284"/>
            <x v="381"/>
            <x v="384"/>
            <x v="737"/>
            <x v="738"/>
            <x v="739"/>
            <x v="740"/>
            <x v="741"/>
            <x v="742"/>
            <x v="808"/>
            <x v="809"/>
            <x v="845"/>
            <x v="846"/>
            <x v="847"/>
            <x v="848"/>
            <x v="849"/>
            <x v="850"/>
            <x v="853"/>
            <x v="854"/>
            <x v="916"/>
            <x v="952"/>
          </reference>
          <reference field="7" count="1" selected="0">
            <x v="399"/>
          </reference>
          <reference field="21" count="1" selected="0">
            <x v="204"/>
          </reference>
        </references>
      </pivotArea>
    </format>
    <format dxfId="323">
      <pivotArea dataOnly="0" labelOnly="1" outline="0" fieldPosition="0">
        <references count="3">
          <reference field="5" count="10">
            <x v="10"/>
            <x v="11"/>
            <x v="41"/>
            <x v="81"/>
            <x v="98"/>
            <x v="767"/>
            <x v="922"/>
            <x v="923"/>
            <x v="924"/>
            <x v="925"/>
          </reference>
          <reference field="7" count="1" selected="0">
            <x v="411"/>
          </reference>
          <reference field="21" count="1" selected="0">
            <x v="204"/>
          </reference>
        </references>
      </pivotArea>
    </format>
    <format dxfId="322">
      <pivotArea dataOnly="0" labelOnly="1" outline="0" fieldPosition="0">
        <references count="3">
          <reference field="5" count="13">
            <x v="0"/>
            <x v="29"/>
            <x v="72"/>
            <x v="117"/>
            <x v="299"/>
            <x v="310"/>
            <x v="311"/>
            <x v="313"/>
            <x v="772"/>
            <x v="774"/>
            <x v="776"/>
            <x v="840"/>
            <x v="844"/>
          </reference>
          <reference field="7" count="1" selected="0">
            <x v="412"/>
          </reference>
          <reference field="21" count="1" selected="0">
            <x v="204"/>
          </reference>
        </references>
      </pivotArea>
    </format>
    <format dxfId="321">
      <pivotArea dataOnly="0" labelOnly="1" outline="0" fieldPosition="0">
        <references count="3">
          <reference field="5" count="8">
            <x v="1"/>
            <x v="44"/>
            <x v="72"/>
            <x v="77"/>
            <x v="90"/>
            <x v="855"/>
            <x v="953"/>
            <x v="954"/>
          </reference>
          <reference field="7" count="1" selected="0">
            <x v="413"/>
          </reference>
          <reference field="21" count="1" selected="0">
            <x v="204"/>
          </reference>
        </references>
      </pivotArea>
    </format>
    <format dxfId="320">
      <pivotArea dataOnly="0" labelOnly="1" outline="0" fieldPosition="0">
        <references count="3">
          <reference field="5" count="12">
            <x v="1"/>
            <x v="71"/>
            <x v="86"/>
            <x v="381"/>
            <x v="384"/>
            <x v="737"/>
            <x v="738"/>
            <x v="739"/>
            <x v="740"/>
            <x v="741"/>
            <x v="808"/>
            <x v="809"/>
          </reference>
          <reference field="7" count="1" selected="0">
            <x v="414"/>
          </reference>
          <reference field="21" count="1" selected="0">
            <x v="204"/>
          </reference>
        </references>
      </pivotArea>
    </format>
    <format dxfId="319">
      <pivotArea dataOnly="0" labelOnly="1" outline="0" fieldPosition="0">
        <references count="3">
          <reference field="5" count="8">
            <x v="1"/>
            <x v="44"/>
            <x v="72"/>
            <x v="77"/>
            <x v="90"/>
            <x v="855"/>
            <x v="953"/>
            <x v="954"/>
          </reference>
          <reference field="7" count="1" selected="0">
            <x v="416"/>
          </reference>
          <reference field="21" count="1" selected="0">
            <x v="223"/>
          </reference>
        </references>
      </pivotArea>
    </format>
    <format dxfId="318">
      <pivotArea dataOnly="0" labelOnly="1" outline="0" fieldPosition="0">
        <references count="3">
          <reference field="5" count="27">
            <x v="1"/>
            <x v="17"/>
            <x v="165"/>
            <x v="166"/>
            <x v="168"/>
            <x v="175"/>
            <x v="183"/>
            <x v="184"/>
            <x v="856"/>
            <x v="857"/>
            <x v="858"/>
            <x v="859"/>
            <x v="860"/>
            <x v="861"/>
            <x v="862"/>
            <x v="863"/>
            <x v="864"/>
            <x v="866"/>
            <x v="867"/>
            <x v="868"/>
            <x v="955"/>
            <x v="956"/>
            <x v="957"/>
            <x v="958"/>
            <x v="959"/>
            <x v="960"/>
            <x v="961"/>
          </reference>
          <reference field="7" count="1" selected="0">
            <x v="97"/>
          </reference>
          <reference field="21" count="1" selected="0">
            <x v="478"/>
          </reference>
        </references>
      </pivotArea>
    </format>
    <format dxfId="317">
      <pivotArea dataOnly="0" labelOnly="1" outline="0" fieldPosition="0">
        <references count="3">
          <reference field="5" count="15">
            <x v="1"/>
            <x v="71"/>
            <x v="86"/>
            <x v="285"/>
            <x v="381"/>
            <x v="384"/>
            <x v="737"/>
            <x v="738"/>
            <x v="739"/>
            <x v="740"/>
            <x v="741"/>
            <x v="742"/>
            <x v="853"/>
            <x v="854"/>
            <x v="916"/>
          </reference>
          <reference field="7" count="1" selected="0">
            <x v="398"/>
          </reference>
          <reference field="21" count="1" selected="0">
            <x v="478"/>
          </reference>
        </references>
      </pivotArea>
    </format>
    <format dxfId="316">
      <pivotArea dataOnly="0" labelOnly="1" outline="0" fieldPosition="0">
        <references count="3">
          <reference field="5" count="7">
            <x v="58"/>
            <x v="72"/>
            <x v="358"/>
            <x v="784"/>
            <x v="785"/>
            <x v="917"/>
            <x v="918"/>
          </reference>
          <reference field="7" count="1" selected="0">
            <x v="400"/>
          </reference>
          <reference field="21" count="1" selected="0">
            <x v="479"/>
          </reference>
        </references>
      </pivotArea>
    </format>
    <format dxfId="315">
      <pivotArea dataOnly="0" labelOnly="1" outline="0" fieldPosition="0">
        <references count="3">
          <reference field="5" count="12">
            <x v="1"/>
            <x v="71"/>
            <x v="86"/>
            <x v="381"/>
            <x v="384"/>
            <x v="737"/>
            <x v="738"/>
            <x v="739"/>
            <x v="740"/>
            <x v="741"/>
            <x v="808"/>
            <x v="809"/>
          </reference>
          <reference field="7" count="1" selected="0">
            <x v="401"/>
          </reference>
          <reference field="21" count="1" selected="0">
            <x v="479"/>
          </reference>
        </references>
      </pivotArea>
    </format>
    <format dxfId="314">
      <pivotArea dataOnly="0" labelOnly="1" outline="0" fieldPosition="0">
        <references count="3">
          <reference field="5" count="22">
            <x v="56"/>
            <x v="58"/>
            <x v="66"/>
            <x v="72"/>
            <x v="339"/>
            <x v="358"/>
            <x v="361"/>
            <x v="928"/>
            <x v="929"/>
            <x v="930"/>
            <x v="931"/>
            <x v="932"/>
            <x v="933"/>
            <x v="934"/>
            <x v="935"/>
            <x v="936"/>
            <x v="937"/>
            <x v="938"/>
            <x v="939"/>
            <x v="940"/>
            <x v="941"/>
            <x v="942"/>
          </reference>
          <reference field="7" count="1" selected="0">
            <x v="404"/>
          </reference>
          <reference field="21" count="1" selected="0">
            <x v="480"/>
          </reference>
        </references>
      </pivotArea>
    </format>
    <format dxfId="313">
      <pivotArea dataOnly="0" labelOnly="1" outline="0" fieldPosition="0">
        <references count="3">
          <reference field="5" count="15">
            <x v="4"/>
            <x v="7"/>
            <x v="10"/>
            <x v="11"/>
            <x v="41"/>
            <x v="42"/>
            <x v="60"/>
            <x v="81"/>
            <x v="85"/>
            <x v="98"/>
            <x v="766"/>
            <x v="767"/>
            <x v="768"/>
            <x v="769"/>
            <x v="943"/>
          </reference>
          <reference field="7" count="1" selected="0">
            <x v="405"/>
          </reference>
          <reference field="21" count="1" selected="0">
            <x v="480"/>
          </reference>
        </references>
      </pivotArea>
    </format>
    <format dxfId="312">
      <pivotArea dataOnly="0" labelOnly="1" outline="0" fieldPosition="0">
        <references count="3">
          <reference field="5" count="15">
            <x v="4"/>
            <x v="7"/>
            <x v="10"/>
            <x v="11"/>
            <x v="41"/>
            <x v="42"/>
            <x v="60"/>
            <x v="81"/>
            <x v="85"/>
            <x v="98"/>
            <x v="766"/>
            <x v="767"/>
            <x v="768"/>
            <x v="769"/>
            <x v="943"/>
          </reference>
          <reference field="7" count="1" selected="0">
            <x v="406"/>
          </reference>
          <reference field="21" count="1" selected="0">
            <x v="480"/>
          </reference>
        </references>
      </pivotArea>
    </format>
    <format dxfId="311">
      <pivotArea dataOnly="0" labelOnly="1" outline="0" fieldPosition="0">
        <references count="3">
          <reference field="5" count="15">
            <x v="4"/>
            <x v="7"/>
            <x v="10"/>
            <x v="11"/>
            <x v="41"/>
            <x v="42"/>
            <x v="60"/>
            <x v="81"/>
            <x v="85"/>
            <x v="98"/>
            <x v="766"/>
            <x v="767"/>
            <x v="768"/>
            <x v="769"/>
            <x v="943"/>
          </reference>
          <reference field="7" count="1" selected="0">
            <x v="407"/>
          </reference>
          <reference field="21" count="1" selected="0">
            <x v="480"/>
          </reference>
        </references>
      </pivotArea>
    </format>
    <format dxfId="310">
      <pivotArea dataOnly="0" labelOnly="1" outline="0" fieldPosition="0">
        <references count="3">
          <reference field="5" count="13">
            <x v="0"/>
            <x v="29"/>
            <x v="72"/>
            <x v="117"/>
            <x v="299"/>
            <x v="310"/>
            <x v="311"/>
            <x v="313"/>
            <x v="772"/>
            <x v="774"/>
            <x v="776"/>
            <x v="840"/>
            <x v="844"/>
          </reference>
          <reference field="7" count="1" selected="0">
            <x v="408"/>
          </reference>
          <reference field="21" count="1" selected="0">
            <x v="480"/>
          </reference>
        </references>
      </pivotArea>
    </format>
    <format dxfId="309">
      <pivotArea dataOnly="0" labelOnly="1" outline="0" fieldPosition="0">
        <references count="3">
          <reference field="5" count="12">
            <x v="1"/>
            <x v="71"/>
            <x v="86"/>
            <x v="381"/>
            <x v="384"/>
            <x v="737"/>
            <x v="738"/>
            <x v="739"/>
            <x v="740"/>
            <x v="741"/>
            <x v="808"/>
            <x v="809"/>
          </reference>
          <reference field="7" count="1" selected="0">
            <x v="409"/>
          </reference>
          <reference field="21" count="1" selected="0">
            <x v="480"/>
          </reference>
        </references>
      </pivotArea>
    </format>
    <format dxfId="308">
      <pivotArea dataOnly="0" labelOnly="1" outline="0" fieldPosition="0">
        <references count="3">
          <reference field="5" count="12">
            <x v="1"/>
            <x v="71"/>
            <x v="86"/>
            <x v="381"/>
            <x v="384"/>
            <x v="737"/>
            <x v="738"/>
            <x v="739"/>
            <x v="740"/>
            <x v="741"/>
            <x v="808"/>
            <x v="809"/>
          </reference>
          <reference field="7" count="1" selected="0">
            <x v="410"/>
          </reference>
          <reference field="21" count="1" selected="0">
            <x v="480"/>
          </reference>
        </references>
      </pivotArea>
    </format>
    <format dxfId="307">
      <pivotArea dataOnly="0" labelOnly="1" outline="0" fieldPosition="0">
        <references count="3">
          <reference field="5" count="14">
            <x v="72"/>
            <x v="133"/>
            <x v="205"/>
            <x v="494"/>
            <x v="495"/>
            <x v="496"/>
            <x v="497"/>
            <x v="498"/>
            <x v="964"/>
            <x v="965"/>
            <x v="966"/>
            <x v="967"/>
            <x v="968"/>
            <x v="969"/>
          </reference>
          <reference field="7" count="1" selected="0">
            <x v="415"/>
          </reference>
          <reference field="21" count="1" selected="0">
            <x v="481"/>
          </reference>
        </references>
      </pivotArea>
    </format>
    <format dxfId="306">
      <pivotArea dataOnly="0" labelOnly="1" outline="0" fieldPosition="0">
        <references count="3">
          <reference field="5" count="4">
            <x v="896"/>
            <x v="897"/>
            <x v="898"/>
            <x v="899"/>
          </reference>
          <reference field="7" count="1" selected="0">
            <x v="390"/>
          </reference>
          <reference field="21" count="1" selected="0">
            <x v="482"/>
          </reference>
        </references>
      </pivotArea>
    </format>
    <format dxfId="305">
      <pivotArea dataOnly="0" labelOnly="1" outline="0" fieldPosition="0">
        <references count="3">
          <reference field="5" count="8">
            <x v="1"/>
            <x v="285"/>
            <x v="970"/>
            <x v="971"/>
            <x v="972"/>
            <x v="973"/>
            <x v="974"/>
            <x v="975"/>
          </reference>
          <reference field="7" count="1" selected="0">
            <x v="417"/>
          </reference>
          <reference field="21" count="1" selected="0">
            <x v="483"/>
          </reference>
        </references>
      </pivotArea>
    </format>
    <format dxfId="304">
      <pivotArea type="all" dataOnly="0" outline="0" fieldPosition="0"/>
    </format>
    <format dxfId="303">
      <pivotArea dataOnly="0" labelOnly="1" outline="0" fieldPosition="0">
        <references count="1">
          <reference field="21" count="9">
            <x v="99"/>
            <x v="204"/>
            <x v="223"/>
            <x v="478"/>
            <x v="479"/>
            <x v="480"/>
            <x v="481"/>
            <x v="482"/>
            <x v="483"/>
          </reference>
        </references>
      </pivotArea>
    </format>
    <format dxfId="302">
      <pivotArea dataOnly="0" labelOnly="1" outline="0" fieldPosition="0">
        <references count="1">
          <reference field="21" count="9" defaultSubtotal="1">
            <x v="99"/>
            <x v="204"/>
            <x v="223"/>
            <x v="478"/>
            <x v="479"/>
            <x v="480"/>
            <x v="481"/>
            <x v="482"/>
            <x v="483"/>
          </reference>
        </references>
      </pivotArea>
    </format>
    <format dxfId="301">
      <pivotArea dataOnly="0" labelOnly="1" outline="0" fieldPosition="0">
        <references count="2">
          <reference field="7" count="2">
            <x v="4"/>
            <x v="96"/>
          </reference>
          <reference field="21" count="1" selected="0">
            <x v="99"/>
          </reference>
        </references>
      </pivotArea>
    </format>
    <format dxfId="300">
      <pivotArea dataOnly="0" labelOnly="1" outline="0" fieldPosition="0">
        <references count="2">
          <reference field="7" count="2" defaultSubtotal="1">
            <x v="4"/>
            <x v="96"/>
          </reference>
          <reference field="21" count="1" selected="0">
            <x v="99"/>
          </reference>
        </references>
      </pivotArea>
    </format>
    <format dxfId="299">
      <pivotArea dataOnly="0" labelOnly="1" outline="0" fieldPosition="0">
        <references count="2">
          <reference field="7" count="5">
            <x v="138"/>
            <x v="399"/>
            <x v="411"/>
            <x v="413"/>
            <x v="414"/>
          </reference>
          <reference field="21" count="1" selected="0">
            <x v="204"/>
          </reference>
        </references>
      </pivotArea>
    </format>
    <format dxfId="298">
      <pivotArea dataOnly="0" labelOnly="1" outline="0" fieldPosition="0">
        <references count="2">
          <reference field="7" count="5" defaultSubtotal="1">
            <x v="138"/>
            <x v="399"/>
            <x v="411"/>
            <x v="413"/>
            <x v="414"/>
          </reference>
          <reference field="21" count="1" selected="0">
            <x v="204"/>
          </reference>
        </references>
      </pivotArea>
    </format>
    <format dxfId="297">
      <pivotArea dataOnly="0" labelOnly="1" outline="0" fieldPosition="0">
        <references count="2">
          <reference field="7" count="2">
            <x v="144"/>
            <x v="416"/>
          </reference>
          <reference field="21" count="1" selected="0">
            <x v="223"/>
          </reference>
        </references>
      </pivotArea>
    </format>
    <format dxfId="296">
      <pivotArea dataOnly="0" labelOnly="1" outline="0" fieldPosition="0">
        <references count="2">
          <reference field="7" count="1" defaultSubtotal="1">
            <x v="416"/>
          </reference>
          <reference field="21" count="1" selected="0">
            <x v="223"/>
          </reference>
        </references>
      </pivotArea>
    </format>
    <format dxfId="295">
      <pivotArea dataOnly="0" labelOnly="1" outline="0" fieldPosition="0">
        <references count="2">
          <reference field="7" count="2">
            <x v="97"/>
            <x v="398"/>
          </reference>
          <reference field="21" count="1" selected="0">
            <x v="478"/>
          </reference>
        </references>
      </pivotArea>
    </format>
    <format dxfId="294">
      <pivotArea dataOnly="0" labelOnly="1" outline="0" fieldPosition="0">
        <references count="2">
          <reference field="7" count="2" defaultSubtotal="1">
            <x v="97"/>
            <x v="398"/>
          </reference>
          <reference field="21" count="1" selected="0">
            <x v="478"/>
          </reference>
        </references>
      </pivotArea>
    </format>
    <format dxfId="293">
      <pivotArea dataOnly="0" labelOnly="1" outline="0" fieldPosition="0">
        <references count="2">
          <reference field="7" count="2">
            <x v="400"/>
            <x v="401"/>
          </reference>
          <reference field="21" count="1" selected="0">
            <x v="479"/>
          </reference>
        </references>
      </pivotArea>
    </format>
    <format dxfId="292">
      <pivotArea dataOnly="0" labelOnly="1" outline="0" fieldPosition="0">
        <references count="2">
          <reference field="7" count="2" defaultSubtotal="1">
            <x v="400"/>
            <x v="401"/>
          </reference>
          <reference field="21" count="1" selected="0">
            <x v="479"/>
          </reference>
        </references>
      </pivotArea>
    </format>
    <format dxfId="291">
      <pivotArea dataOnly="0" labelOnly="1" outline="0" fieldPosition="0">
        <references count="2">
          <reference field="7" count="6">
            <x v="404"/>
            <x v="405"/>
            <x v="406"/>
            <x v="407"/>
            <x v="409"/>
            <x v="410"/>
          </reference>
          <reference field="21" count="1" selected="0">
            <x v="480"/>
          </reference>
        </references>
      </pivotArea>
    </format>
    <format dxfId="290">
      <pivotArea dataOnly="0" labelOnly="1" outline="0" fieldPosition="0">
        <references count="2">
          <reference field="7" count="6" defaultSubtotal="1">
            <x v="404"/>
            <x v="405"/>
            <x v="406"/>
            <x v="407"/>
            <x v="409"/>
            <x v="410"/>
          </reference>
          <reference field="21" count="1" selected="0">
            <x v="480"/>
          </reference>
        </references>
      </pivotArea>
    </format>
    <format dxfId="289">
      <pivotArea dataOnly="0" labelOnly="1" outline="0" fieldPosition="0">
        <references count="2">
          <reference field="7" count="1">
            <x v="390"/>
          </reference>
          <reference field="21" count="1" selected="0">
            <x v="482"/>
          </reference>
        </references>
      </pivotArea>
    </format>
    <format dxfId="288">
      <pivotArea dataOnly="0" labelOnly="1" outline="0" fieldPosition="0">
        <references count="2">
          <reference field="7" count="1" defaultSubtotal="1">
            <x v="390"/>
          </reference>
          <reference field="21" count="1" selected="0">
            <x v="482"/>
          </reference>
        </references>
      </pivotArea>
    </format>
    <format dxfId="287">
      <pivotArea dataOnly="0" labelOnly="1" outline="0" fieldPosition="0">
        <references count="2">
          <reference field="7" count="1">
            <x v="417"/>
          </reference>
          <reference field="21" count="1" selected="0">
            <x v="483"/>
          </reference>
        </references>
      </pivotArea>
    </format>
    <format dxfId="286">
      <pivotArea dataOnly="0" labelOnly="1" outline="0" fieldPosition="0">
        <references count="2">
          <reference field="7" count="1" defaultSubtotal="1">
            <x v="417"/>
          </reference>
          <reference field="21" count="1" selected="0">
            <x v="483"/>
          </reference>
        </references>
      </pivotArea>
    </format>
    <format dxfId="285">
      <pivotArea dataOnly="0" labelOnly="1" outline="0" fieldPosition="0">
        <references count="3">
          <reference field="5" count="2">
            <x v="793"/>
            <x v="919"/>
          </reference>
          <reference field="7" count="1" selected="0">
            <x v="4"/>
          </reference>
          <reference field="21" count="1" selected="0">
            <x v="99"/>
          </reference>
        </references>
      </pivotArea>
    </format>
    <format dxfId="284">
      <pivotArea dataOnly="0" labelOnly="1" outline="0" fieldPosition="0">
        <references count="3">
          <reference field="5" count="10">
            <x v="10"/>
            <x v="11"/>
            <x v="41"/>
            <x v="81"/>
            <x v="98"/>
            <x v="767"/>
            <x v="922"/>
            <x v="923"/>
            <x v="924"/>
            <x v="925"/>
          </reference>
          <reference field="7" count="1" selected="0">
            <x v="96"/>
          </reference>
          <reference field="21" count="1" selected="0">
            <x v="99"/>
          </reference>
        </references>
      </pivotArea>
    </format>
    <format dxfId="283">
      <pivotArea dataOnly="0" labelOnly="1" outline="0" fieldPosition="0">
        <references count="3">
          <reference field="5" count="12">
            <x v="1"/>
            <x v="165"/>
            <x v="166"/>
            <x v="168"/>
            <x v="175"/>
            <x v="856"/>
            <x v="859"/>
            <x v="860"/>
            <x v="863"/>
            <x v="864"/>
            <x v="944"/>
            <x v="945"/>
          </reference>
          <reference field="7" count="1" selected="0">
            <x v="138"/>
          </reference>
          <reference field="21" count="1" selected="0">
            <x v="204"/>
          </reference>
        </references>
      </pivotArea>
    </format>
    <format dxfId="282">
      <pivotArea dataOnly="0" labelOnly="1" outline="0" fieldPosition="0">
        <references count="3">
          <reference field="5" count="24">
            <x v="1"/>
            <x v="13"/>
            <x v="71"/>
            <x v="86"/>
            <x v="284"/>
            <x v="381"/>
            <x v="384"/>
            <x v="737"/>
            <x v="738"/>
            <x v="739"/>
            <x v="740"/>
            <x v="741"/>
            <x v="742"/>
            <x v="808"/>
            <x v="809"/>
            <x v="845"/>
            <x v="846"/>
            <x v="847"/>
            <x v="848"/>
            <x v="849"/>
            <x v="850"/>
            <x v="853"/>
            <x v="854"/>
            <x v="952"/>
          </reference>
          <reference field="7" count="1" selected="0">
            <x v="399"/>
          </reference>
          <reference field="21" count="1" selected="0">
            <x v="204"/>
          </reference>
        </references>
      </pivotArea>
    </format>
    <format dxfId="281">
      <pivotArea dataOnly="0" labelOnly="1" outline="0" fieldPosition="0">
        <references count="3">
          <reference field="5" count="10">
            <x v="10"/>
            <x v="11"/>
            <x v="41"/>
            <x v="81"/>
            <x v="98"/>
            <x v="767"/>
            <x v="922"/>
            <x v="923"/>
            <x v="924"/>
            <x v="925"/>
          </reference>
          <reference field="7" count="1" selected="0">
            <x v="411"/>
          </reference>
          <reference field="21" count="1" selected="0">
            <x v="204"/>
          </reference>
        </references>
      </pivotArea>
    </format>
    <format dxfId="280">
      <pivotArea dataOnly="0" labelOnly="1" outline="0" fieldPosition="0">
        <references count="3">
          <reference field="5" count="8">
            <x v="1"/>
            <x v="44"/>
            <x v="72"/>
            <x v="77"/>
            <x v="90"/>
            <x v="855"/>
            <x v="953"/>
            <x v="954"/>
          </reference>
          <reference field="7" count="1" selected="0">
            <x v="413"/>
          </reference>
          <reference field="21" count="1" selected="0">
            <x v="204"/>
          </reference>
        </references>
      </pivotArea>
    </format>
    <format dxfId="279">
      <pivotArea dataOnly="0" labelOnly="1" outline="0" fieldPosition="0">
        <references count="3">
          <reference field="5" count="12">
            <x v="1"/>
            <x v="71"/>
            <x v="86"/>
            <x v="381"/>
            <x v="384"/>
            <x v="737"/>
            <x v="738"/>
            <x v="739"/>
            <x v="740"/>
            <x v="741"/>
            <x v="808"/>
            <x v="809"/>
          </reference>
          <reference field="7" count="1" selected="0">
            <x v="414"/>
          </reference>
          <reference field="21" count="1" selected="0">
            <x v="204"/>
          </reference>
        </references>
      </pivotArea>
    </format>
    <format dxfId="278">
      <pivotArea dataOnly="0" labelOnly="1" outline="0" fieldPosition="0">
        <references count="3">
          <reference field="5" count="8">
            <x v="1"/>
            <x v="44"/>
            <x v="72"/>
            <x v="77"/>
            <x v="90"/>
            <x v="855"/>
            <x v="953"/>
            <x v="954"/>
          </reference>
          <reference field="7" count="1" selected="0">
            <x v="416"/>
          </reference>
          <reference field="21" count="1" selected="0">
            <x v="223"/>
          </reference>
        </references>
      </pivotArea>
    </format>
    <format dxfId="277">
      <pivotArea dataOnly="0" labelOnly="1" outline="0" fieldPosition="0">
        <references count="3">
          <reference field="5" count="16">
            <x v="1"/>
            <x v="165"/>
            <x v="166"/>
            <x v="168"/>
            <x v="175"/>
            <x v="856"/>
            <x v="857"/>
            <x v="858"/>
            <x v="859"/>
            <x v="860"/>
            <x v="861"/>
            <x v="862"/>
            <x v="863"/>
            <x v="864"/>
            <x v="955"/>
            <x v="956"/>
          </reference>
          <reference field="7" count="1" selected="0">
            <x v="97"/>
          </reference>
          <reference field="21" count="1" selected="0">
            <x v="478"/>
          </reference>
        </references>
      </pivotArea>
    </format>
    <format dxfId="276">
      <pivotArea dataOnly="0" labelOnly="1" outline="0" fieldPosition="0">
        <references count="3">
          <reference field="5" count="14">
            <x v="1"/>
            <x v="71"/>
            <x v="86"/>
            <x v="285"/>
            <x v="381"/>
            <x v="384"/>
            <x v="737"/>
            <x v="738"/>
            <x v="739"/>
            <x v="740"/>
            <x v="741"/>
            <x v="742"/>
            <x v="853"/>
            <x v="854"/>
          </reference>
          <reference field="7" count="1" selected="0">
            <x v="398"/>
          </reference>
          <reference field="21" count="1" selected="0">
            <x v="478"/>
          </reference>
        </references>
      </pivotArea>
    </format>
    <format dxfId="275">
      <pivotArea dataOnly="0" labelOnly="1" outline="0" fieldPosition="0">
        <references count="3">
          <reference field="5" count="1">
            <x v="917"/>
          </reference>
          <reference field="7" count="1" selected="0">
            <x v="400"/>
          </reference>
          <reference field="21" count="1" selected="0">
            <x v="479"/>
          </reference>
        </references>
      </pivotArea>
    </format>
    <format dxfId="274">
      <pivotArea dataOnly="0" labelOnly="1" outline="0" fieldPosition="0">
        <references count="3">
          <reference field="5" count="12">
            <x v="1"/>
            <x v="71"/>
            <x v="86"/>
            <x v="381"/>
            <x v="384"/>
            <x v="737"/>
            <x v="738"/>
            <x v="739"/>
            <x v="740"/>
            <x v="741"/>
            <x v="808"/>
            <x v="809"/>
          </reference>
          <reference field="7" count="1" selected="0">
            <x v="401"/>
          </reference>
          <reference field="21" count="1" selected="0">
            <x v="479"/>
          </reference>
        </references>
      </pivotArea>
    </format>
    <format dxfId="273">
      <pivotArea dataOnly="0" labelOnly="1" outline="0" fieldPosition="0">
        <references count="3">
          <reference field="5" count="5">
            <x v="339"/>
            <x v="928"/>
            <x v="929"/>
            <x v="930"/>
            <x v="931"/>
          </reference>
          <reference field="7" count="1" selected="0">
            <x v="404"/>
          </reference>
          <reference field="21" count="1" selected="0">
            <x v="480"/>
          </reference>
        </references>
      </pivotArea>
    </format>
    <format dxfId="272">
      <pivotArea dataOnly="0" labelOnly="1" outline="0" fieldPosition="0">
        <references count="3">
          <reference field="5" count="9">
            <x v="4"/>
            <x v="10"/>
            <x v="11"/>
            <x v="41"/>
            <x v="81"/>
            <x v="98"/>
            <x v="766"/>
            <x v="767"/>
            <x v="943"/>
          </reference>
          <reference field="7" count="1" selected="0">
            <x v="405"/>
          </reference>
          <reference field="21" count="1" selected="0">
            <x v="480"/>
          </reference>
        </references>
      </pivotArea>
    </format>
    <format dxfId="271">
      <pivotArea dataOnly="0" labelOnly="1" outline="0" fieldPosition="0">
        <references count="3">
          <reference field="5" count="9">
            <x v="4"/>
            <x v="10"/>
            <x v="11"/>
            <x v="41"/>
            <x v="81"/>
            <x v="98"/>
            <x v="766"/>
            <x v="767"/>
            <x v="943"/>
          </reference>
          <reference field="7" count="1" selected="0">
            <x v="406"/>
          </reference>
          <reference field="21" count="1" selected="0">
            <x v="480"/>
          </reference>
        </references>
      </pivotArea>
    </format>
    <format dxfId="270">
      <pivotArea dataOnly="0" labelOnly="1" outline="0" fieldPosition="0">
        <references count="3">
          <reference field="5" count="9">
            <x v="4"/>
            <x v="10"/>
            <x v="11"/>
            <x v="41"/>
            <x v="81"/>
            <x v="98"/>
            <x v="766"/>
            <x v="767"/>
            <x v="943"/>
          </reference>
          <reference field="7" count="1" selected="0">
            <x v="407"/>
          </reference>
          <reference field="21" count="1" selected="0">
            <x v="480"/>
          </reference>
        </references>
      </pivotArea>
    </format>
    <format dxfId="269">
      <pivotArea dataOnly="0" labelOnly="1" outline="0" fieldPosition="0">
        <references count="3">
          <reference field="5" count="12">
            <x v="1"/>
            <x v="71"/>
            <x v="86"/>
            <x v="381"/>
            <x v="384"/>
            <x v="737"/>
            <x v="738"/>
            <x v="739"/>
            <x v="740"/>
            <x v="741"/>
            <x v="808"/>
            <x v="809"/>
          </reference>
          <reference field="7" count="1" selected="0">
            <x v="409"/>
          </reference>
          <reference field="21" count="1" selected="0">
            <x v="480"/>
          </reference>
        </references>
      </pivotArea>
    </format>
    <format dxfId="268">
      <pivotArea dataOnly="0" labelOnly="1" outline="0" fieldPosition="0">
        <references count="3">
          <reference field="5" count="12">
            <x v="1"/>
            <x v="71"/>
            <x v="86"/>
            <x v="381"/>
            <x v="384"/>
            <x v="737"/>
            <x v="738"/>
            <x v="739"/>
            <x v="740"/>
            <x v="741"/>
            <x v="808"/>
            <x v="809"/>
          </reference>
          <reference field="7" count="1" selected="0">
            <x v="410"/>
          </reference>
          <reference field="21" count="1" selected="0">
            <x v="480"/>
          </reference>
        </references>
      </pivotArea>
    </format>
    <format dxfId="267">
      <pivotArea dataOnly="0" labelOnly="1" outline="0" fieldPosition="0">
        <references count="3">
          <reference field="5" count="11">
            <x v="72"/>
            <x v="133"/>
            <x v="205"/>
            <x v="494"/>
            <x v="495"/>
            <x v="496"/>
            <x v="497"/>
            <x v="498"/>
            <x v="964"/>
            <x v="965"/>
            <x v="966"/>
          </reference>
          <reference field="7" count="1" selected="0">
            <x v="415"/>
          </reference>
          <reference field="21" count="1" selected="0">
            <x v="481"/>
          </reference>
        </references>
      </pivotArea>
    </format>
    <format dxfId="266">
      <pivotArea dataOnly="0" labelOnly="1" outline="0" fieldPosition="0">
        <references count="3">
          <reference field="5" count="4">
            <x v="896"/>
            <x v="897"/>
            <x v="898"/>
            <x v="899"/>
          </reference>
          <reference field="7" count="1" selected="0">
            <x v="390"/>
          </reference>
          <reference field="21" count="1" selected="0">
            <x v="482"/>
          </reference>
        </references>
      </pivotArea>
    </format>
    <format dxfId="265">
      <pivotArea dataOnly="0" labelOnly="1" outline="0" fieldPosition="0">
        <references count="3">
          <reference field="5" count="8">
            <x v="1"/>
            <x v="285"/>
            <x v="970"/>
            <x v="971"/>
            <x v="972"/>
            <x v="973"/>
            <x v="974"/>
            <x v="975"/>
          </reference>
          <reference field="7" count="1" selected="0">
            <x v="417"/>
          </reference>
          <reference field="21" count="1" selected="0">
            <x v="483"/>
          </reference>
        </references>
      </pivotArea>
    </format>
    <format dxfId="264">
      <pivotArea field="22" type="button" dataOnly="0" labelOnly="1" outline="0" axis="axisPage" fieldPosition="0"/>
    </format>
    <format dxfId="263">
      <pivotArea type="all" dataOnly="0" outline="0" fieldPosition="0"/>
    </format>
    <format dxfId="262">
      <pivotArea field="21" type="button" dataOnly="0" labelOnly="1" outline="0" axis="axisRow" fieldPosition="0"/>
    </format>
    <format dxfId="261">
      <pivotArea field="7" type="button" dataOnly="0" labelOnly="1" outline="0" axis="axisRow" fieldPosition="1"/>
    </format>
    <format dxfId="260">
      <pivotArea field="5" type="button" dataOnly="0" labelOnly="1" outline="0" axis="axisRow" fieldPosition="2"/>
    </format>
    <format dxfId="259">
      <pivotArea field="1" type="button" dataOnly="0" labelOnly="1" outline="0" axis="axisRow" fieldPosition="3"/>
    </format>
    <format dxfId="258">
      <pivotArea dataOnly="0" labelOnly="1" outline="0" fieldPosition="0">
        <references count="1">
          <reference field="21" count="8">
            <x v="99"/>
            <x v="150"/>
            <x v="152"/>
            <x v="204"/>
            <x v="478"/>
            <x v="479"/>
            <x v="480"/>
            <x v="481"/>
          </reference>
        </references>
      </pivotArea>
    </format>
    <format dxfId="257">
      <pivotArea dataOnly="0" labelOnly="1" outline="0" fieldPosition="0">
        <references count="1">
          <reference field="21" count="8" defaultSubtotal="1">
            <x v="99"/>
            <x v="150"/>
            <x v="152"/>
            <x v="204"/>
            <x v="478"/>
            <x v="479"/>
            <x v="480"/>
            <x v="481"/>
          </reference>
        </references>
      </pivotArea>
    </format>
    <format dxfId="256">
      <pivotArea dataOnly="0" labelOnly="1" outline="0" fieldPosition="0">
        <references count="2">
          <reference field="7" count="1">
            <x v="102"/>
          </reference>
          <reference field="21" count="1" selected="0">
            <x v="150"/>
          </reference>
        </references>
      </pivotArea>
    </format>
    <format dxfId="255">
      <pivotArea dataOnly="0" labelOnly="1" outline="0" fieldPosition="0">
        <references count="2">
          <reference field="7" count="1" defaultSubtotal="1">
            <x v="102"/>
          </reference>
          <reference field="21" count="1" selected="0">
            <x v="150"/>
          </reference>
        </references>
      </pivotArea>
    </format>
    <format dxfId="254">
      <pivotArea dataOnly="0" labelOnly="1" outline="0" fieldPosition="0">
        <references count="2">
          <reference field="7" count="3">
            <x v="104"/>
            <x v="402"/>
            <x v="403"/>
          </reference>
          <reference field="21" count="1" selected="0">
            <x v="152"/>
          </reference>
        </references>
      </pivotArea>
    </format>
    <format dxfId="253">
      <pivotArea dataOnly="0" labelOnly="1" outline="0" fieldPosition="0">
        <references count="2">
          <reference field="7" count="3" defaultSubtotal="1">
            <x v="104"/>
            <x v="402"/>
            <x v="403"/>
          </reference>
          <reference field="21" count="1" selected="0">
            <x v="152"/>
          </reference>
        </references>
      </pivotArea>
    </format>
    <format dxfId="252">
      <pivotArea dataOnly="0" labelOnly="1" outline="0" fieldPosition="0">
        <references count="2">
          <reference field="7" count="2">
            <x v="138"/>
            <x v="412"/>
          </reference>
          <reference field="21" count="1" selected="0">
            <x v="204"/>
          </reference>
        </references>
      </pivotArea>
    </format>
    <format dxfId="251">
      <pivotArea dataOnly="0" labelOnly="1" outline="0" fieldPosition="0">
        <references count="2">
          <reference field="7" count="2" defaultSubtotal="1">
            <x v="138"/>
            <x v="412"/>
          </reference>
          <reference field="21" count="1" selected="0">
            <x v="204"/>
          </reference>
        </references>
      </pivotArea>
    </format>
    <format dxfId="250">
      <pivotArea dataOnly="0" labelOnly="1" outline="0" fieldPosition="0">
        <references count="2">
          <reference field="7" count="1">
            <x v="97"/>
          </reference>
          <reference field="21" count="1" selected="0">
            <x v="478"/>
          </reference>
        </references>
      </pivotArea>
    </format>
    <format dxfId="249">
      <pivotArea dataOnly="0" labelOnly="1" outline="0" fieldPosition="0">
        <references count="2">
          <reference field="7" count="1" defaultSubtotal="1">
            <x v="97"/>
          </reference>
          <reference field="21" count="1" selected="0">
            <x v="478"/>
          </reference>
        </references>
      </pivotArea>
    </format>
    <format dxfId="248">
      <pivotArea dataOnly="0" labelOnly="1" outline="0" fieldPosition="0">
        <references count="2">
          <reference field="7" count="1">
            <x v="400"/>
          </reference>
          <reference field="21" count="1" selected="0">
            <x v="479"/>
          </reference>
        </references>
      </pivotArea>
    </format>
    <format dxfId="247">
      <pivotArea dataOnly="0" labelOnly="1" outline="0" fieldPosition="0">
        <references count="2">
          <reference field="7" count="1" defaultSubtotal="1">
            <x v="400"/>
          </reference>
          <reference field="21" count="1" selected="0">
            <x v="479"/>
          </reference>
        </references>
      </pivotArea>
    </format>
    <format dxfId="246">
      <pivotArea dataOnly="0" labelOnly="1" outline="0" fieldPosition="0">
        <references count="2">
          <reference field="7" count="5">
            <x v="404"/>
            <x v="405"/>
            <x v="406"/>
            <x v="407"/>
            <x v="408"/>
          </reference>
          <reference field="21" count="1" selected="0">
            <x v="480"/>
          </reference>
        </references>
      </pivotArea>
    </format>
    <format dxfId="245">
      <pivotArea dataOnly="0" labelOnly="1" outline="0" fieldPosition="0">
        <references count="2">
          <reference field="7" count="5" defaultSubtotal="1">
            <x v="404"/>
            <x v="405"/>
            <x v="406"/>
            <x v="407"/>
            <x v="408"/>
          </reference>
          <reference field="21" count="1" selected="0">
            <x v="480"/>
          </reference>
        </references>
      </pivotArea>
    </format>
    <format dxfId="244">
      <pivotArea dataOnly="0" labelOnly="1" outline="0" fieldPosition="0">
        <references count="2">
          <reference field="7" count="1">
            <x v="415"/>
          </reference>
          <reference field="21" count="1" selected="0">
            <x v="481"/>
          </reference>
        </references>
      </pivotArea>
    </format>
    <format dxfId="243">
      <pivotArea dataOnly="0" labelOnly="1" outline="0" fieldPosition="0">
        <references count="2">
          <reference field="7" count="1" defaultSubtotal="1">
            <x v="415"/>
          </reference>
          <reference field="21" count="1" selected="0">
            <x v="481"/>
          </reference>
        </references>
      </pivotArea>
    </format>
    <format dxfId="242">
      <pivotArea dataOnly="0" labelOnly="1" outline="0" fieldPosition="0">
        <references count="3">
          <reference field="5" count="9">
            <x v="7"/>
            <x v="60"/>
            <x v="307"/>
            <x v="746"/>
            <x v="748"/>
            <x v="749"/>
            <x v="800"/>
            <x v="920"/>
            <x v="921"/>
          </reference>
          <reference field="7" count="1" selected="0">
            <x v="4"/>
          </reference>
          <reference field="21" count="1" selected="0">
            <x v="99"/>
          </reference>
        </references>
      </pivotArea>
    </format>
    <format dxfId="241">
      <pivotArea dataOnly="0" labelOnly="1" outline="0" fieldPosition="0">
        <references count="3">
          <reference field="5" count="7">
            <x v="58"/>
            <x v="72"/>
            <x v="358"/>
            <x v="361"/>
            <x v="918"/>
            <x v="962"/>
            <x v="963"/>
          </reference>
          <reference field="7" count="1" selected="0">
            <x v="102"/>
          </reference>
          <reference field="21" count="1" selected="0">
            <x v="150"/>
          </reference>
        </references>
      </pivotArea>
    </format>
    <format dxfId="240">
      <pivotArea dataOnly="0" labelOnly="1" outline="0" fieldPosition="0">
        <references count="3">
          <reference field="5" count="9">
            <x v="810"/>
            <x v="811"/>
            <x v="812"/>
            <x v="813"/>
            <x v="814"/>
            <x v="815"/>
            <x v="816"/>
            <x v="817"/>
            <x v="818"/>
          </reference>
          <reference field="7" count="1" selected="0">
            <x v="104"/>
          </reference>
          <reference field="21" count="1" selected="0">
            <x v="152"/>
          </reference>
        </references>
      </pivotArea>
    </format>
    <format dxfId="239">
      <pivotArea dataOnly="0" labelOnly="1" outline="0" fieldPosition="0">
        <references count="3">
          <reference field="5" count="2">
            <x v="926"/>
            <x v="927"/>
          </reference>
          <reference field="7" count="1" selected="0">
            <x v="402"/>
          </reference>
          <reference field="21" count="1" selected="0">
            <x v="152"/>
          </reference>
        </references>
      </pivotArea>
    </format>
    <format dxfId="238">
      <pivotArea dataOnly="0" labelOnly="1" outline="0" fieldPosition="0">
        <references count="3">
          <reference field="5" count="13">
            <x v="0"/>
            <x v="29"/>
            <x v="72"/>
            <x v="117"/>
            <x v="299"/>
            <x v="310"/>
            <x v="311"/>
            <x v="313"/>
            <x v="772"/>
            <x v="774"/>
            <x v="776"/>
            <x v="840"/>
            <x v="844"/>
          </reference>
          <reference field="7" count="1" selected="0">
            <x v="403"/>
          </reference>
          <reference field="21" count="1" selected="0">
            <x v="152"/>
          </reference>
        </references>
      </pivotArea>
    </format>
    <format dxfId="237">
      <pivotArea dataOnly="0" labelOnly="1" outline="0" fieldPosition="0">
        <references count="3">
          <reference field="5" count="9">
            <x v="307"/>
            <x v="748"/>
            <x v="749"/>
            <x v="946"/>
            <x v="947"/>
            <x v="948"/>
            <x v="949"/>
            <x v="950"/>
            <x v="951"/>
          </reference>
          <reference field="7" count="1" selected="0">
            <x v="138"/>
          </reference>
          <reference field="21" count="1" selected="0">
            <x v="204"/>
          </reference>
        </references>
      </pivotArea>
    </format>
    <format dxfId="236">
      <pivotArea dataOnly="0" labelOnly="1" outline="0" fieldPosition="0">
        <references count="3">
          <reference field="5" count="13">
            <x v="0"/>
            <x v="29"/>
            <x v="72"/>
            <x v="117"/>
            <x v="299"/>
            <x v="310"/>
            <x v="311"/>
            <x v="313"/>
            <x v="772"/>
            <x v="774"/>
            <x v="776"/>
            <x v="840"/>
            <x v="844"/>
          </reference>
          <reference field="7" count="1" selected="0">
            <x v="412"/>
          </reference>
          <reference field="21" count="1" selected="0">
            <x v="204"/>
          </reference>
        </references>
      </pivotArea>
    </format>
    <format dxfId="235">
      <pivotArea dataOnly="0" labelOnly="1" outline="0" fieldPosition="0">
        <references count="3">
          <reference field="5" count="11">
            <x v="17"/>
            <x v="183"/>
            <x v="184"/>
            <x v="866"/>
            <x v="867"/>
            <x v="868"/>
            <x v="957"/>
            <x v="958"/>
            <x v="959"/>
            <x v="960"/>
            <x v="961"/>
          </reference>
          <reference field="7" count="1" selected="0">
            <x v="97"/>
          </reference>
          <reference field="21" count="1" selected="0">
            <x v="478"/>
          </reference>
        </references>
      </pivotArea>
    </format>
    <format dxfId="234">
      <pivotArea dataOnly="0" labelOnly="1" outline="0" fieldPosition="0">
        <references count="3">
          <reference field="5" count="6">
            <x v="58"/>
            <x v="72"/>
            <x v="358"/>
            <x v="784"/>
            <x v="785"/>
            <x v="918"/>
          </reference>
          <reference field="7" count="1" selected="0">
            <x v="400"/>
          </reference>
          <reference field="21" count="1" selected="0">
            <x v="479"/>
          </reference>
        </references>
      </pivotArea>
    </format>
    <format dxfId="233">
      <pivotArea dataOnly="0" labelOnly="1" outline="0" fieldPosition="0">
        <references count="3">
          <reference field="5" count="17">
            <x v="56"/>
            <x v="58"/>
            <x v="66"/>
            <x v="72"/>
            <x v="358"/>
            <x v="361"/>
            <x v="932"/>
            <x v="933"/>
            <x v="934"/>
            <x v="935"/>
            <x v="936"/>
            <x v="937"/>
            <x v="938"/>
            <x v="939"/>
            <x v="940"/>
            <x v="941"/>
            <x v="942"/>
          </reference>
          <reference field="7" count="1" selected="0">
            <x v="404"/>
          </reference>
          <reference field="21" count="1" selected="0">
            <x v="480"/>
          </reference>
        </references>
      </pivotArea>
    </format>
    <format dxfId="232">
      <pivotArea dataOnly="0" labelOnly="1" outline="0" fieldPosition="0">
        <references count="3">
          <reference field="5" count="6">
            <x v="7"/>
            <x v="42"/>
            <x v="60"/>
            <x v="85"/>
            <x v="768"/>
            <x v="769"/>
          </reference>
          <reference field="7" count="1" selected="0">
            <x v="405"/>
          </reference>
          <reference field="21" count="1" selected="0">
            <x v="480"/>
          </reference>
        </references>
      </pivotArea>
    </format>
    <format dxfId="231">
      <pivotArea dataOnly="0" labelOnly="1" outline="0" fieldPosition="0">
        <references count="3">
          <reference field="5" count="6">
            <x v="7"/>
            <x v="42"/>
            <x v="60"/>
            <x v="85"/>
            <x v="768"/>
            <x v="769"/>
          </reference>
          <reference field="7" count="1" selected="0">
            <x v="406"/>
          </reference>
          <reference field="21" count="1" selected="0">
            <x v="480"/>
          </reference>
        </references>
      </pivotArea>
    </format>
    <format dxfId="230">
      <pivotArea dataOnly="0" labelOnly="1" outline="0" fieldPosition="0">
        <references count="3">
          <reference field="5" count="6">
            <x v="7"/>
            <x v="42"/>
            <x v="60"/>
            <x v="85"/>
            <x v="768"/>
            <x v="769"/>
          </reference>
          <reference field="7" count="1" selected="0">
            <x v="407"/>
          </reference>
          <reference field="21" count="1" selected="0">
            <x v="480"/>
          </reference>
        </references>
      </pivotArea>
    </format>
    <format dxfId="229">
      <pivotArea dataOnly="0" labelOnly="1" outline="0" fieldPosition="0">
        <references count="3">
          <reference field="5" count="13">
            <x v="0"/>
            <x v="29"/>
            <x v="72"/>
            <x v="117"/>
            <x v="299"/>
            <x v="310"/>
            <x v="311"/>
            <x v="313"/>
            <x v="772"/>
            <x v="774"/>
            <x v="776"/>
            <x v="840"/>
            <x v="844"/>
          </reference>
          <reference field="7" count="1" selected="0">
            <x v="408"/>
          </reference>
          <reference field="21" count="1" selected="0">
            <x v="480"/>
          </reference>
        </references>
      </pivotArea>
    </format>
    <format dxfId="228">
      <pivotArea dataOnly="0" labelOnly="1" outline="0" fieldPosition="0">
        <references count="3">
          <reference field="5" count="4">
            <x v="72"/>
            <x v="967"/>
            <x v="968"/>
            <x v="969"/>
          </reference>
          <reference field="7" count="1" selected="0">
            <x v="415"/>
          </reference>
          <reference field="21" count="1" selected="0">
            <x v="481"/>
          </reference>
        </references>
      </pivotArea>
    </format>
    <format dxfId="227">
      <pivotArea field="21" type="button" dataOnly="0" labelOnly="1" outline="0" axis="axisRow" fieldPosition="0"/>
    </format>
    <format dxfId="226">
      <pivotArea field="7" type="button" dataOnly="0" labelOnly="1" outline="0" axis="axisRow" fieldPosition="1"/>
    </format>
    <format dxfId="225">
      <pivotArea field="5" type="button" dataOnly="0" labelOnly="1" outline="0" axis="axisRow" fieldPosition="2"/>
    </format>
    <format dxfId="224">
      <pivotArea field="1" type="button" dataOnly="0" labelOnly="1" outline="0" axis="axisRow" fieldPosition="3"/>
    </format>
    <format dxfId="223">
      <pivotArea dataOnly="0" labelOnly="1" outline="0" fieldPosition="0">
        <references count="1">
          <reference field="21" count="0"/>
        </references>
      </pivotArea>
    </format>
    <format dxfId="222">
      <pivotArea dataOnly="0" labelOnly="1" outline="0" fieldPosition="0">
        <references count="1">
          <reference field="21" count="0" defaultSubtotal="1"/>
        </references>
      </pivotArea>
    </format>
    <format dxfId="221">
      <pivotArea dataOnly="0" labelOnly="1" outline="0" fieldPosition="0">
        <references count="2">
          <reference field="7" count="25">
            <x v="79"/>
            <x v="87"/>
            <x v="455"/>
            <x v="456"/>
            <x v="458"/>
            <x v="459"/>
            <x v="460"/>
            <x v="461"/>
            <x v="463"/>
            <x v="465"/>
            <x v="466"/>
            <x v="467"/>
            <x v="469"/>
            <x v="470"/>
            <x v="471"/>
            <x v="472"/>
            <x v="473"/>
            <x v="474"/>
            <x v="475"/>
            <x v="476"/>
            <x v="477"/>
            <x v="479"/>
            <x v="480"/>
            <x v="481"/>
            <x v="482"/>
          </reference>
          <reference field="21" count="0" selected="0"/>
        </references>
      </pivotArea>
    </format>
    <format dxfId="220">
      <pivotArea dataOnly="0" labelOnly="1" outline="0" fieldPosition="0">
        <references count="2">
          <reference field="7" count="25" defaultSubtotal="1">
            <x v="79"/>
            <x v="87"/>
            <x v="455"/>
            <x v="456"/>
            <x v="458"/>
            <x v="459"/>
            <x v="460"/>
            <x v="461"/>
            <x v="463"/>
            <x v="465"/>
            <x v="466"/>
            <x v="467"/>
            <x v="469"/>
            <x v="470"/>
            <x v="471"/>
            <x v="472"/>
            <x v="473"/>
            <x v="474"/>
            <x v="475"/>
            <x v="476"/>
            <x v="477"/>
            <x v="479"/>
            <x v="480"/>
            <x v="481"/>
            <x v="482"/>
          </reference>
          <reference field="21" count="0" selected="0"/>
        </references>
      </pivotArea>
    </format>
    <format dxfId="219">
      <pivotArea dataOnly="0" labelOnly="1" outline="0" fieldPosition="0">
        <references count="2">
          <reference field="7" count="25">
            <x v="483"/>
            <x v="484"/>
            <x v="485"/>
            <x v="486"/>
            <x v="487"/>
            <x v="488"/>
            <x v="491"/>
            <x v="492"/>
            <x v="493"/>
            <x v="494"/>
            <x v="495"/>
            <x v="498"/>
            <x v="499"/>
            <x v="500"/>
            <x v="502"/>
            <x v="504"/>
            <x v="507"/>
            <x v="508"/>
            <x v="509"/>
            <x v="510"/>
            <x v="513"/>
            <x v="514"/>
            <x v="515"/>
            <x v="518"/>
            <x v="519"/>
          </reference>
          <reference field="21" count="0" selected="0"/>
        </references>
      </pivotArea>
    </format>
    <format dxfId="218">
      <pivotArea dataOnly="0" labelOnly="1" outline="0" fieldPosition="0">
        <references count="2">
          <reference field="7" count="25" defaultSubtotal="1">
            <x v="483"/>
            <x v="484"/>
            <x v="485"/>
            <x v="486"/>
            <x v="487"/>
            <x v="488"/>
            <x v="491"/>
            <x v="492"/>
            <x v="493"/>
            <x v="494"/>
            <x v="495"/>
            <x v="498"/>
            <x v="499"/>
            <x v="500"/>
            <x v="502"/>
            <x v="504"/>
            <x v="507"/>
            <x v="508"/>
            <x v="509"/>
            <x v="510"/>
            <x v="513"/>
            <x v="514"/>
            <x v="515"/>
            <x v="518"/>
            <x v="519"/>
          </reference>
          <reference field="21" count="0" selected="0"/>
        </references>
      </pivotArea>
    </format>
    <format dxfId="217">
      <pivotArea dataOnly="0" labelOnly="1" outline="0" fieldPosition="0">
        <references count="2">
          <reference field="7" count="16">
            <x v="520"/>
            <x v="523"/>
            <x v="524"/>
            <x v="525"/>
            <x v="527"/>
            <x v="529"/>
            <x v="530"/>
            <x v="531"/>
            <x v="532"/>
            <x v="533"/>
            <x v="534"/>
            <x v="535"/>
            <x v="536"/>
            <x v="537"/>
            <x v="538"/>
            <x v="539"/>
          </reference>
          <reference field="21" count="0" selected="0"/>
        </references>
      </pivotArea>
    </format>
    <format dxfId="216">
      <pivotArea dataOnly="0" labelOnly="1" outline="0" fieldPosition="0">
        <references count="2">
          <reference field="7" count="16" defaultSubtotal="1">
            <x v="520"/>
            <x v="523"/>
            <x v="524"/>
            <x v="525"/>
            <x v="527"/>
            <x v="529"/>
            <x v="530"/>
            <x v="531"/>
            <x v="532"/>
            <x v="533"/>
            <x v="534"/>
            <x v="535"/>
            <x v="536"/>
            <x v="537"/>
            <x v="538"/>
            <x v="539"/>
          </reference>
          <reference field="21" count="0" selected="0"/>
        </references>
      </pivotArea>
    </format>
    <format dxfId="215">
      <pivotArea dataOnly="0" labelOnly="1" outline="0" fieldPosition="0">
        <references count="3">
          <reference field="5" count="16">
            <x v="1"/>
            <x v="72"/>
            <x v="101"/>
            <x v="199"/>
            <x v="287"/>
            <x v="289"/>
            <x v="290"/>
            <x v="291"/>
            <x v="292"/>
            <x v="293"/>
            <x v="298"/>
            <x v="307"/>
            <x v="308"/>
            <x v="748"/>
            <x v="749"/>
            <x v="1081"/>
          </reference>
          <reference field="7" count="1" selected="0">
            <x v="79"/>
          </reference>
          <reference field="21" count="0" selected="0"/>
        </references>
      </pivotArea>
    </format>
    <format dxfId="214">
      <pivotArea dataOnly="0" labelOnly="1" outline="0" fieldPosition="0">
        <references count="3">
          <reference field="5" count="2">
            <x v="320"/>
            <x v="321"/>
          </reference>
          <reference field="7" count="1" selected="0">
            <x v="87"/>
          </reference>
          <reference field="21" count="0" selected="0"/>
        </references>
      </pivotArea>
    </format>
    <format dxfId="213">
      <pivotArea dataOnly="0" labelOnly="1" outline="0" fieldPosition="0">
        <references count="3">
          <reference field="5" count="5">
            <x v="1"/>
            <x v="101"/>
            <x v="1129"/>
            <x v="1130"/>
            <x v="1131"/>
          </reference>
          <reference field="7" count="1" selected="0">
            <x v="455"/>
          </reference>
          <reference field="21" count="0" selected="0"/>
        </references>
      </pivotArea>
    </format>
    <format dxfId="212">
      <pivotArea dataOnly="0" labelOnly="1" outline="0" fieldPosition="0">
        <references count="3">
          <reference field="5" count="8">
            <x v="1"/>
            <x v="146"/>
            <x v="147"/>
            <x v="148"/>
            <x v="1044"/>
            <x v="1045"/>
            <x v="1046"/>
            <x v="1047"/>
          </reference>
          <reference field="7" count="1" selected="0">
            <x v="456"/>
          </reference>
          <reference field="21" count="0" selected="0"/>
        </references>
      </pivotArea>
    </format>
    <format dxfId="211">
      <pivotArea dataOnly="0" labelOnly="1" outline="0" fieldPosition="0">
        <references count="3">
          <reference field="5" count="2">
            <x v="101"/>
            <x v="385"/>
          </reference>
          <reference field="7" count="1" selected="0">
            <x v="458"/>
          </reference>
          <reference field="21" count="0" selected="0"/>
        </references>
      </pivotArea>
    </format>
    <format dxfId="210">
      <pivotArea dataOnly="0" labelOnly="1" outline="0" fieldPosition="0">
        <references count="3">
          <reference field="5" count="13">
            <x v="10"/>
            <x v="11"/>
            <x v="41"/>
            <x v="81"/>
            <x v="98"/>
            <x v="767"/>
            <x v="922"/>
            <x v="923"/>
            <x v="924"/>
            <x v="925"/>
            <x v="943"/>
            <x v="974"/>
            <x v="975"/>
          </reference>
          <reference field="7" count="1" selected="0">
            <x v="459"/>
          </reference>
          <reference field="21" count="0" selected="0"/>
        </references>
      </pivotArea>
    </format>
    <format dxfId="209">
      <pivotArea dataOnly="0" labelOnly="1" outline="0" fieldPosition="0">
        <references count="3">
          <reference field="5" count="17">
            <x v="1"/>
            <x v="4"/>
            <x v="97"/>
            <x v="375"/>
            <x v="376"/>
            <x v="669"/>
            <x v="673"/>
            <x v="1044"/>
            <x v="1058"/>
            <x v="1146"/>
            <x v="1147"/>
            <x v="1148"/>
            <x v="1149"/>
            <x v="1150"/>
            <x v="1151"/>
            <x v="1152"/>
            <x v="1153"/>
          </reference>
          <reference field="7" count="1" selected="0">
            <x v="460"/>
          </reference>
          <reference field="21" count="0" selected="0"/>
        </references>
      </pivotArea>
    </format>
    <format dxfId="208">
      <pivotArea dataOnly="0" labelOnly="1" outline="0" fieldPosition="0">
        <references count="3">
          <reference field="5" count="13">
            <x v="10"/>
            <x v="11"/>
            <x v="41"/>
            <x v="81"/>
            <x v="98"/>
            <x v="767"/>
            <x v="922"/>
            <x v="923"/>
            <x v="924"/>
            <x v="925"/>
            <x v="943"/>
            <x v="974"/>
            <x v="975"/>
          </reference>
          <reference field="7" count="1" selected="0">
            <x v="461"/>
          </reference>
          <reference field="21" count="0" selected="0"/>
        </references>
      </pivotArea>
    </format>
    <format dxfId="207">
      <pivotArea dataOnly="0" labelOnly="1" outline="0" fieldPosition="0">
        <references count="3">
          <reference field="5" count="2">
            <x v="101"/>
            <x v="385"/>
          </reference>
          <reference field="7" count="1" selected="0">
            <x v="463"/>
          </reference>
          <reference field="21" count="0" selected="0"/>
        </references>
      </pivotArea>
    </format>
    <format dxfId="206">
      <pivotArea dataOnly="0" labelOnly="1" outline="0" fieldPosition="0">
        <references count="3">
          <reference field="5" count="13">
            <x v="10"/>
            <x v="11"/>
            <x v="41"/>
            <x v="81"/>
            <x v="98"/>
            <x v="767"/>
            <x v="922"/>
            <x v="923"/>
            <x v="924"/>
            <x v="925"/>
            <x v="943"/>
            <x v="974"/>
            <x v="975"/>
          </reference>
          <reference field="7" count="1" selected="0">
            <x v="465"/>
          </reference>
          <reference field="21" count="0" selected="0"/>
        </references>
      </pivotArea>
    </format>
    <format dxfId="205">
      <pivotArea dataOnly="0" labelOnly="1" outline="0" fieldPosition="0">
        <references count="3">
          <reference field="5" count="1">
            <x v="1005"/>
          </reference>
          <reference field="7" count="1" selected="0">
            <x v="466"/>
          </reference>
          <reference field="21" count="0" selected="0"/>
        </references>
      </pivotArea>
    </format>
    <format dxfId="204">
      <pivotArea dataOnly="0" labelOnly="1" outline="0" fieldPosition="0">
        <references count="3">
          <reference field="5" count="2">
            <x v="924"/>
            <x v="925"/>
          </reference>
          <reference field="7" count="1" selected="0">
            <x v="467"/>
          </reference>
          <reference field="21" count="0" selected="0"/>
        </references>
      </pivotArea>
    </format>
    <format dxfId="203">
      <pivotArea dataOnly="0" labelOnly="1" outline="0" fieldPosition="0">
        <references count="3">
          <reference field="5" count="13">
            <x v="10"/>
            <x v="11"/>
            <x v="41"/>
            <x v="81"/>
            <x v="98"/>
            <x v="767"/>
            <x v="922"/>
            <x v="923"/>
            <x v="924"/>
            <x v="925"/>
            <x v="943"/>
            <x v="974"/>
            <x v="975"/>
          </reference>
          <reference field="7" count="1" selected="0">
            <x v="469"/>
          </reference>
          <reference field="21" count="0" selected="0"/>
        </references>
      </pivotArea>
    </format>
    <format dxfId="202">
      <pivotArea dataOnly="0" labelOnly="1" outline="0" fieldPosition="0">
        <references count="3">
          <reference field="5" count="4">
            <x v="896"/>
            <x v="897"/>
            <x v="898"/>
            <x v="899"/>
          </reference>
          <reference field="7" count="1" selected="0">
            <x v="470"/>
          </reference>
          <reference field="21" count="0" selected="0"/>
        </references>
      </pivotArea>
    </format>
    <format dxfId="201">
      <pivotArea dataOnly="0" labelOnly="1" outline="0" fieldPosition="0">
        <references count="3">
          <reference field="5" count="25">
            <x v="1"/>
            <x v="13"/>
            <x v="71"/>
            <x v="86"/>
            <x v="284"/>
            <x v="285"/>
            <x v="381"/>
            <x v="384"/>
            <x v="737"/>
            <x v="738"/>
            <x v="739"/>
            <x v="740"/>
            <x v="741"/>
            <x v="742"/>
            <x v="745"/>
            <x v="808"/>
            <x v="809"/>
            <x v="845"/>
            <x v="846"/>
            <x v="847"/>
            <x v="848"/>
            <x v="849"/>
            <x v="850"/>
            <x v="974"/>
            <x v="975"/>
          </reference>
          <reference field="7" count="1" selected="0">
            <x v="471"/>
          </reference>
          <reference field="21" count="0" selected="0"/>
        </references>
      </pivotArea>
    </format>
    <format dxfId="200">
      <pivotArea dataOnly="0" labelOnly="1" outline="0" fieldPosition="0">
        <references count="3">
          <reference field="5" count="14">
            <x v="1"/>
            <x v="44"/>
            <x v="71"/>
            <x v="86"/>
            <x v="381"/>
            <x v="384"/>
            <x v="737"/>
            <x v="738"/>
            <x v="739"/>
            <x v="740"/>
            <x v="741"/>
            <x v="742"/>
            <x v="744"/>
            <x v="745"/>
          </reference>
          <reference field="7" count="1" selected="0">
            <x v="472"/>
          </reference>
          <reference field="21" count="0" selected="0"/>
        </references>
      </pivotArea>
    </format>
    <format dxfId="199">
      <pivotArea dataOnly="0" labelOnly="1" outline="0" fieldPosition="0">
        <references count="3">
          <reference field="5" count="25">
            <x v="1"/>
            <x v="13"/>
            <x v="71"/>
            <x v="86"/>
            <x v="284"/>
            <x v="285"/>
            <x v="381"/>
            <x v="384"/>
            <x v="737"/>
            <x v="738"/>
            <x v="739"/>
            <x v="740"/>
            <x v="741"/>
            <x v="742"/>
            <x v="745"/>
            <x v="808"/>
            <x v="809"/>
            <x v="845"/>
            <x v="846"/>
            <x v="847"/>
            <x v="848"/>
            <x v="849"/>
            <x v="850"/>
            <x v="974"/>
            <x v="975"/>
          </reference>
          <reference field="7" count="1" selected="0">
            <x v="473"/>
          </reference>
          <reference field="21" count="0" selected="0"/>
        </references>
      </pivotArea>
    </format>
    <format dxfId="198">
      <pivotArea dataOnly="0" labelOnly="1" outline="0" fieldPosition="0">
        <references count="3">
          <reference field="5" count="21">
            <x v="1"/>
            <x v="13"/>
            <x v="71"/>
            <x v="86"/>
            <x v="284"/>
            <x v="285"/>
            <x v="381"/>
            <x v="384"/>
            <x v="737"/>
            <x v="738"/>
            <x v="739"/>
            <x v="740"/>
            <x v="741"/>
            <x v="742"/>
            <x v="745"/>
            <x v="808"/>
            <x v="809"/>
            <x v="853"/>
            <x v="854"/>
            <x v="974"/>
            <x v="975"/>
          </reference>
          <reference field="7" count="1" selected="0">
            <x v="474"/>
          </reference>
          <reference field="21" count="0" selected="0"/>
        </references>
      </pivotArea>
    </format>
    <format dxfId="197">
      <pivotArea dataOnly="0" labelOnly="1" outline="0" fieldPosition="0">
        <references count="3">
          <reference field="5" count="8">
            <x v="1"/>
            <x v="285"/>
            <x v="970"/>
            <x v="971"/>
            <x v="972"/>
            <x v="973"/>
            <x v="974"/>
            <x v="975"/>
          </reference>
          <reference field="7" count="1" selected="0">
            <x v="475"/>
          </reference>
          <reference field="21" count="0" selected="0"/>
        </references>
      </pivotArea>
    </format>
    <format dxfId="196">
      <pivotArea dataOnly="0" labelOnly="1" outline="0" fieldPosition="0">
        <references count="3">
          <reference field="5" count="17">
            <x v="1"/>
            <x v="4"/>
            <x v="97"/>
            <x v="375"/>
            <x v="376"/>
            <x v="669"/>
            <x v="673"/>
            <x v="1044"/>
            <x v="1058"/>
            <x v="1146"/>
            <x v="1147"/>
            <x v="1148"/>
            <x v="1149"/>
            <x v="1150"/>
            <x v="1151"/>
            <x v="1152"/>
            <x v="1153"/>
          </reference>
          <reference field="7" count="1" selected="0">
            <x v="476"/>
          </reference>
          <reference field="21" count="0" selected="0"/>
        </references>
      </pivotArea>
    </format>
    <format dxfId="195">
      <pivotArea dataOnly="0" labelOnly="1" outline="0" fieldPosition="0">
        <references count="3">
          <reference field="5" count="14">
            <x v="10"/>
            <x v="11"/>
            <x v="41"/>
            <x v="81"/>
            <x v="98"/>
            <x v="680"/>
            <x v="767"/>
            <x v="922"/>
            <x v="923"/>
            <x v="924"/>
            <x v="925"/>
            <x v="943"/>
            <x v="974"/>
            <x v="975"/>
          </reference>
          <reference field="7" count="1" selected="0">
            <x v="477"/>
          </reference>
          <reference field="21" count="0" selected="0"/>
        </references>
      </pivotArea>
    </format>
    <format dxfId="194">
      <pivotArea dataOnly="0" labelOnly="1" outline="0" fieldPosition="0">
        <references count="3">
          <reference field="5" count="1">
            <x v="1005"/>
          </reference>
          <reference field="7" count="1" selected="0">
            <x v="479"/>
          </reference>
          <reference field="21" count="0" selected="0"/>
        </references>
      </pivotArea>
    </format>
    <format dxfId="193">
      <pivotArea dataOnly="0" labelOnly="1" outline="0" fieldPosition="0">
        <references count="3">
          <reference field="5" count="2">
            <x v="924"/>
            <x v="925"/>
          </reference>
          <reference field="7" count="1" selected="0">
            <x v="480"/>
          </reference>
          <reference field="21" count="0" selected="0"/>
        </references>
      </pivotArea>
    </format>
    <format dxfId="192">
      <pivotArea dataOnly="0" labelOnly="1" outline="0" fieldPosition="0">
        <references count="3">
          <reference field="5" count="2">
            <x v="924"/>
            <x v="925"/>
          </reference>
          <reference field="7" count="1" selected="0">
            <x v="481"/>
          </reference>
          <reference field="21" count="0" selected="0"/>
        </references>
      </pivotArea>
    </format>
    <format dxfId="191">
      <pivotArea dataOnly="0" labelOnly="1" outline="0" fieldPosition="0">
        <references count="3">
          <reference field="5" count="10">
            <x v="10"/>
            <x v="11"/>
            <x v="41"/>
            <x v="81"/>
            <x v="98"/>
            <x v="767"/>
            <x v="922"/>
            <x v="923"/>
            <x v="924"/>
            <x v="925"/>
          </reference>
          <reference field="7" count="1" selected="0">
            <x v="482"/>
          </reference>
          <reference field="21" count="0" selected="0"/>
        </references>
      </pivotArea>
    </format>
    <format dxfId="190">
      <pivotArea dataOnly="0" labelOnly="1" outline="0" fieldPosition="0">
        <references count="3">
          <reference field="5" count="14">
            <x v="1"/>
            <x v="44"/>
            <x v="71"/>
            <x v="86"/>
            <x v="381"/>
            <x v="384"/>
            <x v="737"/>
            <x v="738"/>
            <x v="739"/>
            <x v="740"/>
            <x v="741"/>
            <x v="742"/>
            <x v="744"/>
            <x v="745"/>
          </reference>
          <reference field="7" count="1" selected="0">
            <x v="483"/>
          </reference>
          <reference field="21" count="0" selected="0"/>
        </references>
      </pivotArea>
    </format>
    <format dxfId="189">
      <pivotArea dataOnly="0" labelOnly="1" outline="0" fieldPosition="0">
        <references count="3">
          <reference field="5" count="25">
            <x v="1"/>
            <x v="13"/>
            <x v="71"/>
            <x v="86"/>
            <x v="284"/>
            <x v="285"/>
            <x v="381"/>
            <x v="384"/>
            <x v="737"/>
            <x v="738"/>
            <x v="739"/>
            <x v="740"/>
            <x v="741"/>
            <x v="742"/>
            <x v="745"/>
            <x v="808"/>
            <x v="809"/>
            <x v="845"/>
            <x v="846"/>
            <x v="847"/>
            <x v="848"/>
            <x v="849"/>
            <x v="850"/>
            <x v="974"/>
            <x v="975"/>
          </reference>
          <reference field="7" count="1" selected="0">
            <x v="484"/>
          </reference>
          <reference field="21" count="0" selected="0"/>
        </references>
      </pivotArea>
    </format>
    <format dxfId="188">
      <pivotArea dataOnly="0" labelOnly="1" outline="0" fieldPosition="0">
        <references count="3">
          <reference field="5" count="8">
            <x v="1"/>
            <x v="285"/>
            <x v="970"/>
            <x v="971"/>
            <x v="972"/>
            <x v="973"/>
            <x v="974"/>
            <x v="975"/>
          </reference>
          <reference field="7" count="1" selected="0">
            <x v="485"/>
          </reference>
          <reference field="21" count="0" selected="0"/>
        </references>
      </pivotArea>
    </format>
    <format dxfId="187">
      <pivotArea dataOnly="0" labelOnly="1" outline="0" fieldPosition="0">
        <references count="3">
          <reference field="5" count="8">
            <x v="287"/>
            <x v="289"/>
            <x v="290"/>
            <x v="291"/>
            <x v="292"/>
            <x v="293"/>
            <x v="294"/>
            <x v="295"/>
          </reference>
          <reference field="7" count="1" selected="0">
            <x v="486"/>
          </reference>
          <reference field="21" count="0" selected="0"/>
        </references>
      </pivotArea>
    </format>
    <format dxfId="186">
      <pivotArea dataOnly="0" labelOnly="1" outline="0" fieldPosition="0">
        <references count="3">
          <reference field="5" count="10">
            <x v="10"/>
            <x v="11"/>
            <x v="41"/>
            <x v="81"/>
            <x v="98"/>
            <x v="767"/>
            <x v="922"/>
            <x v="923"/>
            <x v="924"/>
            <x v="925"/>
          </reference>
          <reference field="7" count="1" selected="0">
            <x v="487"/>
          </reference>
          <reference field="21" count="0" selected="0"/>
        </references>
      </pivotArea>
    </format>
    <format dxfId="185">
      <pivotArea dataOnly="0" labelOnly="1" outline="0" fieldPosition="0">
        <references count="3">
          <reference field="5" count="10">
            <x v="10"/>
            <x v="11"/>
            <x v="41"/>
            <x v="81"/>
            <x v="98"/>
            <x v="767"/>
            <x v="922"/>
            <x v="923"/>
            <x v="924"/>
            <x v="925"/>
          </reference>
          <reference field="7" count="1" selected="0">
            <x v="488"/>
          </reference>
          <reference field="21" count="0" selected="0"/>
        </references>
      </pivotArea>
    </format>
    <format dxfId="184">
      <pivotArea dataOnly="0" labelOnly="1" outline="0" fieldPosition="0">
        <references count="3">
          <reference field="5" count="25">
            <x v="1"/>
            <x v="13"/>
            <x v="71"/>
            <x v="86"/>
            <x v="284"/>
            <x v="285"/>
            <x v="381"/>
            <x v="384"/>
            <x v="737"/>
            <x v="738"/>
            <x v="739"/>
            <x v="740"/>
            <x v="741"/>
            <x v="742"/>
            <x v="745"/>
            <x v="808"/>
            <x v="809"/>
            <x v="845"/>
            <x v="846"/>
            <x v="847"/>
            <x v="848"/>
            <x v="849"/>
            <x v="850"/>
            <x v="974"/>
            <x v="975"/>
          </reference>
          <reference field="7" count="1" selected="0">
            <x v="491"/>
          </reference>
          <reference field="21" count="0" selected="0"/>
        </references>
      </pivotArea>
    </format>
    <format dxfId="183">
      <pivotArea dataOnly="0" labelOnly="1" outline="0" fieldPosition="0">
        <references count="3">
          <reference field="5" count="16">
            <x v="1"/>
            <x v="71"/>
            <x v="86"/>
            <x v="381"/>
            <x v="384"/>
            <x v="737"/>
            <x v="738"/>
            <x v="739"/>
            <x v="740"/>
            <x v="741"/>
            <x v="742"/>
            <x v="745"/>
            <x v="808"/>
            <x v="809"/>
            <x v="974"/>
            <x v="975"/>
          </reference>
          <reference field="7" count="1" selected="0">
            <x v="492"/>
          </reference>
          <reference field="21" count="0" selected="0"/>
        </references>
      </pivotArea>
    </format>
    <format dxfId="182">
      <pivotArea dataOnly="0" labelOnly="1" outline="0" fieldPosition="0">
        <references count="3">
          <reference field="5" count="16">
            <x v="1"/>
            <x v="72"/>
            <x v="101"/>
            <x v="199"/>
            <x v="287"/>
            <x v="289"/>
            <x v="290"/>
            <x v="291"/>
            <x v="292"/>
            <x v="293"/>
            <x v="298"/>
            <x v="307"/>
            <x v="308"/>
            <x v="748"/>
            <x v="749"/>
            <x v="1081"/>
          </reference>
          <reference field="7" count="1" selected="0">
            <x v="493"/>
          </reference>
          <reference field="21" count="0" selected="0"/>
        </references>
      </pivotArea>
    </format>
    <format dxfId="181">
      <pivotArea dataOnly="0" labelOnly="1" outline="0" fieldPosition="0">
        <references count="3">
          <reference field="5" count="10">
            <x v="10"/>
            <x v="11"/>
            <x v="41"/>
            <x v="81"/>
            <x v="98"/>
            <x v="767"/>
            <x v="922"/>
            <x v="923"/>
            <x v="924"/>
            <x v="925"/>
          </reference>
          <reference field="7" count="1" selected="0">
            <x v="494"/>
          </reference>
          <reference field="21" count="0" selected="0"/>
        </references>
      </pivotArea>
    </format>
    <format dxfId="180">
      <pivotArea dataOnly="0" labelOnly="1" outline="0" fieldPosition="0">
        <references count="3">
          <reference field="5" count="10">
            <x v="10"/>
            <x v="11"/>
            <x v="41"/>
            <x v="81"/>
            <x v="98"/>
            <x v="767"/>
            <x v="922"/>
            <x v="923"/>
            <x v="924"/>
            <x v="925"/>
          </reference>
          <reference field="7" count="1" selected="0">
            <x v="495"/>
          </reference>
          <reference field="21" count="0" selected="0"/>
        </references>
      </pivotArea>
    </format>
    <format dxfId="179">
      <pivotArea dataOnly="0" labelOnly="1" outline="0" fieldPosition="0">
        <references count="3">
          <reference field="5" count="25">
            <x v="1"/>
            <x v="13"/>
            <x v="71"/>
            <x v="86"/>
            <x v="284"/>
            <x v="285"/>
            <x v="381"/>
            <x v="384"/>
            <x v="737"/>
            <x v="738"/>
            <x v="739"/>
            <x v="740"/>
            <x v="741"/>
            <x v="742"/>
            <x v="745"/>
            <x v="808"/>
            <x v="809"/>
            <x v="845"/>
            <x v="846"/>
            <x v="847"/>
            <x v="848"/>
            <x v="849"/>
            <x v="850"/>
            <x v="974"/>
            <x v="975"/>
          </reference>
          <reference field="7" count="1" selected="0">
            <x v="498"/>
          </reference>
          <reference field="21" count="0" selected="0"/>
        </references>
      </pivotArea>
    </format>
    <format dxfId="178">
      <pivotArea dataOnly="0" labelOnly="1" outline="0" fieldPosition="0">
        <references count="3">
          <reference field="5" count="16">
            <x v="1"/>
            <x v="72"/>
            <x v="199"/>
            <x v="287"/>
            <x v="289"/>
            <x v="290"/>
            <x v="291"/>
            <x v="292"/>
            <x v="293"/>
            <x v="298"/>
            <x v="307"/>
            <x v="308"/>
            <x v="748"/>
            <x v="749"/>
            <x v="1087"/>
            <x v="1088"/>
          </reference>
          <reference field="7" count="1" selected="0">
            <x v="499"/>
          </reference>
          <reference field="21" count="0" selected="0"/>
        </references>
      </pivotArea>
    </format>
    <format dxfId="177">
      <pivotArea dataOnly="0" labelOnly="1" outline="0" fieldPosition="0">
        <references count="3">
          <reference field="5" count="10">
            <x v="10"/>
            <x v="11"/>
            <x v="41"/>
            <x v="81"/>
            <x v="98"/>
            <x v="767"/>
            <x v="922"/>
            <x v="923"/>
            <x v="924"/>
            <x v="925"/>
          </reference>
          <reference field="7" count="1" selected="0">
            <x v="500"/>
          </reference>
          <reference field="21" count="0" selected="0"/>
        </references>
      </pivotArea>
    </format>
    <format dxfId="176">
      <pivotArea dataOnly="0" labelOnly="1" outline="0" fieldPosition="0">
        <references count="3">
          <reference field="5" count="21">
            <x v="1"/>
            <x v="13"/>
            <x v="71"/>
            <x v="86"/>
            <x v="284"/>
            <x v="285"/>
            <x v="381"/>
            <x v="384"/>
            <x v="737"/>
            <x v="738"/>
            <x v="739"/>
            <x v="740"/>
            <x v="741"/>
            <x v="742"/>
            <x v="745"/>
            <x v="808"/>
            <x v="809"/>
            <x v="853"/>
            <x v="854"/>
            <x v="974"/>
            <x v="975"/>
          </reference>
          <reference field="7" count="1" selected="0">
            <x v="502"/>
          </reference>
          <reference field="21" count="0" selected="0"/>
        </references>
      </pivotArea>
    </format>
    <format dxfId="175">
      <pivotArea dataOnly="0" labelOnly="1" outline="0" fieldPosition="0">
        <references count="3">
          <reference field="5" count="13">
            <x v="10"/>
            <x v="11"/>
            <x v="41"/>
            <x v="81"/>
            <x v="98"/>
            <x v="767"/>
            <x v="922"/>
            <x v="923"/>
            <x v="924"/>
            <x v="925"/>
            <x v="943"/>
            <x v="974"/>
            <x v="975"/>
          </reference>
          <reference field="7" count="1" selected="0">
            <x v="504"/>
          </reference>
          <reference field="21" count="0" selected="0"/>
        </references>
      </pivotArea>
    </format>
    <format dxfId="174">
      <pivotArea dataOnly="0" labelOnly="1" outline="0" fieldPosition="0">
        <references count="3">
          <reference field="5" count="15">
            <x v="1"/>
            <x v="44"/>
            <x v="71"/>
            <x v="86"/>
            <x v="285"/>
            <x v="381"/>
            <x v="384"/>
            <x v="737"/>
            <x v="738"/>
            <x v="739"/>
            <x v="740"/>
            <x v="741"/>
            <x v="742"/>
            <x v="744"/>
            <x v="745"/>
          </reference>
          <reference field="7" count="1" selected="0">
            <x v="507"/>
          </reference>
          <reference field="21" count="0" selected="0"/>
        </references>
      </pivotArea>
    </format>
    <format dxfId="173">
      <pivotArea dataOnly="0" labelOnly="1" outline="0" fieldPosition="0">
        <references count="3">
          <reference field="5" count="25">
            <x v="1"/>
            <x v="13"/>
            <x v="71"/>
            <x v="86"/>
            <x v="284"/>
            <x v="285"/>
            <x v="381"/>
            <x v="384"/>
            <x v="737"/>
            <x v="738"/>
            <x v="739"/>
            <x v="740"/>
            <x v="741"/>
            <x v="742"/>
            <x v="745"/>
            <x v="808"/>
            <x v="809"/>
            <x v="845"/>
            <x v="846"/>
            <x v="847"/>
            <x v="848"/>
            <x v="849"/>
            <x v="850"/>
            <x v="974"/>
            <x v="975"/>
          </reference>
          <reference field="7" count="1" selected="0">
            <x v="508"/>
          </reference>
          <reference field="21" count="0" selected="0"/>
        </references>
      </pivotArea>
    </format>
    <format dxfId="172">
      <pivotArea dataOnly="0" labelOnly="1" outline="0" fieldPosition="0">
        <references count="3">
          <reference field="5" count="4">
            <x v="314"/>
            <x v="1103"/>
            <x v="1104"/>
            <x v="1105"/>
          </reference>
          <reference field="7" count="1" selected="0">
            <x v="509"/>
          </reference>
          <reference field="21" count="0" selected="0"/>
        </references>
      </pivotArea>
    </format>
    <format dxfId="171">
      <pivotArea dataOnly="0" labelOnly="1" outline="0" fieldPosition="0">
        <references count="3">
          <reference field="5" count="15">
            <x v="4"/>
            <x v="10"/>
            <x v="11"/>
            <x v="41"/>
            <x v="81"/>
            <x v="98"/>
            <x v="680"/>
            <x v="681"/>
            <x v="766"/>
            <x v="767"/>
            <x v="922"/>
            <x v="923"/>
            <x v="924"/>
            <x v="925"/>
            <x v="943"/>
          </reference>
          <reference field="7" count="1" selected="0">
            <x v="510"/>
          </reference>
          <reference field="21" count="0" selected="0"/>
        </references>
      </pivotArea>
    </format>
    <format dxfId="170">
      <pivotArea dataOnly="0" labelOnly="1" outline="0" fieldPosition="0">
        <references count="3">
          <reference field="5" count="16">
            <x v="1"/>
            <x v="71"/>
            <x v="86"/>
            <x v="381"/>
            <x v="384"/>
            <x v="737"/>
            <x v="738"/>
            <x v="739"/>
            <x v="740"/>
            <x v="741"/>
            <x v="742"/>
            <x v="745"/>
            <x v="808"/>
            <x v="809"/>
            <x v="974"/>
            <x v="975"/>
          </reference>
          <reference field="7" count="1" selected="0">
            <x v="513"/>
          </reference>
          <reference field="21" count="0" selected="0"/>
        </references>
      </pivotArea>
    </format>
    <format dxfId="169">
      <pivotArea dataOnly="0" labelOnly="1" outline="0" fieldPosition="0">
        <references count="3">
          <reference field="5" count="4">
            <x v="314"/>
            <x v="1103"/>
            <x v="1104"/>
            <x v="1105"/>
          </reference>
          <reference field="7" count="1" selected="0">
            <x v="514"/>
          </reference>
          <reference field="21" count="0" selected="0"/>
        </references>
      </pivotArea>
    </format>
    <format dxfId="168">
      <pivotArea dataOnly="0" labelOnly="1" outline="0" fieldPosition="0">
        <references count="3">
          <reference field="5" count="15">
            <x v="4"/>
            <x v="10"/>
            <x v="11"/>
            <x v="41"/>
            <x v="81"/>
            <x v="98"/>
            <x v="680"/>
            <x v="681"/>
            <x v="766"/>
            <x v="767"/>
            <x v="922"/>
            <x v="923"/>
            <x v="924"/>
            <x v="925"/>
            <x v="943"/>
          </reference>
          <reference field="7" count="1" selected="0">
            <x v="515"/>
          </reference>
          <reference field="21" count="0" selected="0"/>
        </references>
      </pivotArea>
    </format>
    <format dxfId="167">
      <pivotArea dataOnly="0" labelOnly="1" outline="0" fieldPosition="0">
        <references count="3">
          <reference field="5" count="14">
            <x v="1"/>
            <x v="44"/>
            <x v="71"/>
            <x v="86"/>
            <x v="381"/>
            <x v="384"/>
            <x v="737"/>
            <x v="738"/>
            <x v="739"/>
            <x v="740"/>
            <x v="741"/>
            <x v="742"/>
            <x v="744"/>
            <x v="745"/>
          </reference>
          <reference field="7" count="1" selected="0">
            <x v="518"/>
          </reference>
          <reference field="21" count="0" selected="0"/>
        </references>
      </pivotArea>
    </format>
    <format dxfId="166">
      <pivotArea dataOnly="0" labelOnly="1" outline="0" fieldPosition="0">
        <references count="3">
          <reference field="5" count="4">
            <x v="314"/>
            <x v="1103"/>
            <x v="1104"/>
            <x v="1105"/>
          </reference>
          <reference field="7" count="1" selected="0">
            <x v="519"/>
          </reference>
          <reference field="21" count="0" selected="0"/>
        </references>
      </pivotArea>
    </format>
    <format dxfId="165">
      <pivotArea dataOnly="0" labelOnly="1" outline="0" fieldPosition="0">
        <references count="3">
          <reference field="5" count="15">
            <x v="4"/>
            <x v="10"/>
            <x v="11"/>
            <x v="41"/>
            <x v="81"/>
            <x v="98"/>
            <x v="680"/>
            <x v="681"/>
            <x v="766"/>
            <x v="767"/>
            <x v="922"/>
            <x v="923"/>
            <x v="924"/>
            <x v="925"/>
            <x v="943"/>
          </reference>
          <reference field="7" count="1" selected="0">
            <x v="520"/>
          </reference>
          <reference field="21" count="0" selected="0"/>
        </references>
      </pivotArea>
    </format>
    <format dxfId="164">
      <pivotArea dataOnly="0" labelOnly="1" outline="0" fieldPosition="0">
        <references count="3">
          <reference field="5" count="16">
            <x v="1"/>
            <x v="71"/>
            <x v="86"/>
            <x v="381"/>
            <x v="384"/>
            <x v="737"/>
            <x v="738"/>
            <x v="739"/>
            <x v="740"/>
            <x v="741"/>
            <x v="742"/>
            <x v="745"/>
            <x v="808"/>
            <x v="809"/>
            <x v="974"/>
            <x v="975"/>
          </reference>
          <reference field="7" count="1" selected="0">
            <x v="523"/>
          </reference>
          <reference field="21" count="0" selected="0"/>
        </references>
      </pivotArea>
    </format>
    <format dxfId="163">
      <pivotArea dataOnly="0" labelOnly="1" outline="0" fieldPosition="0">
        <references count="3">
          <reference field="5" count="4">
            <x v="314"/>
            <x v="1103"/>
            <x v="1104"/>
            <x v="1105"/>
          </reference>
          <reference field="7" count="1" selected="0">
            <x v="524"/>
          </reference>
          <reference field="21" count="0" selected="0"/>
        </references>
      </pivotArea>
    </format>
    <format dxfId="162">
      <pivotArea dataOnly="0" labelOnly="1" outline="0" fieldPosition="0">
        <references count="3">
          <reference field="5" count="10">
            <x v="10"/>
            <x v="11"/>
            <x v="41"/>
            <x v="81"/>
            <x v="98"/>
            <x v="767"/>
            <x v="922"/>
            <x v="923"/>
            <x v="924"/>
            <x v="925"/>
          </reference>
          <reference field="7" count="1" selected="0">
            <x v="525"/>
          </reference>
          <reference field="21" count="0" selected="0"/>
        </references>
      </pivotArea>
    </format>
    <format dxfId="161">
      <pivotArea dataOnly="0" labelOnly="1" outline="0" fieldPosition="0">
        <references count="3">
          <reference field="5" count="17">
            <x v="101"/>
            <x v="385"/>
            <x v="924"/>
            <x v="925"/>
            <x v="974"/>
            <x v="999"/>
            <x v="1115"/>
            <x v="1116"/>
            <x v="1117"/>
            <x v="1118"/>
            <x v="1119"/>
            <x v="1120"/>
            <x v="1121"/>
            <x v="1122"/>
            <x v="1123"/>
            <x v="1124"/>
            <x v="1125"/>
          </reference>
          <reference field="7" count="1" selected="0">
            <x v="527"/>
          </reference>
          <reference field="21" count="0" selected="0"/>
        </references>
      </pivotArea>
    </format>
    <format dxfId="160">
      <pivotArea dataOnly="0" labelOnly="1" outline="0" fieldPosition="0">
        <references count="3">
          <reference field="5" count="17">
            <x v="101"/>
            <x v="385"/>
            <x v="924"/>
            <x v="925"/>
            <x v="974"/>
            <x v="999"/>
            <x v="1115"/>
            <x v="1116"/>
            <x v="1117"/>
            <x v="1118"/>
            <x v="1119"/>
            <x v="1120"/>
            <x v="1121"/>
            <x v="1122"/>
            <x v="1123"/>
            <x v="1124"/>
            <x v="1125"/>
          </reference>
          <reference field="7" count="1" selected="0">
            <x v="529"/>
          </reference>
          <reference field="21" count="0" selected="0"/>
        </references>
      </pivotArea>
    </format>
    <format dxfId="159">
      <pivotArea dataOnly="0" labelOnly="1" outline="0" fieldPosition="0">
        <references count="3">
          <reference field="5" count="10">
            <x v="10"/>
            <x v="11"/>
            <x v="41"/>
            <x v="81"/>
            <x v="98"/>
            <x v="767"/>
            <x v="922"/>
            <x v="923"/>
            <x v="924"/>
            <x v="925"/>
          </reference>
          <reference field="7" count="1" selected="0">
            <x v="530"/>
          </reference>
          <reference field="21" count="0" selected="0"/>
        </references>
      </pivotArea>
    </format>
    <format dxfId="158">
      <pivotArea dataOnly="0" labelOnly="1" outline="0" fieldPosition="0">
        <references count="3">
          <reference field="5" count="31">
            <x v="1"/>
            <x v="13"/>
            <x v="44"/>
            <x v="71"/>
            <x v="86"/>
            <x v="284"/>
            <x v="285"/>
            <x v="381"/>
            <x v="384"/>
            <x v="737"/>
            <x v="738"/>
            <x v="739"/>
            <x v="740"/>
            <x v="741"/>
            <x v="742"/>
            <x v="744"/>
            <x v="745"/>
            <x v="808"/>
            <x v="809"/>
            <x v="845"/>
            <x v="846"/>
            <x v="847"/>
            <x v="848"/>
            <x v="849"/>
            <x v="850"/>
            <x v="851"/>
            <x v="852"/>
            <x v="853"/>
            <x v="854"/>
            <x v="974"/>
            <x v="975"/>
          </reference>
          <reference field="7" count="1" selected="0">
            <x v="531"/>
          </reference>
          <reference field="21" count="0" selected="0"/>
        </references>
      </pivotArea>
    </format>
    <format dxfId="157">
      <pivotArea dataOnly="0" labelOnly="1" outline="0" fieldPosition="0">
        <references count="3">
          <reference field="5" count="16">
            <x v="1"/>
            <x v="71"/>
            <x v="86"/>
            <x v="381"/>
            <x v="384"/>
            <x v="737"/>
            <x v="738"/>
            <x v="739"/>
            <x v="740"/>
            <x v="741"/>
            <x v="742"/>
            <x v="745"/>
            <x v="808"/>
            <x v="809"/>
            <x v="974"/>
            <x v="975"/>
          </reference>
          <reference field="7" count="1" selected="0">
            <x v="532"/>
          </reference>
          <reference field="21" count="0" selected="0"/>
        </references>
      </pivotArea>
    </format>
    <format dxfId="156">
      <pivotArea dataOnly="0" labelOnly="1" outline="0" fieldPosition="0">
        <references count="3">
          <reference field="5" count="7">
            <x v="1"/>
            <x v="101"/>
            <x v="924"/>
            <x v="925"/>
            <x v="1129"/>
            <x v="1132"/>
            <x v="1133"/>
          </reference>
          <reference field="7" count="1" selected="0">
            <x v="533"/>
          </reference>
          <reference field="21" count="0" selected="0"/>
        </references>
      </pivotArea>
    </format>
    <format dxfId="155">
      <pivotArea dataOnly="0" labelOnly="1" outline="0" fieldPosition="0">
        <references count="3">
          <reference field="5" count="13">
            <x v="10"/>
            <x v="11"/>
            <x v="41"/>
            <x v="81"/>
            <x v="98"/>
            <x v="767"/>
            <x v="922"/>
            <x v="923"/>
            <x v="924"/>
            <x v="925"/>
            <x v="943"/>
            <x v="974"/>
            <x v="975"/>
          </reference>
          <reference field="7" count="1" selected="0">
            <x v="534"/>
          </reference>
          <reference field="21" count="0" selected="0"/>
        </references>
      </pivotArea>
    </format>
    <format dxfId="154">
      <pivotArea dataOnly="0" labelOnly="1" outline="0" fieldPosition="0">
        <references count="3">
          <reference field="5" count="2">
            <x v="389"/>
            <x v="392"/>
          </reference>
          <reference field="7" count="1" selected="0">
            <x v="535"/>
          </reference>
          <reference field="21" count="0" selected="0"/>
        </references>
      </pivotArea>
    </format>
    <format dxfId="153">
      <pivotArea dataOnly="0" labelOnly="1" outline="0" fieldPosition="0">
        <references count="3">
          <reference field="5" count="16">
            <x v="1"/>
            <x v="71"/>
            <x v="86"/>
            <x v="381"/>
            <x v="384"/>
            <x v="737"/>
            <x v="738"/>
            <x v="739"/>
            <x v="740"/>
            <x v="741"/>
            <x v="742"/>
            <x v="745"/>
            <x v="808"/>
            <x v="809"/>
            <x v="974"/>
            <x v="975"/>
          </reference>
          <reference field="7" count="1" selected="0">
            <x v="536"/>
          </reference>
          <reference field="21" count="0" selected="0"/>
        </references>
      </pivotArea>
    </format>
    <format dxfId="152">
      <pivotArea dataOnly="0" labelOnly="1" outline="0" fieldPosition="0">
        <references count="3">
          <reference field="5" count="2">
            <x v="389"/>
            <x v="392"/>
          </reference>
          <reference field="7" count="1" selected="0">
            <x v="537"/>
          </reference>
          <reference field="21" count="0" selected="0"/>
        </references>
      </pivotArea>
    </format>
    <format dxfId="151">
      <pivotArea dataOnly="0" labelOnly="1" outline="0" fieldPosition="0">
        <references count="3">
          <reference field="5" count="16">
            <x v="1"/>
            <x v="71"/>
            <x v="86"/>
            <x v="381"/>
            <x v="384"/>
            <x v="737"/>
            <x v="738"/>
            <x v="739"/>
            <x v="740"/>
            <x v="741"/>
            <x v="742"/>
            <x v="745"/>
            <x v="808"/>
            <x v="809"/>
            <x v="974"/>
            <x v="975"/>
          </reference>
          <reference field="7" count="1" selected="0">
            <x v="538"/>
          </reference>
          <reference field="21" count="0" selected="0"/>
        </references>
      </pivotArea>
    </format>
    <format dxfId="150">
      <pivotArea dataOnly="0" labelOnly="1" outline="0" fieldPosition="0">
        <references count="3">
          <reference field="5" count="24">
            <x v="1"/>
            <x v="13"/>
            <x v="71"/>
            <x v="86"/>
            <x v="284"/>
            <x v="381"/>
            <x v="384"/>
            <x v="737"/>
            <x v="738"/>
            <x v="739"/>
            <x v="740"/>
            <x v="741"/>
            <x v="742"/>
            <x v="745"/>
            <x v="808"/>
            <x v="809"/>
            <x v="851"/>
            <x v="852"/>
            <x v="853"/>
            <x v="854"/>
            <x v="874"/>
            <x v="875"/>
            <x v="974"/>
            <x v="975"/>
          </reference>
          <reference field="7" count="1" selected="0">
            <x v="539"/>
          </reference>
          <reference field="21" count="0" selected="0"/>
        </references>
      </pivotArea>
    </format>
    <format dxfId="149">
      <pivotArea type="all" dataOnly="0" outline="0" fieldPosition="0"/>
    </format>
    <format dxfId="148">
      <pivotArea field="7" type="button" dataOnly="0" labelOnly="1" outline="0" axis="axisRow" fieldPosition="1"/>
    </format>
    <format dxfId="147">
      <pivotArea field="5" type="button" dataOnly="0" labelOnly="1" outline="0" axis="axisRow" fieldPosition="2"/>
    </format>
    <format dxfId="146">
      <pivotArea dataOnly="0" labelOnly="1" outline="0" fieldPosition="0">
        <references count="1">
          <reference field="21" count="0"/>
        </references>
      </pivotArea>
    </format>
    <format dxfId="145">
      <pivotArea dataOnly="0" labelOnly="1" outline="0" fieldPosition="0">
        <references count="1">
          <reference field="21" count="0" defaultSubtotal="1"/>
        </references>
      </pivotArea>
    </format>
    <format dxfId="144">
      <pivotArea dataOnly="0" labelOnly="1" outline="0" fieldPosition="0">
        <references count="2">
          <reference field="7" count="25">
            <x v="79"/>
            <x v="83"/>
            <x v="87"/>
            <x v="456"/>
            <x v="457"/>
            <x v="458"/>
            <x v="459"/>
            <x v="461"/>
            <x v="462"/>
            <x v="463"/>
            <x v="464"/>
            <x v="465"/>
            <x v="466"/>
            <x v="467"/>
            <x v="468"/>
            <x v="469"/>
            <x v="476"/>
            <x v="477"/>
            <x v="478"/>
            <x v="479"/>
            <x v="480"/>
            <x v="481"/>
            <x v="482"/>
            <x v="486"/>
            <x v="487"/>
          </reference>
          <reference field="21" count="0" selected="0"/>
        </references>
      </pivotArea>
    </format>
    <format dxfId="143">
      <pivotArea dataOnly="0" labelOnly="1" outline="0" fieldPosition="0">
        <references count="2">
          <reference field="7" count="25" defaultSubtotal="1">
            <x v="79"/>
            <x v="83"/>
            <x v="87"/>
            <x v="456"/>
            <x v="457"/>
            <x v="458"/>
            <x v="459"/>
            <x v="461"/>
            <x v="462"/>
            <x v="463"/>
            <x v="464"/>
            <x v="465"/>
            <x v="466"/>
            <x v="467"/>
            <x v="468"/>
            <x v="469"/>
            <x v="476"/>
            <x v="477"/>
            <x v="478"/>
            <x v="479"/>
            <x v="480"/>
            <x v="481"/>
            <x v="482"/>
            <x v="486"/>
            <x v="487"/>
          </reference>
          <reference field="21" count="0" selected="0"/>
        </references>
      </pivotArea>
    </format>
    <format dxfId="142">
      <pivotArea dataOnly="0" labelOnly="1" outline="0" fieldPosition="0">
        <references count="2">
          <reference field="7" count="25">
            <x v="488"/>
            <x v="489"/>
            <x v="490"/>
            <x v="493"/>
            <x v="494"/>
            <x v="495"/>
            <x v="496"/>
            <x v="497"/>
            <x v="499"/>
            <x v="500"/>
            <x v="501"/>
            <x v="503"/>
            <x v="504"/>
            <x v="505"/>
            <x v="506"/>
            <x v="509"/>
            <x v="510"/>
            <x v="511"/>
            <x v="512"/>
            <x v="514"/>
            <x v="515"/>
            <x v="516"/>
            <x v="517"/>
            <x v="519"/>
            <x v="520"/>
          </reference>
          <reference field="21" count="0" selected="0"/>
        </references>
      </pivotArea>
    </format>
    <format dxfId="141">
      <pivotArea dataOnly="0" labelOnly="1" outline="0" fieldPosition="0">
        <references count="2">
          <reference field="7" count="25" defaultSubtotal="1">
            <x v="488"/>
            <x v="489"/>
            <x v="490"/>
            <x v="493"/>
            <x v="494"/>
            <x v="495"/>
            <x v="496"/>
            <x v="497"/>
            <x v="499"/>
            <x v="500"/>
            <x v="501"/>
            <x v="503"/>
            <x v="504"/>
            <x v="505"/>
            <x v="506"/>
            <x v="509"/>
            <x v="510"/>
            <x v="511"/>
            <x v="512"/>
            <x v="514"/>
            <x v="515"/>
            <x v="516"/>
            <x v="517"/>
            <x v="519"/>
            <x v="520"/>
          </reference>
          <reference field="21" count="0" selected="0"/>
        </references>
      </pivotArea>
    </format>
    <format dxfId="140">
      <pivotArea dataOnly="0" labelOnly="1" outline="0" fieldPosition="0">
        <references count="2">
          <reference field="7" count="12">
            <x v="521"/>
            <x v="522"/>
            <x v="524"/>
            <x v="526"/>
            <x v="527"/>
            <x v="528"/>
            <x v="529"/>
            <x v="530"/>
            <x v="533"/>
            <x v="534"/>
            <x v="535"/>
            <x v="537"/>
          </reference>
          <reference field="21" count="0" selected="0"/>
        </references>
      </pivotArea>
    </format>
    <format dxfId="139">
      <pivotArea dataOnly="0" labelOnly="1" outline="0" fieldPosition="0">
        <references count="2">
          <reference field="7" count="12" defaultSubtotal="1">
            <x v="521"/>
            <x v="522"/>
            <x v="524"/>
            <x v="526"/>
            <x v="527"/>
            <x v="528"/>
            <x v="529"/>
            <x v="530"/>
            <x v="533"/>
            <x v="534"/>
            <x v="535"/>
            <x v="537"/>
          </reference>
          <reference field="21" count="0" selected="0"/>
        </references>
      </pivotArea>
    </format>
    <format dxfId="138">
      <pivotArea dataOnly="0" labelOnly="1" outline="0" fieldPosition="0">
        <references count="3">
          <reference field="5" count="15">
            <x v="29"/>
            <x v="299"/>
            <x v="300"/>
            <x v="310"/>
            <x v="311"/>
            <x v="313"/>
            <x v="796"/>
            <x v="797"/>
            <x v="798"/>
            <x v="840"/>
            <x v="1082"/>
            <x v="1083"/>
            <x v="1084"/>
            <x v="1085"/>
            <x v="1086"/>
          </reference>
          <reference field="7" count="1" selected="0">
            <x v="79"/>
          </reference>
          <reference field="21" count="0" selected="0"/>
        </references>
      </pivotArea>
    </format>
    <format dxfId="137">
      <pivotArea dataOnly="0" labelOnly="1" outline="0" fieldPosition="0">
        <references count="3">
          <reference field="5" count="5">
            <x v="1093"/>
            <x v="1094"/>
            <x v="1095"/>
            <x v="1096"/>
            <x v="1097"/>
          </reference>
          <reference field="7" count="1" selected="0">
            <x v="83"/>
          </reference>
          <reference field="21" count="0" selected="0"/>
        </references>
      </pivotArea>
    </format>
    <format dxfId="136">
      <pivotArea dataOnly="0" labelOnly="1" outline="0" fieldPosition="0">
        <references count="3">
          <reference field="5" count="6">
            <x v="1109"/>
            <x v="1110"/>
            <x v="1111"/>
            <x v="1112"/>
            <x v="1113"/>
            <x v="1114"/>
          </reference>
          <reference field="7" count="1" selected="0">
            <x v="87"/>
          </reference>
          <reference field="21" count="0" selected="0"/>
        </references>
      </pivotArea>
    </format>
    <format dxfId="135">
      <pivotArea dataOnly="0" labelOnly="1" outline="0" fieldPosition="0">
        <references count="3">
          <reference field="5" count="2">
            <x v="151"/>
            <x v="1048"/>
          </reference>
          <reference field="7" count="1" selected="0">
            <x v="456"/>
          </reference>
          <reference field="21" count="0" selected="0"/>
        </references>
      </pivotArea>
    </format>
    <format dxfId="134">
      <pivotArea dataOnly="0" labelOnly="1" outline="0" fieldPosition="0">
        <references count="3">
          <reference field="5" count="12">
            <x v="0"/>
            <x v="72"/>
            <x v="117"/>
            <x v="676"/>
            <x v="677"/>
            <x v="1049"/>
            <x v="1050"/>
            <x v="1051"/>
            <x v="1052"/>
            <x v="1053"/>
            <x v="1054"/>
            <x v="1055"/>
          </reference>
          <reference field="7" count="1" selected="0">
            <x v="457"/>
          </reference>
          <reference field="21" count="0" selected="0"/>
        </references>
      </pivotArea>
    </format>
    <format dxfId="133">
      <pivotArea dataOnly="0" labelOnly="1" outline="0" fieldPosition="0">
        <references count="3">
          <reference field="5" count="12">
            <x v="6"/>
            <x v="124"/>
            <x v="125"/>
            <x v="717"/>
            <x v="838"/>
            <x v="839"/>
            <x v="879"/>
            <x v="915"/>
            <x v="1001"/>
            <x v="1009"/>
            <x v="1056"/>
            <x v="1057"/>
          </reference>
          <reference field="7" count="1" selected="0">
            <x v="458"/>
          </reference>
          <reference field="21" count="0" selected="0"/>
        </references>
      </pivotArea>
    </format>
    <format dxfId="132">
      <pivotArea dataOnly="0" labelOnly="1" outline="0" fieldPosition="0">
        <references count="3">
          <reference field="5" count="4">
            <x v="7"/>
            <x v="60"/>
            <x v="768"/>
            <x v="769"/>
          </reference>
          <reference field="7" count="1" selected="0">
            <x v="459"/>
          </reference>
          <reference field="21" count="0" selected="0"/>
        </references>
      </pivotArea>
    </format>
    <format dxfId="131">
      <pivotArea dataOnly="0" labelOnly="1" outline="0" fieldPosition="0">
        <references count="3">
          <reference field="5" count="5">
            <x v="7"/>
            <x v="34"/>
            <x v="60"/>
            <x v="768"/>
            <x v="769"/>
          </reference>
          <reference field="7" count="1" selected="0">
            <x v="461"/>
          </reference>
          <reference field="21" count="0" selected="0"/>
        </references>
      </pivotArea>
    </format>
    <format dxfId="130">
      <pivotArea dataOnly="0" labelOnly="1" outline="0" fieldPosition="0">
        <references count="3">
          <reference field="5" count="21">
            <x v="0"/>
            <x v="72"/>
            <x v="117"/>
            <x v="141"/>
            <x v="645"/>
            <x v="676"/>
            <x v="677"/>
            <x v="772"/>
            <x v="773"/>
            <x v="774"/>
            <x v="775"/>
            <x v="776"/>
            <x v="777"/>
            <x v="878"/>
            <x v="879"/>
            <x v="1000"/>
            <x v="1059"/>
            <x v="1060"/>
            <x v="1061"/>
            <x v="1062"/>
            <x v="1063"/>
          </reference>
          <reference field="7" count="1" selected="0">
            <x v="462"/>
          </reference>
          <reference field="21" count="0" selected="0"/>
        </references>
      </pivotArea>
    </format>
    <format dxfId="129">
      <pivotArea dataOnly="0" labelOnly="1" outline="0" fieldPosition="0">
        <references count="3">
          <reference field="5" count="12">
            <x v="6"/>
            <x v="124"/>
            <x v="125"/>
            <x v="717"/>
            <x v="838"/>
            <x v="839"/>
            <x v="879"/>
            <x v="915"/>
            <x v="1001"/>
            <x v="1009"/>
            <x v="1056"/>
            <x v="1057"/>
          </reference>
          <reference field="7" count="1" selected="0">
            <x v="463"/>
          </reference>
          <reference field="21" count="0" selected="0"/>
        </references>
      </pivotArea>
    </format>
    <format dxfId="128">
      <pivotArea dataOnly="0" labelOnly="1" outline="0" fieldPosition="0">
        <references count="3">
          <reference field="5" count="11">
            <x v="72"/>
            <x v="1064"/>
            <x v="1154"/>
            <x v="1155"/>
            <x v="1156"/>
            <x v="1157"/>
            <x v="1158"/>
            <x v="1159"/>
            <x v="1160"/>
            <x v="1161"/>
            <x v="1162"/>
          </reference>
          <reference field="7" count="1" selected="0">
            <x v="464"/>
          </reference>
          <reference field="21" count="0" selected="0"/>
        </references>
      </pivotArea>
    </format>
    <format dxfId="127">
      <pivotArea dataOnly="0" labelOnly="1" outline="0" fieldPosition="0">
        <references count="3">
          <reference field="5" count="2">
            <x v="42"/>
            <x v="85"/>
          </reference>
          <reference field="7" count="1" selected="0">
            <x v="465"/>
          </reference>
          <reference field="21" count="0" selected="0"/>
        </references>
      </pivotArea>
    </format>
    <format dxfId="126">
      <pivotArea dataOnly="0" labelOnly="1" outline="0" fieldPosition="0">
        <references count="3">
          <reference field="5" count="4">
            <x v="1065"/>
            <x v="1066"/>
            <x v="1067"/>
            <x v="1068"/>
          </reference>
          <reference field="7" count="1" selected="0">
            <x v="466"/>
          </reference>
          <reference field="21" count="0" selected="0"/>
        </references>
      </pivotArea>
    </format>
    <format dxfId="125">
      <pivotArea dataOnly="0" labelOnly="1" outline="0" fieldPosition="0">
        <references count="3">
          <reference field="5" count="5">
            <x v="6"/>
            <x v="717"/>
            <x v="838"/>
            <x v="839"/>
            <x v="1009"/>
          </reference>
          <reference field="7" count="1" selected="0">
            <x v="467"/>
          </reference>
          <reference field="21" count="0" selected="0"/>
        </references>
      </pivotArea>
    </format>
    <format dxfId="124">
      <pivotArea dataOnly="0" labelOnly="1" outline="0" fieldPosition="0">
        <references count="3">
          <reference field="5" count="11">
            <x v="72"/>
            <x v="1064"/>
            <x v="1154"/>
            <x v="1155"/>
            <x v="1156"/>
            <x v="1157"/>
            <x v="1158"/>
            <x v="1159"/>
            <x v="1160"/>
            <x v="1161"/>
            <x v="1162"/>
          </reference>
          <reference field="7" count="1" selected="0">
            <x v="468"/>
          </reference>
          <reference field="21" count="0" selected="0"/>
        </references>
      </pivotArea>
    </format>
    <format dxfId="123">
      <pivotArea dataOnly="0" labelOnly="1" outline="0" fieldPosition="0">
        <references count="3">
          <reference field="5" count="4">
            <x v="7"/>
            <x v="60"/>
            <x v="768"/>
            <x v="769"/>
          </reference>
          <reference field="7" count="1" selected="0">
            <x v="469"/>
          </reference>
          <reference field="21" count="0" selected="0"/>
        </references>
      </pivotArea>
    </format>
    <format dxfId="122">
      <pivotArea dataOnly="0" labelOnly="1" outline="0" fieldPosition="0">
        <references count="3">
          <reference field="5" count="2">
            <x v="1069"/>
            <x v="1070"/>
          </reference>
          <reference field="7" count="1" selected="0">
            <x v="476"/>
          </reference>
          <reference field="21" count="0" selected="0"/>
        </references>
      </pivotArea>
    </format>
    <format dxfId="121">
      <pivotArea dataOnly="0" labelOnly="1" outline="0" fieldPosition="0">
        <references count="3">
          <reference field="5" count="5">
            <x v="7"/>
            <x v="34"/>
            <x v="60"/>
            <x v="768"/>
            <x v="769"/>
          </reference>
          <reference field="7" count="1" selected="0">
            <x v="477"/>
          </reference>
          <reference field="21" count="0" selected="0"/>
        </references>
      </pivotArea>
    </format>
    <format dxfId="120">
      <pivotArea dataOnly="0" labelOnly="1" outline="0" fieldPosition="0">
        <references count="3">
          <reference field="5" count="21">
            <x v="0"/>
            <x v="72"/>
            <x v="117"/>
            <x v="141"/>
            <x v="645"/>
            <x v="676"/>
            <x v="677"/>
            <x v="772"/>
            <x v="773"/>
            <x v="774"/>
            <x v="775"/>
            <x v="776"/>
            <x v="777"/>
            <x v="878"/>
            <x v="879"/>
            <x v="1000"/>
            <x v="1059"/>
            <x v="1060"/>
            <x v="1061"/>
            <x v="1062"/>
            <x v="1063"/>
          </reference>
          <reference field="7" count="1" selected="0">
            <x v="478"/>
          </reference>
          <reference field="21" count="0" selected="0"/>
        </references>
      </pivotArea>
    </format>
    <format dxfId="119">
      <pivotArea dataOnly="0" labelOnly="1" outline="0" fieldPosition="0">
        <references count="3">
          <reference field="5" count="4">
            <x v="1065"/>
            <x v="1066"/>
            <x v="1067"/>
            <x v="1068"/>
          </reference>
          <reference field="7" count="1" selected="0">
            <x v="479"/>
          </reference>
          <reference field="21" count="0" selected="0"/>
        </references>
      </pivotArea>
    </format>
    <format dxfId="118">
      <pivotArea dataOnly="0" labelOnly="1" outline="0" fieldPosition="0">
        <references count="3">
          <reference field="5" count="12">
            <x v="0"/>
            <x v="6"/>
            <x v="72"/>
            <x v="117"/>
            <x v="717"/>
            <x v="838"/>
            <x v="839"/>
            <x v="1000"/>
            <x v="1009"/>
            <x v="1071"/>
            <x v="1072"/>
            <x v="1073"/>
          </reference>
          <reference field="7" count="1" selected="0">
            <x v="480"/>
          </reference>
          <reference field="21" count="0" selected="0"/>
        </references>
      </pivotArea>
    </format>
    <format dxfId="117">
      <pivotArea dataOnly="0" labelOnly="1" outline="0" fieldPosition="0">
        <references count="3">
          <reference field="5" count="12">
            <x v="0"/>
            <x v="6"/>
            <x v="72"/>
            <x v="117"/>
            <x v="717"/>
            <x v="838"/>
            <x v="839"/>
            <x v="1000"/>
            <x v="1009"/>
            <x v="1071"/>
            <x v="1072"/>
            <x v="1073"/>
          </reference>
          <reference field="7" count="1" selected="0">
            <x v="481"/>
          </reference>
          <reference field="21" count="0" selected="0"/>
        </references>
      </pivotArea>
    </format>
    <format dxfId="116">
      <pivotArea dataOnly="0" labelOnly="1" outline="0" fieldPosition="0">
        <references count="3">
          <reference field="5" count="4">
            <x v="7"/>
            <x v="60"/>
            <x v="768"/>
            <x v="769"/>
          </reference>
          <reference field="7" count="1" selected="0">
            <x v="482"/>
          </reference>
          <reference field="21" count="0" selected="0"/>
        </references>
      </pivotArea>
    </format>
    <format dxfId="115">
      <pivotArea dataOnly="0" labelOnly="1" outline="0" fieldPosition="0">
        <references count="3">
          <reference field="5" count="7">
            <x v="1074"/>
            <x v="1075"/>
            <x v="1076"/>
            <x v="1077"/>
            <x v="1078"/>
            <x v="1079"/>
            <x v="1080"/>
          </reference>
          <reference field="7" count="1" selected="0">
            <x v="486"/>
          </reference>
          <reference field="21" count="0" selected="0"/>
        </references>
      </pivotArea>
    </format>
    <format dxfId="114">
      <pivotArea dataOnly="0" labelOnly="1" outline="0" fieldPosition="0">
        <references count="3">
          <reference field="5" count="4">
            <x v="7"/>
            <x v="60"/>
            <x v="768"/>
            <x v="769"/>
          </reference>
          <reference field="7" count="1" selected="0">
            <x v="487"/>
          </reference>
          <reference field="21" count="0" selected="0"/>
        </references>
      </pivotArea>
    </format>
    <format dxfId="113">
      <pivotArea dataOnly="0" labelOnly="1" outline="0" fieldPosition="0">
        <references count="3">
          <reference field="5" count="4">
            <x v="7"/>
            <x v="60"/>
            <x v="768"/>
            <x v="769"/>
          </reference>
          <reference field="7" count="1" selected="0">
            <x v="488"/>
          </reference>
          <reference field="21" count="0" selected="0"/>
        </references>
      </pivotArea>
    </format>
    <format dxfId="112">
      <pivotArea dataOnly="0" labelOnly="1" outline="0" fieldPosition="0">
        <references count="3">
          <reference field="5" count="13">
            <x v="0"/>
            <x v="72"/>
            <x v="117"/>
            <x v="124"/>
            <x v="125"/>
            <x v="772"/>
            <x v="773"/>
            <x v="774"/>
            <x v="775"/>
            <x v="776"/>
            <x v="777"/>
            <x v="915"/>
            <x v="1000"/>
          </reference>
          <reference field="7" count="1" selected="0">
            <x v="489"/>
          </reference>
          <reference field="21" count="0" selected="0"/>
        </references>
      </pivotArea>
    </format>
    <format dxfId="111">
      <pivotArea dataOnly="0" labelOnly="1" outline="0" fieldPosition="0">
        <references count="3">
          <reference field="5" count="13">
            <x v="0"/>
            <x v="72"/>
            <x v="117"/>
            <x v="124"/>
            <x v="125"/>
            <x v="772"/>
            <x v="773"/>
            <x v="774"/>
            <x v="775"/>
            <x v="776"/>
            <x v="777"/>
            <x v="915"/>
            <x v="1000"/>
          </reference>
          <reference field="7" count="1" selected="0">
            <x v="490"/>
          </reference>
          <reference field="21" count="0" selected="0"/>
        </references>
      </pivotArea>
    </format>
    <format dxfId="110">
      <pivotArea dataOnly="0" labelOnly="1" outline="0" fieldPosition="0">
        <references count="3">
          <reference field="5" count="15">
            <x v="29"/>
            <x v="299"/>
            <x v="300"/>
            <x v="310"/>
            <x v="311"/>
            <x v="313"/>
            <x v="796"/>
            <x v="797"/>
            <x v="798"/>
            <x v="840"/>
            <x v="1082"/>
            <x v="1083"/>
            <x v="1084"/>
            <x v="1085"/>
            <x v="1086"/>
          </reference>
          <reference field="7" count="1" selected="0">
            <x v="493"/>
          </reference>
          <reference field="21" count="0" selected="0"/>
        </references>
      </pivotArea>
    </format>
    <format dxfId="109">
      <pivotArea dataOnly="0" labelOnly="1" outline="0" fieldPosition="0">
        <references count="3">
          <reference field="5" count="4">
            <x v="7"/>
            <x v="60"/>
            <x v="768"/>
            <x v="769"/>
          </reference>
          <reference field="7" count="1" selected="0">
            <x v="494"/>
          </reference>
          <reference field="21" count="0" selected="0"/>
        </references>
      </pivotArea>
    </format>
    <format dxfId="108">
      <pivotArea dataOnly="0" labelOnly="1" outline="0" fieldPosition="0">
        <references count="3">
          <reference field="5" count="4">
            <x v="7"/>
            <x v="60"/>
            <x v="768"/>
            <x v="769"/>
          </reference>
          <reference field="7" count="1" selected="0">
            <x v="495"/>
          </reference>
          <reference field="21" count="0" selected="0"/>
        </references>
      </pivotArea>
    </format>
    <format dxfId="107">
      <pivotArea dataOnly="0" labelOnly="1" outline="0" fieldPosition="0">
        <references count="3">
          <reference field="5" count="13">
            <x v="0"/>
            <x v="72"/>
            <x v="117"/>
            <x v="124"/>
            <x v="125"/>
            <x v="772"/>
            <x v="773"/>
            <x v="774"/>
            <x v="775"/>
            <x v="776"/>
            <x v="777"/>
            <x v="915"/>
            <x v="1000"/>
          </reference>
          <reference field="7" count="1" selected="0">
            <x v="496"/>
          </reference>
          <reference field="21" count="0" selected="0"/>
        </references>
      </pivotArea>
    </format>
    <format dxfId="106">
      <pivotArea dataOnly="0" labelOnly="1" outline="0" fieldPosition="0">
        <references count="3">
          <reference field="5" count="13">
            <x v="0"/>
            <x v="72"/>
            <x v="117"/>
            <x v="124"/>
            <x v="125"/>
            <x v="772"/>
            <x v="773"/>
            <x v="774"/>
            <x v="775"/>
            <x v="776"/>
            <x v="777"/>
            <x v="915"/>
            <x v="1000"/>
          </reference>
          <reference field="7" count="1" selected="0">
            <x v="497"/>
          </reference>
          <reference field="21" count="0" selected="0"/>
        </references>
      </pivotArea>
    </format>
    <format dxfId="105">
      <pivotArea dataOnly="0" labelOnly="1" outline="0" fieldPosition="0">
        <references count="3">
          <reference field="5" count="16">
            <x v="0"/>
            <x v="29"/>
            <x v="72"/>
            <x v="117"/>
            <x v="299"/>
            <x v="310"/>
            <x v="311"/>
            <x v="312"/>
            <x v="313"/>
            <x v="799"/>
            <x v="800"/>
            <x v="840"/>
            <x v="1089"/>
            <x v="1090"/>
            <x v="1091"/>
            <x v="1092"/>
          </reference>
          <reference field="7" count="1" selected="0">
            <x v="499"/>
          </reference>
          <reference field="21" count="0" selected="0"/>
        </references>
      </pivotArea>
    </format>
    <format dxfId="104">
      <pivotArea dataOnly="0" labelOnly="1" outline="0" fieldPosition="0">
        <references count="3">
          <reference field="5" count="4">
            <x v="7"/>
            <x v="60"/>
            <x v="768"/>
            <x v="769"/>
          </reference>
          <reference field="7" count="1" selected="0">
            <x v="500"/>
          </reference>
          <reference field="21" count="0" selected="0"/>
        </references>
      </pivotArea>
    </format>
    <format dxfId="103">
      <pivotArea dataOnly="0" labelOnly="1" outline="0" fieldPosition="0">
        <references count="3">
          <reference field="5" count="13">
            <x v="0"/>
            <x v="72"/>
            <x v="117"/>
            <x v="124"/>
            <x v="125"/>
            <x v="772"/>
            <x v="773"/>
            <x v="774"/>
            <x v="775"/>
            <x v="776"/>
            <x v="777"/>
            <x v="915"/>
            <x v="1000"/>
          </reference>
          <reference field="7" count="1" selected="0">
            <x v="501"/>
          </reference>
          <reference field="21" count="0" selected="0"/>
        </references>
      </pivotArea>
    </format>
    <format dxfId="102">
      <pivotArea dataOnly="0" labelOnly="1" outline="0" fieldPosition="0">
        <references count="3">
          <reference field="5" count="2">
            <x v="1098"/>
            <x v="1099"/>
          </reference>
          <reference field="7" count="1" selected="0">
            <x v="503"/>
          </reference>
          <reference field="21" count="0" selected="0"/>
        </references>
      </pivotArea>
    </format>
    <format dxfId="101">
      <pivotArea dataOnly="0" labelOnly="1" outline="0" fieldPosition="0">
        <references count="3">
          <reference field="5" count="4">
            <x v="7"/>
            <x v="60"/>
            <x v="768"/>
            <x v="769"/>
          </reference>
          <reference field="7" count="1" selected="0">
            <x v="504"/>
          </reference>
          <reference field="21" count="0" selected="0"/>
        </references>
      </pivotArea>
    </format>
    <format dxfId="100">
      <pivotArea dataOnly="0" labelOnly="1" outline="0" fieldPosition="0">
        <references count="3">
          <reference field="5" count="10">
            <x v="0"/>
            <x v="72"/>
            <x v="117"/>
            <x v="772"/>
            <x v="773"/>
            <x v="774"/>
            <x v="775"/>
            <x v="776"/>
            <x v="777"/>
            <x v="1000"/>
          </reference>
          <reference field="7" count="1" selected="0">
            <x v="505"/>
          </reference>
          <reference field="21" count="0" selected="0"/>
        </references>
      </pivotArea>
    </format>
    <format dxfId="99">
      <pivotArea dataOnly="0" labelOnly="1" outline="0" fieldPosition="0">
        <references count="3">
          <reference field="5" count="10">
            <x v="772"/>
            <x v="773"/>
            <x v="774"/>
            <x v="775"/>
            <x v="776"/>
            <x v="777"/>
            <x v="895"/>
            <x v="1100"/>
            <x v="1101"/>
            <x v="1102"/>
          </reference>
          <reference field="7" count="1" selected="0">
            <x v="506"/>
          </reference>
          <reference field="21" count="0" selected="0"/>
        </references>
      </pivotArea>
    </format>
    <format dxfId="98">
      <pivotArea dataOnly="0" labelOnly="1" outline="0" fieldPosition="0">
        <references count="3">
          <reference field="5" count="3">
            <x v="1106"/>
            <x v="1107"/>
            <x v="1108"/>
          </reference>
          <reference field="7" count="1" selected="0">
            <x v="509"/>
          </reference>
          <reference field="21" count="0" selected="0"/>
        </references>
      </pivotArea>
    </format>
    <format dxfId="97">
      <pivotArea dataOnly="0" labelOnly="1" outline="0" fieldPosition="0">
        <references count="3">
          <reference field="5" count="4">
            <x v="7"/>
            <x v="60"/>
            <x v="768"/>
            <x v="769"/>
          </reference>
          <reference field="7" count="1" selected="0">
            <x v="510"/>
          </reference>
          <reference field="21" count="0" selected="0"/>
        </references>
      </pivotArea>
    </format>
    <format dxfId="96">
      <pivotArea dataOnly="0" labelOnly="1" outline="0" fieldPosition="0">
        <references count="3">
          <reference field="5" count="10">
            <x v="0"/>
            <x v="72"/>
            <x v="117"/>
            <x v="772"/>
            <x v="773"/>
            <x v="774"/>
            <x v="775"/>
            <x v="776"/>
            <x v="777"/>
            <x v="1000"/>
          </reference>
          <reference field="7" count="1" selected="0">
            <x v="511"/>
          </reference>
          <reference field="21" count="0" selected="0"/>
        </references>
      </pivotArea>
    </format>
    <format dxfId="95">
      <pivotArea dataOnly="0" labelOnly="1" outline="0" fieldPosition="0">
        <references count="3">
          <reference field="5" count="10">
            <x v="772"/>
            <x v="773"/>
            <x v="774"/>
            <x v="775"/>
            <x v="776"/>
            <x v="777"/>
            <x v="895"/>
            <x v="1100"/>
            <x v="1101"/>
            <x v="1102"/>
          </reference>
          <reference field="7" count="1" selected="0">
            <x v="512"/>
          </reference>
          <reference field="21" count="0" selected="0"/>
        </references>
      </pivotArea>
    </format>
    <format dxfId="94">
      <pivotArea dataOnly="0" labelOnly="1" outline="0" fieldPosition="0">
        <references count="3">
          <reference field="5" count="3">
            <x v="1106"/>
            <x v="1107"/>
            <x v="1108"/>
          </reference>
          <reference field="7" count="1" selected="0">
            <x v="514"/>
          </reference>
          <reference field="21" count="0" selected="0"/>
        </references>
      </pivotArea>
    </format>
    <format dxfId="93">
      <pivotArea dataOnly="0" labelOnly="1" outline="0" fieldPosition="0">
        <references count="3">
          <reference field="5" count="4">
            <x v="7"/>
            <x v="60"/>
            <x v="768"/>
            <x v="769"/>
          </reference>
          <reference field="7" count="1" selected="0">
            <x v="515"/>
          </reference>
          <reference field="21" count="0" selected="0"/>
        </references>
      </pivotArea>
    </format>
    <format dxfId="92">
      <pivotArea dataOnly="0" labelOnly="1" outline="0" fieldPosition="0">
        <references count="3">
          <reference field="5" count="10">
            <x v="772"/>
            <x v="773"/>
            <x v="774"/>
            <x v="775"/>
            <x v="776"/>
            <x v="777"/>
            <x v="895"/>
            <x v="1100"/>
            <x v="1101"/>
            <x v="1102"/>
          </reference>
          <reference field="7" count="1" selected="0">
            <x v="516"/>
          </reference>
          <reference field="21" count="0" selected="0"/>
        </references>
      </pivotArea>
    </format>
    <format dxfId="91">
      <pivotArea dataOnly="0" labelOnly="1" outline="0" fieldPosition="0">
        <references count="3">
          <reference field="5" count="10">
            <x v="0"/>
            <x v="72"/>
            <x v="117"/>
            <x v="772"/>
            <x v="773"/>
            <x v="774"/>
            <x v="775"/>
            <x v="776"/>
            <x v="777"/>
            <x v="1000"/>
          </reference>
          <reference field="7" count="1" selected="0">
            <x v="517"/>
          </reference>
          <reference field="21" count="0" selected="0"/>
        </references>
      </pivotArea>
    </format>
    <format dxfId="90">
      <pivotArea dataOnly="0" labelOnly="1" outline="0" fieldPosition="0">
        <references count="3">
          <reference field="5" count="3">
            <x v="1106"/>
            <x v="1107"/>
            <x v="1108"/>
          </reference>
          <reference field="7" count="1" selected="0">
            <x v="519"/>
          </reference>
          <reference field="21" count="0" selected="0"/>
        </references>
      </pivotArea>
    </format>
    <format dxfId="89">
      <pivotArea dataOnly="0" labelOnly="1" outline="0" fieldPosition="0">
        <references count="3">
          <reference field="5" count="4">
            <x v="7"/>
            <x v="60"/>
            <x v="768"/>
            <x v="769"/>
          </reference>
          <reference field="7" count="1" selected="0">
            <x v="520"/>
          </reference>
          <reference field="21" count="0" selected="0"/>
        </references>
      </pivotArea>
    </format>
    <format dxfId="88">
      <pivotArea dataOnly="0" labelOnly="1" outline="0" fieldPosition="0">
        <references count="3">
          <reference field="5" count="10">
            <x v="772"/>
            <x v="773"/>
            <x v="774"/>
            <x v="775"/>
            <x v="776"/>
            <x v="777"/>
            <x v="895"/>
            <x v="1100"/>
            <x v="1101"/>
            <x v="1102"/>
          </reference>
          <reference field="7" count="1" selected="0">
            <x v="521"/>
          </reference>
          <reference field="21" count="0" selected="0"/>
        </references>
      </pivotArea>
    </format>
    <format dxfId="87">
      <pivotArea dataOnly="0" labelOnly="1" outline="0" fieldPosition="0">
        <references count="3">
          <reference field="5" count="10">
            <x v="0"/>
            <x v="72"/>
            <x v="117"/>
            <x v="772"/>
            <x v="773"/>
            <x v="774"/>
            <x v="775"/>
            <x v="776"/>
            <x v="777"/>
            <x v="1000"/>
          </reference>
          <reference field="7" count="1" selected="0">
            <x v="522"/>
          </reference>
          <reference field="21" count="0" selected="0"/>
        </references>
      </pivotArea>
    </format>
    <format dxfId="86">
      <pivotArea dataOnly="0" labelOnly="1" outline="0" fieldPosition="0">
        <references count="3">
          <reference field="5" count="3">
            <x v="1106"/>
            <x v="1107"/>
            <x v="1108"/>
          </reference>
          <reference field="7" count="1" selected="0">
            <x v="524"/>
          </reference>
          <reference field="21" count="0" selected="0"/>
        </references>
      </pivotArea>
    </format>
    <format dxfId="85">
      <pivotArea dataOnly="0" labelOnly="1" outline="0" fieldPosition="0">
        <references count="3">
          <reference field="5" count="10">
            <x v="0"/>
            <x v="72"/>
            <x v="117"/>
            <x v="772"/>
            <x v="773"/>
            <x v="774"/>
            <x v="775"/>
            <x v="776"/>
            <x v="777"/>
            <x v="1000"/>
          </reference>
          <reference field="7" count="1" selected="0">
            <x v="526"/>
          </reference>
          <reference field="21" count="0" selected="0"/>
        </references>
      </pivotArea>
    </format>
    <format dxfId="84">
      <pivotArea dataOnly="0" labelOnly="1" outline="0" fieldPosition="0">
        <references count="3">
          <reference field="5" count="18">
            <x v="0"/>
            <x v="72"/>
            <x v="117"/>
            <x v="124"/>
            <x v="125"/>
            <x v="838"/>
            <x v="839"/>
            <x v="879"/>
            <x v="915"/>
            <x v="1000"/>
            <x v="1001"/>
            <x v="1071"/>
            <x v="1072"/>
            <x v="1073"/>
            <x v="1113"/>
            <x v="1126"/>
            <x v="1127"/>
            <x v="1128"/>
          </reference>
          <reference field="7" count="1" selected="0">
            <x v="527"/>
          </reference>
          <reference field="21" count="0" selected="0"/>
        </references>
      </pivotArea>
    </format>
    <format dxfId="83">
      <pivotArea dataOnly="0" labelOnly="1" outline="0" fieldPosition="0">
        <references count="3">
          <reference field="5" count="15">
            <x v="0"/>
            <x v="72"/>
            <x v="117"/>
            <x v="124"/>
            <x v="125"/>
            <x v="676"/>
            <x v="677"/>
            <x v="772"/>
            <x v="773"/>
            <x v="774"/>
            <x v="775"/>
            <x v="776"/>
            <x v="777"/>
            <x v="915"/>
            <x v="1000"/>
          </reference>
          <reference field="7" count="1" selected="0">
            <x v="528"/>
          </reference>
          <reference field="21" count="0" selected="0"/>
        </references>
      </pivotArea>
    </format>
    <format dxfId="82">
      <pivotArea dataOnly="0" labelOnly="1" outline="0" fieldPosition="0">
        <references count="3">
          <reference field="5" count="18">
            <x v="0"/>
            <x v="72"/>
            <x v="117"/>
            <x v="124"/>
            <x v="125"/>
            <x v="838"/>
            <x v="839"/>
            <x v="879"/>
            <x v="915"/>
            <x v="1000"/>
            <x v="1001"/>
            <x v="1071"/>
            <x v="1072"/>
            <x v="1073"/>
            <x v="1113"/>
            <x v="1126"/>
            <x v="1127"/>
            <x v="1128"/>
          </reference>
          <reference field="7" count="1" selected="0">
            <x v="529"/>
          </reference>
          <reference field="21" count="0" selected="0"/>
        </references>
      </pivotArea>
    </format>
    <format dxfId="81">
      <pivotArea dataOnly="0" labelOnly="1" outline="0" fieldPosition="0">
        <references count="3">
          <reference field="5" count="4">
            <x v="7"/>
            <x v="60"/>
            <x v="768"/>
            <x v="769"/>
          </reference>
          <reference field="7" count="1" selected="0">
            <x v="530"/>
          </reference>
          <reference field="21" count="0" selected="0"/>
        </references>
      </pivotArea>
    </format>
    <format dxfId="80">
      <pivotArea dataOnly="0" labelOnly="1" outline="0" fieldPosition="0">
        <references count="3">
          <reference field="5" count="17">
            <x v="0"/>
            <x v="72"/>
            <x v="117"/>
            <x v="676"/>
            <x v="677"/>
            <x v="1000"/>
            <x v="1012"/>
            <x v="1013"/>
            <x v="1130"/>
            <x v="1134"/>
            <x v="1135"/>
            <x v="1136"/>
            <x v="1137"/>
            <x v="1138"/>
            <x v="1139"/>
            <x v="1140"/>
            <x v="1141"/>
          </reference>
          <reference field="7" count="1" selected="0">
            <x v="533"/>
          </reference>
          <reference field="21" count="0" selected="0"/>
        </references>
      </pivotArea>
    </format>
    <format dxfId="79">
      <pivotArea dataOnly="0" labelOnly="1" outline="0" fieldPosition="0">
        <references count="3">
          <reference field="5" count="2">
            <x v="42"/>
            <x v="85"/>
          </reference>
          <reference field="7" count="1" selected="0">
            <x v="534"/>
          </reference>
          <reference field="21" count="0" selected="0"/>
        </references>
      </pivotArea>
    </format>
    <format dxfId="78">
      <pivotArea dataOnly="0" labelOnly="1" outline="0" fieldPosition="0">
        <references count="3">
          <reference field="5" count="6">
            <x v="120"/>
            <x v="386"/>
            <x v="1142"/>
            <x v="1143"/>
            <x v="1144"/>
            <x v="1145"/>
          </reference>
          <reference field="7" count="1" selected="0">
            <x v="535"/>
          </reference>
          <reference field="21" count="0" selected="0"/>
        </references>
      </pivotArea>
    </format>
    <format dxfId="77">
      <pivotArea dataOnly="0" labelOnly="1" outline="0" fieldPosition="0">
        <references count="3">
          <reference field="5" count="6">
            <x v="120"/>
            <x v="386"/>
            <x v="1142"/>
            <x v="1143"/>
            <x v="1144"/>
            <x v="1145"/>
          </reference>
          <reference field="7" count="1" selected="0">
            <x v="537"/>
          </reference>
          <reference field="21" count="0" selected="0"/>
        </references>
      </pivotArea>
    </format>
    <format dxfId="76">
      <pivotArea field="7" type="button" dataOnly="0" labelOnly="1" outline="0" axis="axisRow" fieldPosition="1"/>
    </format>
    <format dxfId="75">
      <pivotArea field="5" type="button" dataOnly="0" labelOnly="1" outline="0" axis="axisRow" fieldPosition="2"/>
    </format>
    <format dxfId="74">
      <pivotArea type="all" dataOnly="0" outline="0" fieldPosition="0"/>
    </format>
    <format dxfId="73">
      <pivotArea outline="0" collapsedLevelsAreSubtotals="1" fieldPosition="0"/>
    </format>
    <format dxfId="72">
      <pivotArea field="21" type="button" dataOnly="0" labelOnly="1" outline="0" axis="axisRow" fieldPosition="0"/>
    </format>
    <format dxfId="71">
      <pivotArea field="7" type="button" dataOnly="0" labelOnly="1" outline="0" axis="axisRow" fieldPosition="1"/>
    </format>
    <format dxfId="70">
      <pivotArea field="5" type="button" dataOnly="0" labelOnly="1" outline="0" axis="axisRow" fieldPosition="2"/>
    </format>
    <format dxfId="69">
      <pivotArea field="1" type="button" dataOnly="0" labelOnly="1" outline="0" axis="axisRow" fieldPosition="3"/>
    </format>
    <format dxfId="68">
      <pivotArea dataOnly="0" labelOnly="1" outline="0" fieldPosition="0">
        <references count="1">
          <reference field="21" count="8">
            <x v="99"/>
            <x v="201"/>
            <x v="501"/>
            <x v="502"/>
            <x v="503"/>
            <x v="504"/>
            <x v="506"/>
            <x v="507"/>
          </reference>
        </references>
      </pivotArea>
    </format>
    <format dxfId="67">
      <pivotArea dataOnly="0" labelOnly="1" outline="0" fieldPosition="0">
        <references count="1">
          <reference field="21" count="8" defaultSubtotal="1">
            <x v="99"/>
            <x v="201"/>
            <x v="501"/>
            <x v="502"/>
            <x v="503"/>
            <x v="504"/>
            <x v="506"/>
            <x v="507"/>
          </reference>
        </references>
      </pivotArea>
    </format>
    <format dxfId="66">
      <pivotArea dataOnly="0" labelOnly="1" outline="0" fieldPosition="0">
        <references count="2">
          <reference field="7" count="2">
            <x v="4"/>
            <x v="218"/>
          </reference>
          <reference field="21" count="1" selected="0">
            <x v="99"/>
          </reference>
        </references>
      </pivotArea>
    </format>
    <format dxfId="65">
      <pivotArea dataOnly="0" labelOnly="1" outline="0" fieldPosition="0">
        <references count="2">
          <reference field="7" count="2" defaultSubtotal="1">
            <x v="4"/>
            <x v="218"/>
          </reference>
          <reference field="21" count="1" selected="0">
            <x v="99"/>
          </reference>
        </references>
      </pivotArea>
    </format>
    <format dxfId="64">
      <pivotArea dataOnly="0" labelOnly="1" outline="0" fieldPosition="0">
        <references count="2">
          <reference field="7" count="1">
            <x v="104"/>
          </reference>
          <reference field="21" count="1" selected="0">
            <x v="201"/>
          </reference>
        </references>
      </pivotArea>
    </format>
    <format dxfId="63">
      <pivotArea dataOnly="0" labelOnly="1" outline="0" fieldPosition="0">
        <references count="2">
          <reference field="7" count="1" defaultSubtotal="1">
            <x v="104"/>
          </reference>
          <reference field="21" count="1" selected="0">
            <x v="201"/>
          </reference>
        </references>
      </pivotArea>
    </format>
    <format dxfId="62">
      <pivotArea dataOnly="0" labelOnly="1" outline="0" fieldPosition="0">
        <references count="2">
          <reference field="7" count="2">
            <x v="543"/>
            <x v="545"/>
          </reference>
          <reference field="21" count="1" selected="0">
            <x v="501"/>
          </reference>
        </references>
      </pivotArea>
    </format>
    <format dxfId="61">
      <pivotArea dataOnly="0" labelOnly="1" outline="0" fieldPosition="0">
        <references count="2">
          <reference field="7" count="2" defaultSubtotal="1">
            <x v="543"/>
            <x v="545"/>
          </reference>
          <reference field="21" count="1" selected="0">
            <x v="501"/>
          </reference>
        </references>
      </pivotArea>
    </format>
    <format dxfId="60">
      <pivotArea dataOnly="0" labelOnly="1" outline="0" fieldPosition="0">
        <references count="2">
          <reference field="7" count="1">
            <x v="546"/>
          </reference>
          <reference field="21" count="1" selected="0">
            <x v="502"/>
          </reference>
        </references>
      </pivotArea>
    </format>
    <format dxfId="59">
      <pivotArea dataOnly="0" labelOnly="1" outline="0" fieldPosition="0">
        <references count="2">
          <reference field="7" count="1" defaultSubtotal="1">
            <x v="546"/>
          </reference>
          <reference field="21" count="1" selected="0">
            <x v="502"/>
          </reference>
        </references>
      </pivotArea>
    </format>
    <format dxfId="58">
      <pivotArea dataOnly="0" labelOnly="1" outline="0" fieldPosition="0">
        <references count="2">
          <reference field="7" count="1">
            <x v="548"/>
          </reference>
          <reference field="21" count="1" selected="0">
            <x v="503"/>
          </reference>
        </references>
      </pivotArea>
    </format>
    <format dxfId="57">
      <pivotArea dataOnly="0" labelOnly="1" outline="0" fieldPosition="0">
        <references count="2">
          <reference field="7" count="1" defaultSubtotal="1">
            <x v="548"/>
          </reference>
          <reference field="21" count="1" selected="0">
            <x v="503"/>
          </reference>
        </references>
      </pivotArea>
    </format>
    <format dxfId="56">
      <pivotArea dataOnly="0" labelOnly="1" outline="0" fieldPosition="0">
        <references count="2">
          <reference field="7" count="1">
            <x v="549"/>
          </reference>
          <reference field="21" count="1" selected="0">
            <x v="504"/>
          </reference>
        </references>
      </pivotArea>
    </format>
    <format dxfId="55">
      <pivotArea dataOnly="0" labelOnly="1" outline="0" fieldPosition="0">
        <references count="2">
          <reference field="7" count="1" defaultSubtotal="1">
            <x v="549"/>
          </reference>
          <reference field="21" count="1" selected="0">
            <x v="504"/>
          </reference>
        </references>
      </pivotArea>
    </format>
    <format dxfId="54">
      <pivotArea dataOnly="0" labelOnly="1" outline="0" fieldPosition="0">
        <references count="2">
          <reference field="7" count="1">
            <x v="551"/>
          </reference>
          <reference field="21" count="1" selected="0">
            <x v="506"/>
          </reference>
        </references>
      </pivotArea>
    </format>
    <format dxfId="53">
      <pivotArea dataOnly="0" labelOnly="1" outline="0" fieldPosition="0">
        <references count="2">
          <reference field="7" count="1" defaultSubtotal="1">
            <x v="551"/>
          </reference>
          <reference field="21" count="1" selected="0">
            <x v="506"/>
          </reference>
        </references>
      </pivotArea>
    </format>
    <format dxfId="52">
      <pivotArea dataOnly="0" labelOnly="1" outline="0" fieldPosition="0">
        <references count="2">
          <reference field="7" count="1">
            <x v="552"/>
          </reference>
          <reference field="21" count="1" selected="0">
            <x v="507"/>
          </reference>
        </references>
      </pivotArea>
    </format>
    <format dxfId="51">
      <pivotArea dataOnly="0" labelOnly="1" outline="0" fieldPosition="0">
        <references count="2">
          <reference field="7" count="1" defaultSubtotal="1">
            <x v="552"/>
          </reference>
          <reference field="21" count="1" selected="0">
            <x v="507"/>
          </reference>
        </references>
      </pivotArea>
    </format>
    <format dxfId="50">
      <pivotArea dataOnly="0" labelOnly="1" outline="0" fieldPosition="0">
        <references count="3">
          <reference field="5" count="10">
            <x v="794"/>
            <x v="795"/>
            <x v="796"/>
            <x v="797"/>
            <x v="798"/>
            <x v="800"/>
            <x v="920"/>
            <x v="921"/>
            <x v="1177"/>
            <x v="1178"/>
          </reference>
          <reference field="7" count="1" selected="0">
            <x v="4"/>
          </reference>
          <reference field="21" count="1" selected="0">
            <x v="99"/>
          </reference>
        </references>
      </pivotArea>
    </format>
    <format dxfId="49">
      <pivotArea dataOnly="0" labelOnly="1" outline="0" fieldPosition="0">
        <references count="3">
          <reference field="5" count="6">
            <x v="0"/>
            <x v="72"/>
            <x v="117"/>
            <x v="772"/>
            <x v="774"/>
            <x v="776"/>
          </reference>
          <reference field="7" count="1" selected="0">
            <x v="218"/>
          </reference>
          <reference field="21" count="1" selected="0">
            <x v="99"/>
          </reference>
        </references>
      </pivotArea>
    </format>
    <format dxfId="48">
      <pivotArea dataOnly="0" labelOnly="1" outline="0" fieldPosition="0">
        <references count="3">
          <reference field="5" count="3">
            <x v="1179"/>
            <x v="1180"/>
            <x v="1181"/>
          </reference>
          <reference field="7" count="1" selected="0">
            <x v="104"/>
          </reference>
          <reference field="21" count="1" selected="0">
            <x v="201"/>
          </reference>
        </references>
      </pivotArea>
    </format>
    <format dxfId="47">
      <pivotArea dataOnly="0" labelOnly="1" outline="0" fieldPosition="0">
        <references count="3">
          <reference field="5" count="4">
            <x v="800"/>
            <x v="1192"/>
            <x v="1193"/>
            <x v="1194"/>
          </reference>
          <reference field="7" count="1" selected="0">
            <x v="543"/>
          </reference>
          <reference field="21" count="1" selected="0">
            <x v="501"/>
          </reference>
        </references>
      </pivotArea>
    </format>
    <format dxfId="46">
      <pivotArea dataOnly="0" labelOnly="1" outline="0" fieldPosition="0">
        <references count="3">
          <reference field="5" count="9">
            <x v="7"/>
            <x v="42"/>
            <x v="60"/>
            <x v="85"/>
            <x v="768"/>
            <x v="769"/>
            <x v="772"/>
            <x v="774"/>
            <x v="776"/>
          </reference>
          <reference field="7" count="1" selected="0">
            <x v="545"/>
          </reference>
          <reference field="21" count="1" selected="0">
            <x v="501"/>
          </reference>
        </references>
      </pivotArea>
    </format>
    <format dxfId="45">
      <pivotArea dataOnly="0" labelOnly="1" outline="0" fieldPosition="0">
        <references count="3">
          <reference field="5" count="9">
            <x v="794"/>
            <x v="795"/>
            <x v="800"/>
            <x v="1092"/>
            <x v="1195"/>
            <x v="1196"/>
            <x v="1197"/>
            <x v="1198"/>
            <x v="1199"/>
          </reference>
          <reference field="7" count="1" selected="0">
            <x v="546"/>
          </reference>
          <reference field="21" count="1" selected="0">
            <x v="502"/>
          </reference>
        </references>
      </pivotArea>
    </format>
    <format dxfId="44">
      <pivotArea dataOnly="0" labelOnly="1" outline="0" fieldPosition="0">
        <references count="3">
          <reference field="5" count="7">
            <x v="58"/>
            <x v="72"/>
            <x v="358"/>
            <x v="883"/>
            <x v="884"/>
            <x v="885"/>
            <x v="886"/>
          </reference>
          <reference field="7" count="1" selected="0">
            <x v="548"/>
          </reference>
          <reference field="21" count="1" selected="0">
            <x v="503"/>
          </reference>
        </references>
      </pivotArea>
    </format>
    <format dxfId="43">
      <pivotArea dataOnly="0" labelOnly="1" outline="0" fieldPosition="0">
        <references count="3">
          <reference field="5" count="4">
            <x v="72"/>
            <x v="967"/>
            <x v="969"/>
            <x v="1200"/>
          </reference>
          <reference field="7" count="1" selected="0">
            <x v="549"/>
          </reference>
          <reference field="21" count="1" selected="0">
            <x v="504"/>
          </reference>
        </references>
      </pivotArea>
    </format>
    <format dxfId="42">
      <pivotArea dataOnly="0" labelOnly="1" outline="0" fieldPosition="0">
        <references count="3">
          <reference field="5" count="2">
            <x v="1175"/>
            <x v="1176"/>
          </reference>
          <reference field="7" count="1" selected="0">
            <x v="551"/>
          </reference>
          <reference field="21" count="1" selected="0">
            <x v="506"/>
          </reference>
        </references>
      </pivotArea>
    </format>
    <format dxfId="41">
      <pivotArea dataOnly="0" labelOnly="1" outline="0" fieldPosition="0">
        <references count="3">
          <reference field="5" count="13">
            <x v="299"/>
            <x v="311"/>
            <x v="313"/>
            <x v="1182"/>
            <x v="1183"/>
            <x v="1184"/>
            <x v="1185"/>
            <x v="1186"/>
            <x v="1187"/>
            <x v="1188"/>
            <x v="1189"/>
            <x v="1190"/>
            <x v="1191"/>
          </reference>
          <reference field="7" count="1" selected="0">
            <x v="552"/>
          </reference>
          <reference field="21" count="1" selected="0">
            <x v="507"/>
          </reference>
        </references>
      </pivotArea>
    </format>
    <format dxfId="40">
      <pivotArea dataOnly="0" labelOnly="1" outline="0" axis="axisValues" fieldPosition="0"/>
    </format>
    <format dxfId="39">
      <pivotArea type="all" dataOnly="0" outline="0" fieldPosition="0"/>
    </format>
    <format dxfId="38">
      <pivotArea outline="0" collapsedLevelsAreSubtotals="1" fieldPosition="0"/>
    </format>
    <format dxfId="37">
      <pivotArea field="21" type="button" dataOnly="0" labelOnly="1" outline="0" axis="axisRow" fieldPosition="0"/>
    </format>
    <format dxfId="36">
      <pivotArea field="7" type="button" dataOnly="0" labelOnly="1" outline="0" axis="axisRow" fieldPosition="1"/>
    </format>
    <format dxfId="35">
      <pivotArea field="5" type="button" dataOnly="0" labelOnly="1" outline="0" axis="axisRow" fieldPosition="2"/>
    </format>
    <format dxfId="34">
      <pivotArea field="1" type="button" dataOnly="0" labelOnly="1" outline="0" axis="axisRow" fieldPosition="3"/>
    </format>
    <format dxfId="33">
      <pivotArea dataOnly="0" labelOnly="1" outline="0" fieldPosition="0">
        <references count="1">
          <reference field="21" count="9">
            <x v="99"/>
            <x v="150"/>
            <x v="201"/>
            <x v="500"/>
            <x v="501"/>
            <x v="502"/>
            <x v="507"/>
            <x v="602"/>
            <x v="603"/>
          </reference>
        </references>
      </pivotArea>
    </format>
    <format dxfId="32">
      <pivotArea dataOnly="0" labelOnly="1" outline="0" fieldPosition="0">
        <references count="1">
          <reference field="21" count="9" defaultSubtotal="1">
            <x v="99"/>
            <x v="150"/>
            <x v="201"/>
            <x v="500"/>
            <x v="501"/>
            <x v="502"/>
            <x v="507"/>
            <x v="602"/>
            <x v="603"/>
          </reference>
        </references>
      </pivotArea>
    </format>
    <format dxfId="31">
      <pivotArea dataOnly="0" labelOnly="1" outline="0" fieldPosition="0">
        <references count="2">
          <reference field="7" count="2">
            <x v="4"/>
            <x v="218"/>
          </reference>
          <reference field="21" count="1" selected="0">
            <x v="99"/>
          </reference>
        </references>
      </pivotArea>
    </format>
    <format dxfId="30">
      <pivotArea dataOnly="0" labelOnly="1" outline="0" fieldPosition="0">
        <references count="2">
          <reference field="7" count="2" defaultSubtotal="1">
            <x v="4"/>
            <x v="218"/>
          </reference>
          <reference field="21" count="1" selected="0">
            <x v="99"/>
          </reference>
        </references>
      </pivotArea>
    </format>
    <format dxfId="29">
      <pivotArea dataOnly="0" labelOnly="1" outline="0" fieldPosition="0">
        <references count="2">
          <reference field="7" count="1">
            <x v="102"/>
          </reference>
          <reference field="21" count="1" selected="0">
            <x v="150"/>
          </reference>
        </references>
      </pivotArea>
    </format>
    <format dxfId="28">
      <pivotArea dataOnly="0" labelOnly="1" outline="0" fieldPosition="0">
        <references count="2">
          <reference field="7" count="1" defaultSubtotal="1">
            <x v="102"/>
          </reference>
          <reference field="21" count="1" selected="0">
            <x v="150"/>
          </reference>
        </references>
      </pivotArea>
    </format>
    <format dxfId="27">
      <pivotArea dataOnly="0" labelOnly="1" outline="0" fieldPosition="0">
        <references count="2">
          <reference field="7" count="2">
            <x v="104"/>
            <x v="697"/>
          </reference>
          <reference field="21" count="1" selected="0">
            <x v="201"/>
          </reference>
        </references>
      </pivotArea>
    </format>
    <format dxfId="26">
      <pivotArea dataOnly="0" labelOnly="1" outline="0" fieldPosition="0">
        <references count="2">
          <reference field="7" count="2" defaultSubtotal="1">
            <x v="104"/>
            <x v="697"/>
          </reference>
          <reference field="21" count="1" selected="0">
            <x v="201"/>
          </reference>
        </references>
      </pivotArea>
    </format>
    <format dxfId="25">
      <pivotArea dataOnly="0" labelOnly="1" outline="0" fieldPosition="0">
        <references count="2">
          <reference field="7" count="1">
            <x v="698"/>
          </reference>
          <reference field="21" count="1" selected="0">
            <x v="500"/>
          </reference>
        </references>
      </pivotArea>
    </format>
    <format dxfId="24">
      <pivotArea dataOnly="0" labelOnly="1" outline="0" fieldPosition="0">
        <references count="2">
          <reference field="7" count="1" defaultSubtotal="1">
            <x v="698"/>
          </reference>
          <reference field="21" count="1" selected="0">
            <x v="500"/>
          </reference>
        </references>
      </pivotArea>
    </format>
    <format dxfId="23">
      <pivotArea dataOnly="0" labelOnly="1" outline="0" fieldPosition="0">
        <references count="2">
          <reference field="7" count="2">
            <x v="543"/>
            <x v="545"/>
          </reference>
          <reference field="21" count="1" selected="0">
            <x v="501"/>
          </reference>
        </references>
      </pivotArea>
    </format>
    <format dxfId="22">
      <pivotArea dataOnly="0" labelOnly="1" outline="0" fieldPosition="0">
        <references count="2">
          <reference field="7" count="2" defaultSubtotal="1">
            <x v="543"/>
            <x v="545"/>
          </reference>
          <reference field="21" count="1" selected="0">
            <x v="501"/>
          </reference>
        </references>
      </pivotArea>
    </format>
    <format dxfId="21">
      <pivotArea dataOnly="0" labelOnly="1" outline="0" fieldPosition="0">
        <references count="2">
          <reference field="7" count="1">
            <x v="546"/>
          </reference>
          <reference field="21" count="1" selected="0">
            <x v="502"/>
          </reference>
        </references>
      </pivotArea>
    </format>
    <format dxfId="20">
      <pivotArea dataOnly="0" labelOnly="1" outline="0" fieldPosition="0">
        <references count="2">
          <reference field="7" count="1" defaultSubtotal="1">
            <x v="546"/>
          </reference>
          <reference field="21" count="1" selected="0">
            <x v="502"/>
          </reference>
        </references>
      </pivotArea>
    </format>
    <format dxfId="19">
      <pivotArea dataOnly="0" labelOnly="1" outline="0" fieldPosition="0">
        <references count="2">
          <reference field="7" count="1">
            <x v="822"/>
          </reference>
          <reference field="21" count="1" selected="0">
            <x v="507"/>
          </reference>
        </references>
      </pivotArea>
    </format>
    <format dxfId="18">
      <pivotArea dataOnly="0" labelOnly="1" outline="0" fieldPosition="0">
        <references count="2">
          <reference field="7" count="1" defaultSubtotal="1">
            <x v="822"/>
          </reference>
          <reference field="21" count="1" selected="0">
            <x v="507"/>
          </reference>
        </references>
      </pivotArea>
    </format>
    <format dxfId="17">
      <pivotArea dataOnly="0" labelOnly="1" outline="0" fieldPosition="0">
        <references count="2">
          <reference field="7" count="1">
            <x v="549"/>
          </reference>
          <reference field="21" count="1" selected="0">
            <x v="602"/>
          </reference>
        </references>
      </pivotArea>
    </format>
    <format dxfId="16">
      <pivotArea dataOnly="0" labelOnly="1" outline="0" fieldPosition="0">
        <references count="2">
          <reference field="7" count="1" defaultSubtotal="1">
            <x v="549"/>
          </reference>
          <reference field="21" count="1" selected="0">
            <x v="602"/>
          </reference>
        </references>
      </pivotArea>
    </format>
    <format dxfId="15">
      <pivotArea dataOnly="0" labelOnly="1" outline="0" fieldPosition="0">
        <references count="2">
          <reference field="7" count="1">
            <x v="551"/>
          </reference>
          <reference field="21" count="1" selected="0">
            <x v="603"/>
          </reference>
        </references>
      </pivotArea>
    </format>
    <format dxfId="14">
      <pivotArea dataOnly="0" labelOnly="1" outline="0" fieldPosition="0">
        <references count="2">
          <reference field="7" count="1" defaultSubtotal="1">
            <x v="551"/>
          </reference>
          <reference field="21" count="1" selected="0">
            <x v="603"/>
          </reference>
        </references>
      </pivotArea>
    </format>
    <format dxfId="13">
      <pivotArea dataOnly="0" labelOnly="1" outline="0" fieldPosition="0">
        <references count="3">
          <reference field="5" count="10">
            <x v="794"/>
            <x v="795"/>
            <x v="796"/>
            <x v="797"/>
            <x v="798"/>
            <x v="800"/>
            <x v="920"/>
            <x v="921"/>
            <x v="1177"/>
            <x v="1178"/>
          </reference>
          <reference field="7" count="1" selected="0">
            <x v="4"/>
          </reference>
          <reference field="21" count="1" selected="0">
            <x v="99"/>
          </reference>
        </references>
      </pivotArea>
    </format>
    <format dxfId="12">
      <pivotArea dataOnly="0" labelOnly="1" outline="0" fieldPosition="0">
        <references count="3">
          <reference field="5" count="7">
            <x v="0"/>
            <x v="72"/>
            <x v="117"/>
            <x v="772"/>
            <x v="774"/>
            <x v="776"/>
            <x v="1000"/>
          </reference>
          <reference field="7" count="1" selected="0">
            <x v="218"/>
          </reference>
          <reference field="21" count="1" selected="0">
            <x v="99"/>
          </reference>
        </references>
      </pivotArea>
    </format>
    <format dxfId="11">
      <pivotArea dataOnly="0" labelOnly="1" outline="0" fieldPosition="0">
        <references count="3">
          <reference field="5" count="7">
            <x v="58"/>
            <x v="72"/>
            <x v="358"/>
            <x v="883"/>
            <x v="884"/>
            <x v="885"/>
            <x v="886"/>
          </reference>
          <reference field="7" count="1" selected="0">
            <x v="102"/>
          </reference>
          <reference field="21" count="1" selected="0">
            <x v="150"/>
          </reference>
        </references>
      </pivotArea>
    </format>
    <format dxfId="10">
      <pivotArea dataOnly="0" labelOnly="1" outline="0" fieldPosition="0">
        <references count="3">
          <reference field="5" count="3">
            <x v="1179"/>
            <x v="1180"/>
            <x v="1181"/>
          </reference>
          <reference field="7" count="1" selected="0">
            <x v="104"/>
          </reference>
          <reference field="21" count="1" selected="0">
            <x v="201"/>
          </reference>
        </references>
      </pivotArea>
    </format>
    <format dxfId="9">
      <pivotArea dataOnly="0" labelOnly="1" outline="0" fieldPosition="0">
        <references count="3">
          <reference field="5" count="4">
            <x v="772"/>
            <x v="774"/>
            <x v="776"/>
            <x v="1280"/>
          </reference>
          <reference field="7" count="1" selected="0">
            <x v="697"/>
          </reference>
          <reference field="21" count="1" selected="0">
            <x v="201"/>
          </reference>
        </references>
      </pivotArea>
    </format>
    <format dxfId="8">
      <pivotArea dataOnly="0" labelOnly="1" outline="0" fieldPosition="0">
        <references count="3">
          <reference field="5" count="1">
            <x v="1468"/>
          </reference>
          <reference field="7" count="1" selected="0">
            <x v="698"/>
          </reference>
          <reference field="21" count="1" selected="0">
            <x v="500"/>
          </reference>
        </references>
      </pivotArea>
    </format>
    <format dxfId="7">
      <pivotArea dataOnly="0" labelOnly="1" outline="0" fieldPosition="0">
        <references count="3">
          <reference field="5" count="4">
            <x v="800"/>
            <x v="1192"/>
            <x v="1193"/>
            <x v="1194"/>
          </reference>
          <reference field="7" count="1" selected="0">
            <x v="543"/>
          </reference>
          <reference field="21" count="1" selected="0">
            <x v="501"/>
          </reference>
        </references>
      </pivotArea>
    </format>
    <format dxfId="6">
      <pivotArea dataOnly="0" labelOnly="1" outline="0" fieldPosition="0">
        <references count="3">
          <reference field="5" count="9">
            <x v="7"/>
            <x v="42"/>
            <x v="60"/>
            <x v="85"/>
            <x v="768"/>
            <x v="769"/>
            <x v="772"/>
            <x v="774"/>
            <x v="776"/>
          </reference>
          <reference field="7" count="1" selected="0">
            <x v="545"/>
          </reference>
          <reference field="21" count="1" selected="0">
            <x v="501"/>
          </reference>
        </references>
      </pivotArea>
    </format>
    <format dxfId="5">
      <pivotArea dataOnly="0" labelOnly="1" outline="0" fieldPosition="0">
        <references count="3">
          <reference field="5" count="9">
            <x v="794"/>
            <x v="795"/>
            <x v="800"/>
            <x v="1092"/>
            <x v="1195"/>
            <x v="1196"/>
            <x v="1197"/>
            <x v="1198"/>
            <x v="1199"/>
          </reference>
          <reference field="7" count="1" selected="0">
            <x v="546"/>
          </reference>
          <reference field="21" count="1" selected="0">
            <x v="502"/>
          </reference>
        </references>
      </pivotArea>
    </format>
    <format dxfId="4">
      <pivotArea dataOnly="0" labelOnly="1" outline="0" fieldPosition="0">
        <references count="3">
          <reference field="5" count="13">
            <x v="299"/>
            <x v="311"/>
            <x v="313"/>
            <x v="1182"/>
            <x v="1183"/>
            <x v="1184"/>
            <x v="1185"/>
            <x v="1186"/>
            <x v="1187"/>
            <x v="1188"/>
            <x v="1189"/>
            <x v="1190"/>
            <x v="1191"/>
          </reference>
          <reference field="7" count="1" selected="0">
            <x v="822"/>
          </reference>
          <reference field="21" count="1" selected="0">
            <x v="507"/>
          </reference>
        </references>
      </pivotArea>
    </format>
    <format dxfId="3">
      <pivotArea dataOnly="0" labelOnly="1" outline="0" fieldPosition="0">
        <references count="3">
          <reference field="5" count="4">
            <x v="72"/>
            <x v="967"/>
            <x v="969"/>
            <x v="1200"/>
          </reference>
          <reference field="7" count="1" selected="0">
            <x v="549"/>
          </reference>
          <reference field="21" count="1" selected="0">
            <x v="602"/>
          </reference>
        </references>
      </pivotArea>
    </format>
    <format dxfId="2">
      <pivotArea dataOnly="0" labelOnly="1" outline="0" fieldPosition="0">
        <references count="3">
          <reference field="5" count="6">
            <x v="1175"/>
            <x v="1176"/>
            <x v="1469"/>
            <x v="1470"/>
            <x v="1471"/>
            <x v="1472"/>
          </reference>
          <reference field="7" count="1" selected="0">
            <x v="551"/>
          </reference>
          <reference field="21" count="1" selected="0">
            <x v="603"/>
          </reference>
        </references>
      </pivotArea>
    </format>
    <format dxfId="1">
      <pivotArea dataOnly="0" labelOnly="1" outline="0" axis="axisValues" fieldPosition="0"/>
    </format>
    <format dxfId="0">
      <pivotArea outline="0" fieldPosition="0">
        <references count="2">
          <reference field="7" count="1" selected="0" defaultSubtotal="1">
            <x v="6"/>
          </reference>
          <reference field="21" count="1" selected="0">
            <x v="28"/>
          </reference>
        </references>
      </pivotArea>
    </format>
  </formats>
  <pivotTableStyleInfo name="PivotStyleMedium8 2" showRowHeaders="1" showColHeaders="1" showRowStripes="1" showColStripes="0" showLastColumn="1"/>
  <extLs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89F510-8F6E-472E-B094-BFA9B60E869D}" name="TablaDinámica1" cacheId="0" applyNumberFormats="0" applyBorderFormats="0" applyFontFormats="0" applyPatternFormats="0" applyAlignmentFormats="0" applyWidthHeightFormats="1" dataCaption="Valores" updatedVersion="8" minRefreshableVersion="3" useAutoFormatting="1" itemPrintTitles="1" createdVersion="6" indent="0" compact="0" compactData="0" multipleFieldFilters="0">
  <location ref="A1:B4" firstHeaderRow="1" firstDataRow="1" firstDataCol="1"/>
  <pivotFields count="24">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numFmtId="22" outline="0" showAll="0"/>
    <pivotField compact="0" numFmtId="14"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5">
        <item m="1" x="3"/>
        <item x="0"/>
        <item x="1"/>
        <item m="1" x="2"/>
        <item t="default"/>
      </items>
    </pivotField>
    <pivotField compact="0" outline="0" showAll="0"/>
  </pivotFields>
  <rowFields count="1">
    <field x="22"/>
  </rowFields>
  <rowItems count="3">
    <i>
      <x v="1"/>
    </i>
    <i>
      <x v="2"/>
    </i>
    <i t="grand">
      <x/>
    </i>
  </rowItems>
  <colItems count="1">
    <i/>
  </colItems>
  <dataFields count="1">
    <dataField name="Cuenta de Actividades"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X411" totalsRowShown="0" headerRowDxfId="753" dataDxfId="751" headerRowBorderDxfId="752" tableBorderDxfId="750">
  <autoFilter ref="A1:X411" xr:uid="{00000000-0009-0000-0100-000001000000}"/>
  <sortState xmlns:xlrd2="http://schemas.microsoft.com/office/spreadsheetml/2017/richdata2" ref="A2:X411">
    <sortCondition ref="E1:E411"/>
  </sortState>
  <tableColumns count="24">
    <tableColumn id="1" xr3:uid="{00000000-0010-0000-0000-000001000000}" name="UN" dataDxfId="749"/>
    <tableColumn id="2" xr3:uid="{00000000-0010-0000-0000-000002000000}" name="ID OT" dataDxfId="748"/>
    <tableColumn id="3" xr3:uid="{00000000-0010-0000-0000-000003000000}" name="Tipo de OT" dataDxfId="747"/>
    <tableColumn id="4" xr3:uid="{00000000-0010-0000-0000-000004000000}" name="Descripción de procedimiento" dataDxfId="746"/>
    <tableColumn id="5" xr3:uid="{00000000-0010-0000-0000-000005000000}" name="Procedimiento" dataDxfId="745"/>
    <tableColumn id="6" xr3:uid="{00000000-0010-0000-0000-000006000000}" name="Actividades" dataDxfId="744"/>
    <tableColumn id="7" xr3:uid="{00000000-0010-0000-0000-000007000000}" name="ID Activo" dataDxfId="743"/>
    <tableColumn id="8" xr3:uid="{00000000-0010-0000-0000-000008000000}" name="Equipo" dataDxfId="742"/>
    <tableColumn id="9" xr3:uid="{00000000-0010-0000-0000-000009000000}" name="Nodo" dataDxfId="741"/>
    <tableColumn id="10" xr3:uid="{00000000-0010-0000-0000-00000A000000}" name="Fech generación" dataDxfId="740"/>
    <tableColumn id="11" xr3:uid="{00000000-0010-0000-0000-00000B000000}" name="Fech aprobación" dataDxfId="739"/>
    <tableColumn id="12" xr3:uid="{00000000-0010-0000-0000-00000C000000}" name="ID" dataDxfId="738"/>
    <tableColumn id="13" xr3:uid="{00000000-0010-0000-0000-00000D000000}" name="Nombre" dataDxfId="737"/>
    <tableColumn id="14" xr3:uid="{00000000-0010-0000-0000-00000E000000}" name="Horas" dataDxfId="736"/>
    <tableColumn id="15" xr3:uid="{00000000-0010-0000-0000-00000F000000}" name="ID Tipo Localiz" dataDxfId="735"/>
    <tableColumn id="16" xr3:uid="{00000000-0010-0000-0000-000010000000}" name="Estado OT" dataDxfId="734"/>
    <tableColumn id="18" xr3:uid="{00000000-0010-0000-0000-000012000000}" name="Encargado" dataDxfId="733"/>
    <tableColumn id="19" xr3:uid="{00000000-0010-0000-0000-000013000000}" name="Hora Inicio" dataDxfId="732"/>
    <tableColumn id="20" xr3:uid="{00000000-0010-0000-0000-000014000000}" name="Hora Fin" dataDxfId="731"/>
    <tableColumn id="21" xr3:uid="{00000000-0010-0000-0000-000015000000}" name="Motivo" dataDxfId="730"/>
    <tableColumn id="17" xr3:uid="{00000000-0010-0000-0000-000011000000}" name="Auditado" dataDxfId="729"/>
    <tableColumn id="23" xr3:uid="{00000000-0010-0000-0000-000017000000}" name="Ubicación" dataDxfId="728">
      <calculatedColumnFormula>VLOOKUP(MID(Table1[[#This Row],[Nodo]],1,12),Tabla2[#Data],2,FALSE)</calculatedColumnFormula>
    </tableColumn>
    <tableColumn id="22" xr3:uid="{598F6DAE-E82D-4734-B846-657E97083530}" name="Especialidad" dataDxfId="727">
      <calculatedColumnFormula>IF(MID(E2,1,3)="ELE","ELE",IF(MID(E2,1,3)="INS","ELE",IF(MID(E2,1,3)="MEC","MEC",IF(MID(E2,1,3)="LUB","MEC",IF(MID(E2,1,3)="IST","ELE"," ")))))</calculatedColumnFormula>
    </tableColumn>
    <tableColumn id="24" xr3:uid="{00BF53D1-CC13-4456-86CB-D4AA2F92CD80}" name="Maquina" dataDxfId="726">
      <calculatedColumnFormula>VLOOKUP(MID([1]!Table1[[#This Row],[Nodo]],1,7),[1]!Tabla5[#Data],2,FALSE)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B701" totalsRowShown="0" headerRowDxfId="725" headerRowBorderDxfId="724" tableBorderDxfId="723" totalsRowBorderDxfId="722">
  <autoFilter ref="A1:B701" xr:uid="{00000000-0009-0000-0100-000002000000}"/>
  <tableColumns count="2">
    <tableColumn id="1" xr3:uid="{00000000-0010-0000-0100-000001000000}" name="Nodo Árbol" dataDxfId="721"/>
    <tableColumn id="2" xr3:uid="{00000000-0010-0000-0100-000002000000}" name="Descripción" dataDxfId="7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76C3B1E-9E11-4FD1-8F8E-7A299B8F64A7}" name="Tabla5" displayName="Tabla5" ref="D1:E3" totalsRowShown="0">
  <autoFilter ref="D1:E3" xr:uid="{976C3B1E-9E11-4FD1-8F8E-7A299B8F64A7}"/>
  <tableColumns count="2">
    <tableColumn id="1" xr3:uid="{5E3F4678-7DF7-403B-A329-C23D0CBF1CAC}" name="Nodo "/>
    <tableColumn id="2" xr3:uid="{CECCEF1D-58C8-4685-B8E4-3B6E87402417}" name="Maquina"/>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pageSetUpPr fitToPage="1"/>
  </sheetPr>
  <dimension ref="A1:X411"/>
  <sheetViews>
    <sheetView showGridLines="0" tabSelected="1" topLeftCell="I337" zoomScaleNormal="100" workbookViewId="0">
      <selection activeCell="J2" sqref="J2:J411"/>
    </sheetView>
  </sheetViews>
  <sheetFormatPr baseColWidth="10" defaultColWidth="11.44140625" defaultRowHeight="14.4" x14ac:dyDescent="0.3"/>
  <cols>
    <col min="3" max="3" width="16.5546875" customWidth="1"/>
    <col min="4" max="4" width="36.33203125" customWidth="1"/>
    <col min="5" max="5" width="17.5546875" customWidth="1"/>
    <col min="6" max="6" width="62.6640625" customWidth="1"/>
    <col min="7" max="7" width="14.88671875" bestFit="1" customWidth="1"/>
    <col min="8" max="8" width="32" bestFit="1" customWidth="1"/>
    <col min="9" max="9" width="23.109375" bestFit="1" customWidth="1"/>
    <col min="10" max="11" width="22.88671875" bestFit="1" customWidth="1"/>
    <col min="13" max="13" width="26.88671875" bestFit="1" customWidth="1"/>
    <col min="15" max="15" width="21.109375" bestFit="1" customWidth="1"/>
    <col min="16" max="16" width="16.33203125" bestFit="1" customWidth="1"/>
    <col min="17" max="17" width="16.6640625" bestFit="1" customWidth="1"/>
    <col min="18" max="18" width="16.88671875" bestFit="1" customWidth="1"/>
    <col min="19" max="19" width="14.5546875" bestFit="1" customWidth="1"/>
    <col min="20" max="20" width="12.5546875" bestFit="1" customWidth="1"/>
  </cols>
  <sheetData>
    <row r="1" spans="1:24" ht="15.6" thickBot="1" x14ac:dyDescent="0.35">
      <c r="A1" s="1" t="s">
        <v>0</v>
      </c>
      <c r="B1" s="1" t="s">
        <v>1</v>
      </c>
      <c r="C1" s="1" t="s">
        <v>2</v>
      </c>
      <c r="D1" s="1" t="s">
        <v>3</v>
      </c>
      <c r="E1" s="1" t="s">
        <v>4</v>
      </c>
      <c r="F1" s="2" t="s">
        <v>5</v>
      </c>
      <c r="G1" s="1" t="s">
        <v>6</v>
      </c>
      <c r="H1" s="2" t="s">
        <v>7</v>
      </c>
      <c r="I1" s="1" t="s">
        <v>8</v>
      </c>
      <c r="J1" s="1" t="s">
        <v>9</v>
      </c>
      <c r="K1" s="1" t="s">
        <v>10</v>
      </c>
      <c r="L1" s="1" t="s">
        <v>11</v>
      </c>
      <c r="M1" s="1" t="s">
        <v>12</v>
      </c>
      <c r="N1" s="1" t="s">
        <v>13</v>
      </c>
      <c r="O1" s="1" t="s">
        <v>14</v>
      </c>
      <c r="P1" s="1" t="s">
        <v>15</v>
      </c>
      <c r="Q1" s="3" t="s">
        <v>16</v>
      </c>
      <c r="R1" s="3" t="s">
        <v>17</v>
      </c>
      <c r="S1" s="3" t="s">
        <v>18</v>
      </c>
      <c r="T1" s="3" t="s">
        <v>19</v>
      </c>
      <c r="U1" s="3" t="s">
        <v>20</v>
      </c>
      <c r="V1" s="1" t="s">
        <v>21</v>
      </c>
      <c r="W1" s="1" t="s">
        <v>22</v>
      </c>
      <c r="X1" s="1" t="s">
        <v>23</v>
      </c>
    </row>
    <row r="2" spans="1:24" ht="15" thickTop="1" x14ac:dyDescent="0.3">
      <c r="A2" s="8" t="s">
        <v>24</v>
      </c>
      <c r="B2" s="8" t="s">
        <v>25</v>
      </c>
      <c r="C2" s="8" t="s">
        <v>26</v>
      </c>
      <c r="D2" s="8" t="s">
        <v>27</v>
      </c>
      <c r="E2" s="8" t="s">
        <v>28</v>
      </c>
      <c r="F2" s="8" t="s">
        <v>29</v>
      </c>
      <c r="G2" s="8" t="s">
        <v>30</v>
      </c>
      <c r="H2" s="8" t="s">
        <v>31</v>
      </c>
      <c r="I2" s="8" t="s">
        <v>32</v>
      </c>
      <c r="J2" s="28">
        <v>45695.431006944447</v>
      </c>
      <c r="K2" s="28">
        <v>45863.464583333334</v>
      </c>
      <c r="L2" s="8" t="s">
        <v>33</v>
      </c>
      <c r="M2" s="8" t="s">
        <v>34</v>
      </c>
      <c r="N2" s="29">
        <v>0</v>
      </c>
      <c r="O2" s="29">
        <v>1</v>
      </c>
      <c r="P2" s="8" t="s">
        <v>35</v>
      </c>
      <c r="Q2" s="8" t="s">
        <v>36</v>
      </c>
      <c r="R2" s="8" t="s">
        <v>37</v>
      </c>
      <c r="S2" s="8" t="s">
        <v>38</v>
      </c>
      <c r="V2" s="26" t="str">
        <f>VLOOKUP(MID(Table1[[#This Row],[Nodo]],1,12),Tabla2[#Data],2,FALSE)</f>
        <v>ESTACION DE FORMADO</v>
      </c>
      <c r="W2" s="26" t="str">
        <f t="shared" ref="W2" si="0">IF(MID(E2,1,3)="ELE","ELE",IF(MID(E2,1,3)="INS","ELE",IF(MID(E2,1,3)="MEC","MEC",IF(MID(E2,1,3)="LUB","MEC",IF(MID(E2,1,3)="IST","ELE"," ")))))</f>
        <v>ELE</v>
      </c>
      <c r="X2" s="26" t="e">
        <f>VLOOKUP(MID([1]!Table1[[#This Row],[Nodo]],1,7),[1]!Tabla5[#Data],2,FALSE)</f>
        <v>#N/A</v>
      </c>
    </row>
    <row r="3" spans="1:24" x14ac:dyDescent="0.3">
      <c r="A3" s="8" t="s">
        <v>24</v>
      </c>
      <c r="B3" s="8" t="s">
        <v>25</v>
      </c>
      <c r="C3" s="8" t="s">
        <v>26</v>
      </c>
      <c r="D3" s="8" t="s">
        <v>27</v>
      </c>
      <c r="E3" s="8" t="s">
        <v>28</v>
      </c>
      <c r="F3" s="8" t="s">
        <v>39</v>
      </c>
      <c r="G3" s="8" t="s">
        <v>30</v>
      </c>
      <c r="H3" s="8" t="s">
        <v>31</v>
      </c>
      <c r="I3" s="8" t="s">
        <v>32</v>
      </c>
      <c r="J3" s="28">
        <v>45695.431006944447</v>
      </c>
      <c r="K3" s="28">
        <v>45863.464583333334</v>
      </c>
      <c r="L3" s="8" t="s">
        <v>33</v>
      </c>
      <c r="M3" s="8" t="s">
        <v>34</v>
      </c>
      <c r="N3" s="29">
        <v>0</v>
      </c>
      <c r="O3" s="29">
        <v>1</v>
      </c>
      <c r="P3" s="8" t="s">
        <v>35</v>
      </c>
      <c r="Q3" s="8" t="s">
        <v>36</v>
      </c>
      <c r="R3" s="8" t="s">
        <v>37</v>
      </c>
      <c r="S3" s="8" t="s">
        <v>38</v>
      </c>
      <c r="V3" s="26" t="str">
        <f>VLOOKUP(MID(Table1[[#This Row],[Nodo]],1,12),Tabla2[#Data],2,FALSE)</f>
        <v>ESTACION DE FORMADO</v>
      </c>
      <c r="W3" s="26" t="str">
        <f t="shared" ref="W3:W66" si="1">IF(MID(E3,1,3)="ELE","ELE",IF(MID(E3,1,3)="INS","ELE",IF(MID(E3,1,3)="MEC","MEC",IF(MID(E3,1,3)="LUB","MEC",IF(MID(E3,1,3)="IST","ELE"," ")))))</f>
        <v>ELE</v>
      </c>
      <c r="X3" s="26" t="e">
        <f>VLOOKUP(MID([1]!Table1[[#This Row],[Nodo]],1,7),[1]!Tabla5[#Data],2,FALSE)</f>
        <v>#N/A</v>
      </c>
    </row>
    <row r="4" spans="1:24" x14ac:dyDescent="0.3">
      <c r="A4" s="8" t="s">
        <v>24</v>
      </c>
      <c r="B4" s="8" t="s">
        <v>25</v>
      </c>
      <c r="C4" s="8" t="s">
        <v>26</v>
      </c>
      <c r="D4" s="8" t="s">
        <v>27</v>
      </c>
      <c r="E4" s="8" t="s">
        <v>28</v>
      </c>
      <c r="F4" s="8" t="s">
        <v>29</v>
      </c>
      <c r="G4" s="8" t="s">
        <v>40</v>
      </c>
      <c r="H4" s="8" t="s">
        <v>41</v>
      </c>
      <c r="I4" s="8" t="s">
        <v>42</v>
      </c>
      <c r="J4" s="28">
        <v>45695.431006944447</v>
      </c>
      <c r="K4" s="28">
        <v>45863.464583333334</v>
      </c>
      <c r="L4" s="8" t="s">
        <v>33</v>
      </c>
      <c r="M4" s="8" t="s">
        <v>34</v>
      </c>
      <c r="N4" s="29">
        <v>0</v>
      </c>
      <c r="O4" s="29">
        <v>1</v>
      </c>
      <c r="P4" s="8" t="s">
        <v>35</v>
      </c>
      <c r="Q4" s="8" t="s">
        <v>36</v>
      </c>
      <c r="R4" s="8" t="s">
        <v>37</v>
      </c>
      <c r="S4" s="8" t="s">
        <v>38</v>
      </c>
      <c r="V4" s="26" t="str">
        <f>VLOOKUP(MID(Table1[[#This Row],[Nodo]],1,12),Tabla2[#Data],2,FALSE)</f>
        <v>ESTACION DE FORMADO</v>
      </c>
      <c r="W4" s="26" t="str">
        <f t="shared" si="1"/>
        <v>ELE</v>
      </c>
      <c r="X4" s="26" t="e">
        <f>VLOOKUP(MID([1]!Table1[[#This Row],[Nodo]],1,7),[1]!Tabla5[#Data],2,FALSE)</f>
        <v>#N/A</v>
      </c>
    </row>
    <row r="5" spans="1:24" x14ac:dyDescent="0.3">
      <c r="A5" s="8" t="s">
        <v>24</v>
      </c>
      <c r="B5" s="8" t="s">
        <v>25</v>
      </c>
      <c r="C5" s="8" t="s">
        <v>26</v>
      </c>
      <c r="D5" s="8" t="s">
        <v>27</v>
      </c>
      <c r="E5" s="8" t="s">
        <v>28</v>
      </c>
      <c r="F5" s="8" t="s">
        <v>39</v>
      </c>
      <c r="G5" s="8" t="s">
        <v>40</v>
      </c>
      <c r="H5" s="8" t="s">
        <v>41</v>
      </c>
      <c r="I5" s="8" t="s">
        <v>42</v>
      </c>
      <c r="J5" s="28">
        <v>45695.431006944447</v>
      </c>
      <c r="K5" s="28">
        <v>45863.464583333334</v>
      </c>
      <c r="L5" s="8" t="s">
        <v>33</v>
      </c>
      <c r="M5" s="8" t="s">
        <v>34</v>
      </c>
      <c r="N5" s="29">
        <v>0</v>
      </c>
      <c r="O5" s="29">
        <v>1</v>
      </c>
      <c r="P5" s="8" t="s">
        <v>35</v>
      </c>
      <c r="Q5" s="8" t="s">
        <v>36</v>
      </c>
      <c r="R5" s="8" t="s">
        <v>37</v>
      </c>
      <c r="S5" s="8" t="s">
        <v>38</v>
      </c>
      <c r="V5" s="26" t="str">
        <f>VLOOKUP(MID(Table1[[#This Row],[Nodo]],1,12),Tabla2[#Data],2,FALSE)</f>
        <v>ESTACION DE FORMADO</v>
      </c>
      <c r="W5" s="26" t="str">
        <f t="shared" si="1"/>
        <v>ELE</v>
      </c>
      <c r="X5" s="26" t="e">
        <f>VLOOKUP(MID([1]!Table1[[#This Row],[Nodo]],1,7),[1]!Tabla5[#Data],2,FALSE)</f>
        <v>#N/A</v>
      </c>
    </row>
    <row r="6" spans="1:24" x14ac:dyDescent="0.3">
      <c r="A6" s="8" t="s">
        <v>24</v>
      </c>
      <c r="B6" s="8" t="s">
        <v>25</v>
      </c>
      <c r="C6" s="8" t="s">
        <v>26</v>
      </c>
      <c r="D6" s="8" t="s">
        <v>27</v>
      </c>
      <c r="E6" s="8" t="s">
        <v>28</v>
      </c>
      <c r="F6" s="8" t="s">
        <v>29</v>
      </c>
      <c r="G6" s="8" t="s">
        <v>43</v>
      </c>
      <c r="H6" s="8" t="s">
        <v>44</v>
      </c>
      <c r="I6" s="8" t="s">
        <v>45</v>
      </c>
      <c r="J6" s="28">
        <v>45695.431006944447</v>
      </c>
      <c r="K6" s="28">
        <v>45863.464583333334</v>
      </c>
      <c r="L6" s="8" t="s">
        <v>33</v>
      </c>
      <c r="M6" s="8" t="s">
        <v>34</v>
      </c>
      <c r="N6" s="29">
        <v>0</v>
      </c>
      <c r="O6" s="29">
        <v>1</v>
      </c>
      <c r="P6" s="8" t="s">
        <v>35</v>
      </c>
      <c r="Q6" s="8" t="s">
        <v>36</v>
      </c>
      <c r="R6" s="8" t="s">
        <v>37</v>
      </c>
      <c r="S6" s="8" t="s">
        <v>38</v>
      </c>
      <c r="V6" s="26" t="str">
        <f>VLOOKUP(MID(Table1[[#This Row],[Nodo]],1,12),Tabla2[#Data],2,FALSE)</f>
        <v>ESTACION DE FORMADO</v>
      </c>
      <c r="W6" s="26" t="str">
        <f t="shared" si="1"/>
        <v>ELE</v>
      </c>
      <c r="X6" s="26" t="e">
        <f>VLOOKUP(MID([1]!Table1[[#This Row],[Nodo]],1,7),[1]!Tabla5[#Data],2,FALSE)</f>
        <v>#N/A</v>
      </c>
    </row>
    <row r="7" spans="1:24" x14ac:dyDescent="0.3">
      <c r="A7" s="8" t="s">
        <v>24</v>
      </c>
      <c r="B7" s="8" t="s">
        <v>25</v>
      </c>
      <c r="C7" s="8" t="s">
        <v>26</v>
      </c>
      <c r="D7" s="8" t="s">
        <v>27</v>
      </c>
      <c r="E7" s="8" t="s">
        <v>28</v>
      </c>
      <c r="F7" s="8" t="s">
        <v>39</v>
      </c>
      <c r="G7" s="8" t="s">
        <v>43</v>
      </c>
      <c r="H7" s="8" t="s">
        <v>44</v>
      </c>
      <c r="I7" s="8" t="s">
        <v>45</v>
      </c>
      <c r="J7" s="28">
        <v>45695.431006944447</v>
      </c>
      <c r="K7" s="28">
        <v>45863.464583333334</v>
      </c>
      <c r="L7" s="8" t="s">
        <v>33</v>
      </c>
      <c r="M7" s="8" t="s">
        <v>34</v>
      </c>
      <c r="N7" s="29">
        <v>0</v>
      </c>
      <c r="O7" s="29">
        <v>1</v>
      </c>
      <c r="P7" s="8" t="s">
        <v>35</v>
      </c>
      <c r="Q7" s="8" t="s">
        <v>36</v>
      </c>
      <c r="R7" s="8" t="s">
        <v>37</v>
      </c>
      <c r="S7" s="8" t="s">
        <v>38</v>
      </c>
      <c r="V7" s="26" t="str">
        <f>VLOOKUP(MID(Table1[[#This Row],[Nodo]],1,12),Tabla2[#Data],2,FALSE)</f>
        <v>ESTACION DE FORMADO</v>
      </c>
      <c r="W7" s="26" t="str">
        <f t="shared" si="1"/>
        <v>ELE</v>
      </c>
      <c r="X7" s="26" t="e">
        <f>VLOOKUP(MID([1]!Table1[[#This Row],[Nodo]],1,7),[1]!Tabla5[#Data],2,FALSE)</f>
        <v>#N/A</v>
      </c>
    </row>
    <row r="8" spans="1:24" x14ac:dyDescent="0.3">
      <c r="A8" s="8" t="s">
        <v>24</v>
      </c>
      <c r="B8" s="8" t="s">
        <v>25</v>
      </c>
      <c r="C8" s="8" t="s">
        <v>26</v>
      </c>
      <c r="D8" s="8" t="s">
        <v>46</v>
      </c>
      <c r="E8" s="8" t="s">
        <v>47</v>
      </c>
      <c r="F8" s="8" t="s">
        <v>48</v>
      </c>
      <c r="G8" s="8" t="s">
        <v>49</v>
      </c>
      <c r="H8" s="8" t="s">
        <v>50</v>
      </c>
      <c r="I8" s="8" t="s">
        <v>51</v>
      </c>
      <c r="J8" s="28">
        <v>45695.430937500001</v>
      </c>
      <c r="K8" s="28">
        <v>45863.464583333334</v>
      </c>
      <c r="L8" s="8" t="s">
        <v>33</v>
      </c>
      <c r="M8" s="8" t="s">
        <v>34</v>
      </c>
      <c r="N8" s="29">
        <v>0</v>
      </c>
      <c r="O8" s="29">
        <v>1</v>
      </c>
      <c r="P8" s="8" t="s">
        <v>35</v>
      </c>
      <c r="Q8" s="8" t="s">
        <v>36</v>
      </c>
      <c r="R8" s="8" t="s">
        <v>52</v>
      </c>
      <c r="S8" s="8" t="s">
        <v>38</v>
      </c>
      <c r="V8" s="26" t="str">
        <f>VLOOKUP(MID(Table1[[#This Row],[Nodo]],1,12),Tabla2[#Data],2,FALSE)</f>
        <v>APILADOR APILADOR SISTEMA DE A</v>
      </c>
      <c r="W8" s="26" t="str">
        <f t="shared" si="1"/>
        <v>ELE</v>
      </c>
      <c r="X8" s="26" t="e">
        <f>VLOOKUP(MID([1]!Table1[[#This Row],[Nodo]],1,7),[1]!Tabla5[#Data],2,FALSE)</f>
        <v>#N/A</v>
      </c>
    </row>
    <row r="9" spans="1:24" x14ac:dyDescent="0.3">
      <c r="A9" s="8" t="s">
        <v>24</v>
      </c>
      <c r="B9" s="8" t="s">
        <v>25</v>
      </c>
      <c r="C9" s="8" t="s">
        <v>26</v>
      </c>
      <c r="D9" s="8" t="s">
        <v>46</v>
      </c>
      <c r="E9" s="8" t="s">
        <v>47</v>
      </c>
      <c r="F9" s="8" t="s">
        <v>53</v>
      </c>
      <c r="G9" s="8" t="s">
        <v>49</v>
      </c>
      <c r="H9" s="8" t="s">
        <v>50</v>
      </c>
      <c r="I9" s="8" t="s">
        <v>51</v>
      </c>
      <c r="J9" s="28">
        <v>45695.430937500001</v>
      </c>
      <c r="K9" s="28">
        <v>45863.464583333334</v>
      </c>
      <c r="L9" s="8" t="s">
        <v>33</v>
      </c>
      <c r="M9" s="8" t="s">
        <v>34</v>
      </c>
      <c r="N9" s="29">
        <v>0</v>
      </c>
      <c r="O9" s="29">
        <v>1</v>
      </c>
      <c r="P9" s="8" t="s">
        <v>35</v>
      </c>
      <c r="Q9" s="8" t="s">
        <v>36</v>
      </c>
      <c r="R9" s="8" t="s">
        <v>52</v>
      </c>
      <c r="S9" s="8" t="s">
        <v>38</v>
      </c>
      <c r="V9" s="26" t="str">
        <f>VLOOKUP(MID(Table1[[#This Row],[Nodo]],1,12),Tabla2[#Data],2,FALSE)</f>
        <v>APILADOR APILADOR SISTEMA DE A</v>
      </c>
      <c r="W9" s="26" t="str">
        <f t="shared" si="1"/>
        <v>ELE</v>
      </c>
      <c r="X9" s="26" t="e">
        <f>VLOOKUP(MID([1]!Table1[[#This Row],[Nodo]],1,7),[1]!Tabla5[#Data],2,FALSE)</f>
        <v>#N/A</v>
      </c>
    </row>
    <row r="10" spans="1:24" x14ac:dyDescent="0.3">
      <c r="A10" s="8" t="s">
        <v>24</v>
      </c>
      <c r="B10" s="8" t="s">
        <v>25</v>
      </c>
      <c r="C10" s="8" t="s">
        <v>26</v>
      </c>
      <c r="D10" s="8" t="s">
        <v>46</v>
      </c>
      <c r="E10" s="8" t="s">
        <v>47</v>
      </c>
      <c r="F10" s="8" t="s">
        <v>54</v>
      </c>
      <c r="G10" s="8" t="s">
        <v>49</v>
      </c>
      <c r="H10" s="8" t="s">
        <v>50</v>
      </c>
      <c r="I10" s="8" t="s">
        <v>51</v>
      </c>
      <c r="J10" s="28">
        <v>45695.430937500001</v>
      </c>
      <c r="K10" s="28">
        <v>45863.464583333334</v>
      </c>
      <c r="L10" s="8" t="s">
        <v>33</v>
      </c>
      <c r="M10" s="8" t="s">
        <v>34</v>
      </c>
      <c r="N10" s="29">
        <v>0</v>
      </c>
      <c r="O10" s="29">
        <v>1</v>
      </c>
      <c r="P10" s="8" t="s">
        <v>35</v>
      </c>
      <c r="Q10" s="8" t="s">
        <v>36</v>
      </c>
      <c r="R10" s="8" t="s">
        <v>52</v>
      </c>
      <c r="S10" s="8" t="s">
        <v>38</v>
      </c>
      <c r="V10" s="26" t="str">
        <f>VLOOKUP(MID(Table1[[#This Row],[Nodo]],1,12),Tabla2[#Data],2,FALSE)</f>
        <v>APILADOR APILADOR SISTEMA DE A</v>
      </c>
      <c r="W10" s="26" t="str">
        <f t="shared" si="1"/>
        <v>ELE</v>
      </c>
      <c r="X10" s="26" t="e">
        <f>VLOOKUP(MID([1]!Table1[[#This Row],[Nodo]],1,7),[1]!Tabla5[#Data],2,FALSE)</f>
        <v>#N/A</v>
      </c>
    </row>
    <row r="11" spans="1:24" x14ac:dyDescent="0.3">
      <c r="A11" s="8" t="s">
        <v>24</v>
      </c>
      <c r="B11" s="8" t="s">
        <v>25</v>
      </c>
      <c r="C11" s="8" t="s">
        <v>26</v>
      </c>
      <c r="D11" s="8" t="s">
        <v>46</v>
      </c>
      <c r="E11" s="8" t="s">
        <v>47</v>
      </c>
      <c r="F11" s="8" t="s">
        <v>55</v>
      </c>
      <c r="G11" s="8" t="s">
        <v>49</v>
      </c>
      <c r="H11" s="8" t="s">
        <v>50</v>
      </c>
      <c r="I11" s="8" t="s">
        <v>51</v>
      </c>
      <c r="J11" s="28">
        <v>45695.430937500001</v>
      </c>
      <c r="K11" s="28">
        <v>45863.464583333334</v>
      </c>
      <c r="L11" s="8" t="s">
        <v>33</v>
      </c>
      <c r="M11" s="8" t="s">
        <v>34</v>
      </c>
      <c r="N11" s="29">
        <v>0</v>
      </c>
      <c r="O11" s="29">
        <v>1</v>
      </c>
      <c r="P11" s="8" t="s">
        <v>35</v>
      </c>
      <c r="Q11" s="8" t="s">
        <v>36</v>
      </c>
      <c r="R11" s="8" t="s">
        <v>52</v>
      </c>
      <c r="S11" s="8" t="s">
        <v>38</v>
      </c>
      <c r="V11" s="26" t="str">
        <f>VLOOKUP(MID(Table1[[#This Row],[Nodo]],1,12),Tabla2[#Data],2,FALSE)</f>
        <v>APILADOR APILADOR SISTEMA DE A</v>
      </c>
      <c r="W11" s="26" t="str">
        <f t="shared" si="1"/>
        <v>ELE</v>
      </c>
      <c r="X11" s="26" t="e">
        <f>VLOOKUP(MID([1]!Table1[[#This Row],[Nodo]],1,7),[1]!Tabla5[#Data],2,FALSE)</f>
        <v>#N/A</v>
      </c>
    </row>
    <row r="12" spans="1:24" x14ac:dyDescent="0.3">
      <c r="A12" s="8" t="s">
        <v>24</v>
      </c>
      <c r="B12" s="8" t="s">
        <v>25</v>
      </c>
      <c r="C12" s="8" t="s">
        <v>26</v>
      </c>
      <c r="D12" s="8" t="s">
        <v>46</v>
      </c>
      <c r="E12" s="8" t="s">
        <v>47</v>
      </c>
      <c r="F12" s="8" t="s">
        <v>56</v>
      </c>
      <c r="G12" s="8" t="s">
        <v>49</v>
      </c>
      <c r="H12" s="8" t="s">
        <v>50</v>
      </c>
      <c r="I12" s="8" t="s">
        <v>51</v>
      </c>
      <c r="J12" s="28">
        <v>45695.430937500001</v>
      </c>
      <c r="K12" s="28">
        <v>45863.464583333334</v>
      </c>
      <c r="L12" s="8" t="s">
        <v>33</v>
      </c>
      <c r="M12" s="8" t="s">
        <v>34</v>
      </c>
      <c r="N12" s="29">
        <v>0</v>
      </c>
      <c r="O12" s="29">
        <v>1</v>
      </c>
      <c r="P12" s="8" t="s">
        <v>35</v>
      </c>
      <c r="Q12" s="8" t="s">
        <v>36</v>
      </c>
      <c r="R12" s="8" t="s">
        <v>52</v>
      </c>
      <c r="S12" s="8" t="s">
        <v>38</v>
      </c>
      <c r="V12" s="26" t="str">
        <f>VLOOKUP(MID(Table1[[#This Row],[Nodo]],1,12),Tabla2[#Data],2,FALSE)</f>
        <v>APILADOR APILADOR SISTEMA DE A</v>
      </c>
      <c r="W12" s="26" t="str">
        <f t="shared" si="1"/>
        <v>ELE</v>
      </c>
      <c r="X12" s="26" t="e">
        <f>VLOOKUP(MID([1]!Table1[[#This Row],[Nodo]],1,7),[1]!Tabla5[#Data],2,FALSE)</f>
        <v>#N/A</v>
      </c>
    </row>
    <row r="13" spans="1:24" x14ac:dyDescent="0.3">
      <c r="A13" s="8" t="s">
        <v>24</v>
      </c>
      <c r="B13" s="8" t="s">
        <v>25</v>
      </c>
      <c r="C13" s="8" t="s">
        <v>26</v>
      </c>
      <c r="D13" s="8" t="s">
        <v>46</v>
      </c>
      <c r="E13" s="8" t="s">
        <v>47</v>
      </c>
      <c r="F13" s="8" t="s">
        <v>57</v>
      </c>
      <c r="G13" s="8" t="s">
        <v>49</v>
      </c>
      <c r="H13" s="8" t="s">
        <v>50</v>
      </c>
      <c r="I13" s="8" t="s">
        <v>51</v>
      </c>
      <c r="J13" s="28">
        <v>45695.430937500001</v>
      </c>
      <c r="K13" s="28">
        <v>45863.464583333334</v>
      </c>
      <c r="L13" s="8" t="s">
        <v>33</v>
      </c>
      <c r="M13" s="8" t="s">
        <v>34</v>
      </c>
      <c r="N13" s="29">
        <v>0</v>
      </c>
      <c r="O13" s="29">
        <v>1</v>
      </c>
      <c r="P13" s="8" t="s">
        <v>35</v>
      </c>
      <c r="Q13" s="8" t="s">
        <v>36</v>
      </c>
      <c r="R13" s="8" t="s">
        <v>52</v>
      </c>
      <c r="S13" s="8" t="s">
        <v>38</v>
      </c>
      <c r="V13" s="26" t="str">
        <f>VLOOKUP(MID(Table1[[#This Row],[Nodo]],1,12),Tabla2[#Data],2,FALSE)</f>
        <v>APILADOR APILADOR SISTEMA DE A</v>
      </c>
      <c r="W13" s="26" t="str">
        <f t="shared" si="1"/>
        <v>ELE</v>
      </c>
      <c r="X13" s="26" t="e">
        <f>VLOOKUP(MID([1]!Table1[[#This Row],[Nodo]],1,7),[1]!Tabla5[#Data],2,FALSE)</f>
        <v>#N/A</v>
      </c>
    </row>
    <row r="14" spans="1:24" x14ac:dyDescent="0.3">
      <c r="A14" s="8" t="s">
        <v>24</v>
      </c>
      <c r="B14" s="8" t="s">
        <v>25</v>
      </c>
      <c r="C14" s="8" t="s">
        <v>26</v>
      </c>
      <c r="D14" s="8" t="s">
        <v>46</v>
      </c>
      <c r="E14" s="8" t="s">
        <v>47</v>
      </c>
      <c r="F14" s="8" t="s">
        <v>58</v>
      </c>
      <c r="G14" s="8" t="s">
        <v>49</v>
      </c>
      <c r="H14" s="8" t="s">
        <v>50</v>
      </c>
      <c r="I14" s="8" t="s">
        <v>51</v>
      </c>
      <c r="J14" s="28">
        <v>45695.430937500001</v>
      </c>
      <c r="K14" s="28">
        <v>45863.464583333334</v>
      </c>
      <c r="L14" s="8" t="s">
        <v>33</v>
      </c>
      <c r="M14" s="8" t="s">
        <v>34</v>
      </c>
      <c r="N14" s="29">
        <v>0</v>
      </c>
      <c r="O14" s="29">
        <v>1</v>
      </c>
      <c r="P14" s="8" t="s">
        <v>35</v>
      </c>
      <c r="Q14" s="8" t="s">
        <v>36</v>
      </c>
      <c r="R14" s="8" t="s">
        <v>52</v>
      </c>
      <c r="S14" s="8" t="s">
        <v>38</v>
      </c>
      <c r="V14" s="26" t="str">
        <f>VLOOKUP(MID(Table1[[#This Row],[Nodo]],1,12),Tabla2[#Data],2,FALSE)</f>
        <v>APILADOR APILADOR SISTEMA DE A</v>
      </c>
      <c r="W14" s="26" t="str">
        <f t="shared" si="1"/>
        <v>ELE</v>
      </c>
      <c r="X14" s="26" t="e">
        <f>VLOOKUP(MID([1]!Table1[[#This Row],[Nodo]],1,7),[1]!Tabla5[#Data],2,FALSE)</f>
        <v>#N/A</v>
      </c>
    </row>
    <row r="15" spans="1:24" x14ac:dyDescent="0.3">
      <c r="A15" s="8" t="s">
        <v>24</v>
      </c>
      <c r="B15" s="8" t="s">
        <v>25</v>
      </c>
      <c r="C15" s="8" t="s">
        <v>26</v>
      </c>
      <c r="D15" s="8" t="s">
        <v>46</v>
      </c>
      <c r="E15" s="8" t="s">
        <v>47</v>
      </c>
      <c r="F15" s="8" t="s">
        <v>48</v>
      </c>
      <c r="G15" s="8" t="s">
        <v>59</v>
      </c>
      <c r="H15" s="8" t="s">
        <v>60</v>
      </c>
      <c r="I15" s="8" t="s">
        <v>61</v>
      </c>
      <c r="J15" s="28">
        <v>45695.430972222224</v>
      </c>
      <c r="K15" s="28">
        <v>45863.464583333334</v>
      </c>
      <c r="L15" s="8" t="s">
        <v>33</v>
      </c>
      <c r="M15" s="8" t="s">
        <v>34</v>
      </c>
      <c r="N15" s="29">
        <v>0</v>
      </c>
      <c r="O15" s="29">
        <v>1</v>
      </c>
      <c r="P15" s="8" t="s">
        <v>35</v>
      </c>
      <c r="Q15" s="8" t="s">
        <v>36</v>
      </c>
      <c r="R15" s="8" t="s">
        <v>52</v>
      </c>
      <c r="S15" s="8" t="s">
        <v>38</v>
      </c>
      <c r="V15" s="26" t="str">
        <f>VLOOKUP(MID(Table1[[#This Row],[Nodo]],1,12),Tabla2[#Data],2,FALSE)</f>
        <v>DESEMBOBINADOR</v>
      </c>
      <c r="W15" s="26" t="str">
        <f t="shared" si="1"/>
        <v>ELE</v>
      </c>
      <c r="X15" s="26" t="e">
        <f>VLOOKUP(MID([1]!Table1[[#This Row],[Nodo]],1,7),[1]!Tabla5[#Data],2,FALSE)</f>
        <v>#N/A</v>
      </c>
    </row>
    <row r="16" spans="1:24" x14ac:dyDescent="0.3">
      <c r="A16" s="8" t="s">
        <v>24</v>
      </c>
      <c r="B16" s="8" t="s">
        <v>25</v>
      </c>
      <c r="C16" s="8" t="s">
        <v>26</v>
      </c>
      <c r="D16" s="8" t="s">
        <v>46</v>
      </c>
      <c r="E16" s="8" t="s">
        <v>47</v>
      </c>
      <c r="F16" s="8" t="s">
        <v>53</v>
      </c>
      <c r="G16" s="8" t="s">
        <v>59</v>
      </c>
      <c r="H16" s="8" t="s">
        <v>60</v>
      </c>
      <c r="I16" s="8" t="s">
        <v>61</v>
      </c>
      <c r="J16" s="28">
        <v>45695.430972222224</v>
      </c>
      <c r="K16" s="28">
        <v>45863.464583333334</v>
      </c>
      <c r="L16" s="8" t="s">
        <v>33</v>
      </c>
      <c r="M16" s="8" t="s">
        <v>34</v>
      </c>
      <c r="N16" s="29">
        <v>0</v>
      </c>
      <c r="O16" s="29">
        <v>1</v>
      </c>
      <c r="P16" s="8" t="s">
        <v>35</v>
      </c>
      <c r="Q16" s="8" t="s">
        <v>36</v>
      </c>
      <c r="R16" s="8" t="s">
        <v>52</v>
      </c>
      <c r="S16" s="8" t="s">
        <v>38</v>
      </c>
      <c r="V16" s="26" t="str">
        <f>VLOOKUP(MID(Table1[[#This Row],[Nodo]],1,12),Tabla2[#Data],2,FALSE)</f>
        <v>DESEMBOBINADOR</v>
      </c>
      <c r="W16" s="26" t="str">
        <f t="shared" si="1"/>
        <v>ELE</v>
      </c>
      <c r="X16" s="26" t="e">
        <f>VLOOKUP(MID([1]!Table1[[#This Row],[Nodo]],1,7),[1]!Tabla5[#Data],2,FALSE)</f>
        <v>#N/A</v>
      </c>
    </row>
    <row r="17" spans="1:24" x14ac:dyDescent="0.3">
      <c r="A17" s="8" t="s">
        <v>24</v>
      </c>
      <c r="B17" s="8" t="s">
        <v>25</v>
      </c>
      <c r="C17" s="8" t="s">
        <v>26</v>
      </c>
      <c r="D17" s="8" t="s">
        <v>46</v>
      </c>
      <c r="E17" s="8" t="s">
        <v>47</v>
      </c>
      <c r="F17" s="8" t="s">
        <v>54</v>
      </c>
      <c r="G17" s="8" t="s">
        <v>59</v>
      </c>
      <c r="H17" s="8" t="s">
        <v>60</v>
      </c>
      <c r="I17" s="8" t="s">
        <v>61</v>
      </c>
      <c r="J17" s="28">
        <v>45695.430972222224</v>
      </c>
      <c r="K17" s="28">
        <v>45863.464583333334</v>
      </c>
      <c r="L17" s="8" t="s">
        <v>33</v>
      </c>
      <c r="M17" s="8" t="s">
        <v>34</v>
      </c>
      <c r="N17" s="29">
        <v>0</v>
      </c>
      <c r="O17" s="29">
        <v>1</v>
      </c>
      <c r="P17" s="8" t="s">
        <v>35</v>
      </c>
      <c r="Q17" s="8" t="s">
        <v>36</v>
      </c>
      <c r="R17" s="8" t="s">
        <v>52</v>
      </c>
      <c r="S17" s="8" t="s">
        <v>38</v>
      </c>
      <c r="V17" s="26" t="str">
        <f>VLOOKUP(MID(Table1[[#This Row],[Nodo]],1,12),Tabla2[#Data],2,FALSE)</f>
        <v>DESEMBOBINADOR</v>
      </c>
      <c r="W17" s="26" t="str">
        <f t="shared" si="1"/>
        <v>ELE</v>
      </c>
      <c r="X17" s="26" t="e">
        <f>VLOOKUP(MID([1]!Table1[[#This Row],[Nodo]],1,7),[1]!Tabla5[#Data],2,FALSE)</f>
        <v>#N/A</v>
      </c>
    </row>
    <row r="18" spans="1:24" x14ac:dyDescent="0.3">
      <c r="A18" s="8" t="s">
        <v>24</v>
      </c>
      <c r="B18" s="8" t="s">
        <v>25</v>
      </c>
      <c r="C18" s="8" t="s">
        <v>26</v>
      </c>
      <c r="D18" s="8" t="s">
        <v>46</v>
      </c>
      <c r="E18" s="8" t="s">
        <v>47</v>
      </c>
      <c r="F18" s="8" t="s">
        <v>55</v>
      </c>
      <c r="G18" s="8" t="s">
        <v>59</v>
      </c>
      <c r="H18" s="8" t="s">
        <v>60</v>
      </c>
      <c r="I18" s="8" t="s">
        <v>61</v>
      </c>
      <c r="J18" s="28">
        <v>45695.430972222224</v>
      </c>
      <c r="K18" s="28">
        <v>45863.464583333334</v>
      </c>
      <c r="L18" s="8" t="s">
        <v>33</v>
      </c>
      <c r="M18" s="8" t="s">
        <v>34</v>
      </c>
      <c r="N18" s="29">
        <v>0</v>
      </c>
      <c r="O18" s="29">
        <v>1</v>
      </c>
      <c r="P18" s="8" t="s">
        <v>35</v>
      </c>
      <c r="Q18" s="8" t="s">
        <v>36</v>
      </c>
      <c r="R18" s="8" t="s">
        <v>52</v>
      </c>
      <c r="S18" s="8" t="s">
        <v>38</v>
      </c>
      <c r="V18" s="26" t="str">
        <f>VLOOKUP(MID(Table1[[#This Row],[Nodo]],1,12),Tabla2[#Data],2,FALSE)</f>
        <v>DESEMBOBINADOR</v>
      </c>
      <c r="W18" s="26" t="str">
        <f t="shared" si="1"/>
        <v>ELE</v>
      </c>
      <c r="X18" s="26" t="e">
        <f>VLOOKUP(MID([1]!Table1[[#This Row],[Nodo]],1,7),[1]!Tabla5[#Data],2,FALSE)</f>
        <v>#N/A</v>
      </c>
    </row>
    <row r="19" spans="1:24" x14ac:dyDescent="0.3">
      <c r="A19" s="8" t="s">
        <v>24</v>
      </c>
      <c r="B19" s="8" t="s">
        <v>25</v>
      </c>
      <c r="C19" s="8" t="s">
        <v>26</v>
      </c>
      <c r="D19" s="8" t="s">
        <v>46</v>
      </c>
      <c r="E19" s="8" t="s">
        <v>47</v>
      </c>
      <c r="F19" s="8" t="s">
        <v>56</v>
      </c>
      <c r="G19" s="8" t="s">
        <v>59</v>
      </c>
      <c r="H19" s="8" t="s">
        <v>60</v>
      </c>
      <c r="I19" s="8" t="s">
        <v>61</v>
      </c>
      <c r="J19" s="28">
        <v>45695.430972222224</v>
      </c>
      <c r="K19" s="28">
        <v>45863.464583333334</v>
      </c>
      <c r="L19" s="8" t="s">
        <v>33</v>
      </c>
      <c r="M19" s="8" t="s">
        <v>34</v>
      </c>
      <c r="N19" s="29">
        <v>0</v>
      </c>
      <c r="O19" s="29">
        <v>1</v>
      </c>
      <c r="P19" s="8" t="s">
        <v>35</v>
      </c>
      <c r="Q19" s="8" t="s">
        <v>36</v>
      </c>
      <c r="R19" s="8" t="s">
        <v>52</v>
      </c>
      <c r="S19" s="8" t="s">
        <v>38</v>
      </c>
      <c r="V19" s="26" t="str">
        <f>VLOOKUP(MID(Table1[[#This Row],[Nodo]],1,12),Tabla2[#Data],2,FALSE)</f>
        <v>DESEMBOBINADOR</v>
      </c>
      <c r="W19" s="26" t="str">
        <f t="shared" si="1"/>
        <v>ELE</v>
      </c>
      <c r="X19" s="26" t="e">
        <f>VLOOKUP(MID([1]!Table1[[#This Row],[Nodo]],1,7),[1]!Tabla5[#Data],2,FALSE)</f>
        <v>#N/A</v>
      </c>
    </row>
    <row r="20" spans="1:24" x14ac:dyDescent="0.3">
      <c r="A20" s="8" t="s">
        <v>24</v>
      </c>
      <c r="B20" s="8" t="s">
        <v>25</v>
      </c>
      <c r="C20" s="8" t="s">
        <v>26</v>
      </c>
      <c r="D20" s="8" t="s">
        <v>46</v>
      </c>
      <c r="E20" s="8" t="s">
        <v>47</v>
      </c>
      <c r="F20" s="8" t="s">
        <v>57</v>
      </c>
      <c r="G20" s="8" t="s">
        <v>59</v>
      </c>
      <c r="H20" s="8" t="s">
        <v>60</v>
      </c>
      <c r="I20" s="8" t="s">
        <v>61</v>
      </c>
      <c r="J20" s="28">
        <v>45695.430972222224</v>
      </c>
      <c r="K20" s="28">
        <v>45863.464583333334</v>
      </c>
      <c r="L20" s="8" t="s">
        <v>33</v>
      </c>
      <c r="M20" s="8" t="s">
        <v>34</v>
      </c>
      <c r="N20" s="29">
        <v>0</v>
      </c>
      <c r="O20" s="29">
        <v>1</v>
      </c>
      <c r="P20" s="8" t="s">
        <v>35</v>
      </c>
      <c r="Q20" s="8" t="s">
        <v>36</v>
      </c>
      <c r="R20" s="8" t="s">
        <v>52</v>
      </c>
      <c r="S20" s="8" t="s">
        <v>38</v>
      </c>
      <c r="V20" s="26" t="str">
        <f>VLOOKUP(MID(Table1[[#This Row],[Nodo]],1,12),Tabla2[#Data],2,FALSE)</f>
        <v>DESEMBOBINADOR</v>
      </c>
      <c r="W20" s="26" t="str">
        <f t="shared" si="1"/>
        <v>ELE</v>
      </c>
      <c r="X20" s="26" t="e">
        <f>VLOOKUP(MID([1]!Table1[[#This Row],[Nodo]],1,7),[1]!Tabla5[#Data],2,FALSE)</f>
        <v>#N/A</v>
      </c>
    </row>
    <row r="21" spans="1:24" x14ac:dyDescent="0.3">
      <c r="A21" s="8" t="s">
        <v>24</v>
      </c>
      <c r="B21" s="8" t="s">
        <v>25</v>
      </c>
      <c r="C21" s="8" t="s">
        <v>26</v>
      </c>
      <c r="D21" s="8" t="s">
        <v>46</v>
      </c>
      <c r="E21" s="8" t="s">
        <v>47</v>
      </c>
      <c r="F21" s="8" t="s">
        <v>58</v>
      </c>
      <c r="G21" s="8" t="s">
        <v>59</v>
      </c>
      <c r="H21" s="8" t="s">
        <v>60</v>
      </c>
      <c r="I21" s="8" t="s">
        <v>61</v>
      </c>
      <c r="J21" s="28">
        <v>45695.430972222224</v>
      </c>
      <c r="K21" s="28">
        <v>45863.464583333334</v>
      </c>
      <c r="L21" s="8" t="s">
        <v>33</v>
      </c>
      <c r="M21" s="8" t="s">
        <v>34</v>
      </c>
      <c r="N21" s="29">
        <v>0</v>
      </c>
      <c r="O21" s="29">
        <v>1</v>
      </c>
      <c r="P21" s="8" t="s">
        <v>35</v>
      </c>
      <c r="Q21" s="8" t="s">
        <v>36</v>
      </c>
      <c r="R21" s="8" t="s">
        <v>52</v>
      </c>
      <c r="S21" s="8" t="s">
        <v>38</v>
      </c>
      <c r="V21" s="26" t="str">
        <f>VLOOKUP(MID(Table1[[#This Row],[Nodo]],1,12),Tabla2[#Data],2,FALSE)</f>
        <v>DESEMBOBINADOR</v>
      </c>
      <c r="W21" s="26" t="str">
        <f t="shared" si="1"/>
        <v>ELE</v>
      </c>
      <c r="X21" s="26" t="e">
        <f>VLOOKUP(MID([1]!Table1[[#This Row],[Nodo]],1,7),[1]!Tabla5[#Data],2,FALSE)</f>
        <v>#N/A</v>
      </c>
    </row>
    <row r="22" spans="1:24" x14ac:dyDescent="0.3">
      <c r="A22" s="8" t="s">
        <v>24</v>
      </c>
      <c r="B22" s="8" t="s">
        <v>25</v>
      </c>
      <c r="C22" s="8" t="s">
        <v>26</v>
      </c>
      <c r="D22" s="8" t="s">
        <v>46</v>
      </c>
      <c r="E22" s="8" t="s">
        <v>47</v>
      </c>
      <c r="F22" s="8" t="s">
        <v>48</v>
      </c>
      <c r="G22" s="8" t="s">
        <v>30</v>
      </c>
      <c r="H22" s="8" t="s">
        <v>31</v>
      </c>
      <c r="I22" s="8" t="s">
        <v>32</v>
      </c>
      <c r="J22" s="28">
        <v>45695.431006944447</v>
      </c>
      <c r="K22" s="28">
        <v>45863.464583333334</v>
      </c>
      <c r="L22" s="8" t="s">
        <v>33</v>
      </c>
      <c r="M22" s="8" t="s">
        <v>34</v>
      </c>
      <c r="N22" s="29">
        <v>0</v>
      </c>
      <c r="O22" s="29">
        <v>1</v>
      </c>
      <c r="P22" s="8" t="s">
        <v>35</v>
      </c>
      <c r="Q22" s="8" t="s">
        <v>36</v>
      </c>
      <c r="R22" s="8" t="s">
        <v>52</v>
      </c>
      <c r="S22" s="8" t="s">
        <v>38</v>
      </c>
      <c r="V22" s="26" t="str">
        <f>VLOOKUP(MID(Table1[[#This Row],[Nodo]],1,12),Tabla2[#Data],2,FALSE)</f>
        <v>ESTACION DE FORMADO</v>
      </c>
      <c r="W22" s="26" t="str">
        <f t="shared" si="1"/>
        <v>ELE</v>
      </c>
      <c r="X22" s="26" t="e">
        <f>VLOOKUP(MID([1]!Table1[[#This Row],[Nodo]],1,7),[1]!Tabla5[#Data],2,FALSE)</f>
        <v>#N/A</v>
      </c>
    </row>
    <row r="23" spans="1:24" x14ac:dyDescent="0.3">
      <c r="A23" s="8" t="s">
        <v>24</v>
      </c>
      <c r="B23" s="8" t="s">
        <v>25</v>
      </c>
      <c r="C23" s="8" t="s">
        <v>26</v>
      </c>
      <c r="D23" s="8" t="s">
        <v>46</v>
      </c>
      <c r="E23" s="8" t="s">
        <v>47</v>
      </c>
      <c r="F23" s="8" t="s">
        <v>53</v>
      </c>
      <c r="G23" s="8" t="s">
        <v>30</v>
      </c>
      <c r="H23" s="8" t="s">
        <v>31</v>
      </c>
      <c r="I23" s="8" t="s">
        <v>32</v>
      </c>
      <c r="J23" s="28">
        <v>45695.431006944447</v>
      </c>
      <c r="K23" s="28">
        <v>45863.464583333334</v>
      </c>
      <c r="L23" s="8" t="s">
        <v>33</v>
      </c>
      <c r="M23" s="8" t="s">
        <v>34</v>
      </c>
      <c r="N23" s="29">
        <v>0</v>
      </c>
      <c r="O23" s="29">
        <v>1</v>
      </c>
      <c r="P23" s="8" t="s">
        <v>35</v>
      </c>
      <c r="Q23" s="8" t="s">
        <v>36</v>
      </c>
      <c r="R23" s="8" t="s">
        <v>52</v>
      </c>
      <c r="S23" s="8" t="s">
        <v>38</v>
      </c>
      <c r="V23" s="26" t="str">
        <f>VLOOKUP(MID(Table1[[#This Row],[Nodo]],1,12),Tabla2[#Data],2,FALSE)</f>
        <v>ESTACION DE FORMADO</v>
      </c>
      <c r="W23" s="26" t="str">
        <f t="shared" si="1"/>
        <v>ELE</v>
      </c>
      <c r="X23" s="26" t="e">
        <f>VLOOKUP(MID([1]!Table1[[#This Row],[Nodo]],1,7),[1]!Tabla5[#Data],2,FALSE)</f>
        <v>#N/A</v>
      </c>
    </row>
    <row r="24" spans="1:24" x14ac:dyDescent="0.3">
      <c r="A24" s="8" t="s">
        <v>24</v>
      </c>
      <c r="B24" s="8" t="s">
        <v>25</v>
      </c>
      <c r="C24" s="8" t="s">
        <v>26</v>
      </c>
      <c r="D24" s="8" t="s">
        <v>46</v>
      </c>
      <c r="E24" s="8" t="s">
        <v>47</v>
      </c>
      <c r="F24" s="8" t="s">
        <v>54</v>
      </c>
      <c r="G24" s="8" t="s">
        <v>30</v>
      </c>
      <c r="H24" s="8" t="s">
        <v>31</v>
      </c>
      <c r="I24" s="8" t="s">
        <v>32</v>
      </c>
      <c r="J24" s="28">
        <v>45695.431006944447</v>
      </c>
      <c r="K24" s="28">
        <v>45863.464583333334</v>
      </c>
      <c r="L24" s="8" t="s">
        <v>33</v>
      </c>
      <c r="M24" s="8" t="s">
        <v>34</v>
      </c>
      <c r="N24" s="29">
        <v>0</v>
      </c>
      <c r="O24" s="29">
        <v>1</v>
      </c>
      <c r="P24" s="8" t="s">
        <v>35</v>
      </c>
      <c r="Q24" s="8" t="s">
        <v>36</v>
      </c>
      <c r="R24" s="8" t="s">
        <v>52</v>
      </c>
      <c r="S24" s="8" t="s">
        <v>38</v>
      </c>
      <c r="V24" s="26" t="str">
        <f>VLOOKUP(MID(Table1[[#This Row],[Nodo]],1,12),Tabla2[#Data],2,FALSE)</f>
        <v>ESTACION DE FORMADO</v>
      </c>
      <c r="W24" s="26" t="str">
        <f t="shared" si="1"/>
        <v>ELE</v>
      </c>
      <c r="X24" s="26" t="e">
        <f>VLOOKUP(MID([1]!Table1[[#This Row],[Nodo]],1,7),[1]!Tabla5[#Data],2,FALSE)</f>
        <v>#N/A</v>
      </c>
    </row>
    <row r="25" spans="1:24" x14ac:dyDescent="0.3">
      <c r="A25" s="8" t="s">
        <v>24</v>
      </c>
      <c r="B25" s="8" t="s">
        <v>25</v>
      </c>
      <c r="C25" s="8" t="s">
        <v>26</v>
      </c>
      <c r="D25" s="8" t="s">
        <v>46</v>
      </c>
      <c r="E25" s="8" t="s">
        <v>47</v>
      </c>
      <c r="F25" s="8" t="s">
        <v>55</v>
      </c>
      <c r="G25" s="8" t="s">
        <v>30</v>
      </c>
      <c r="H25" s="8" t="s">
        <v>31</v>
      </c>
      <c r="I25" s="8" t="s">
        <v>32</v>
      </c>
      <c r="J25" s="28">
        <v>45695.431006944447</v>
      </c>
      <c r="K25" s="28">
        <v>45863.464583333334</v>
      </c>
      <c r="L25" s="8" t="s">
        <v>33</v>
      </c>
      <c r="M25" s="8" t="s">
        <v>34</v>
      </c>
      <c r="N25" s="29">
        <v>0</v>
      </c>
      <c r="O25" s="29">
        <v>1</v>
      </c>
      <c r="P25" s="8" t="s">
        <v>35</v>
      </c>
      <c r="Q25" s="8" t="s">
        <v>36</v>
      </c>
      <c r="R25" s="8" t="s">
        <v>52</v>
      </c>
      <c r="S25" s="8" t="s">
        <v>38</v>
      </c>
      <c r="V25" s="26" t="str">
        <f>VLOOKUP(MID(Table1[[#This Row],[Nodo]],1,12),Tabla2[#Data],2,FALSE)</f>
        <v>ESTACION DE FORMADO</v>
      </c>
      <c r="W25" s="26" t="str">
        <f t="shared" si="1"/>
        <v>ELE</v>
      </c>
      <c r="X25" s="26" t="e">
        <f>VLOOKUP(MID([1]!Table1[[#This Row],[Nodo]],1,7),[1]!Tabla5[#Data],2,FALSE)</f>
        <v>#N/A</v>
      </c>
    </row>
    <row r="26" spans="1:24" x14ac:dyDescent="0.3">
      <c r="A26" s="8" t="s">
        <v>24</v>
      </c>
      <c r="B26" s="8" t="s">
        <v>25</v>
      </c>
      <c r="C26" s="8" t="s">
        <v>26</v>
      </c>
      <c r="D26" s="8" t="s">
        <v>46</v>
      </c>
      <c r="E26" s="8" t="s">
        <v>47</v>
      </c>
      <c r="F26" s="8" t="s">
        <v>56</v>
      </c>
      <c r="G26" s="8" t="s">
        <v>30</v>
      </c>
      <c r="H26" s="8" t="s">
        <v>31</v>
      </c>
      <c r="I26" s="8" t="s">
        <v>32</v>
      </c>
      <c r="J26" s="28">
        <v>45695.431006944447</v>
      </c>
      <c r="K26" s="28">
        <v>45863.464583333334</v>
      </c>
      <c r="L26" s="8" t="s">
        <v>33</v>
      </c>
      <c r="M26" s="8" t="s">
        <v>34</v>
      </c>
      <c r="N26" s="29">
        <v>0</v>
      </c>
      <c r="O26" s="29">
        <v>1</v>
      </c>
      <c r="P26" s="8" t="s">
        <v>35</v>
      </c>
      <c r="Q26" s="8" t="s">
        <v>36</v>
      </c>
      <c r="R26" s="8" t="s">
        <v>52</v>
      </c>
      <c r="S26" s="8" t="s">
        <v>38</v>
      </c>
      <c r="V26" s="26" t="str">
        <f>VLOOKUP(MID(Table1[[#This Row],[Nodo]],1,12),Tabla2[#Data],2,FALSE)</f>
        <v>ESTACION DE FORMADO</v>
      </c>
      <c r="W26" s="26" t="str">
        <f t="shared" si="1"/>
        <v>ELE</v>
      </c>
      <c r="X26" s="26" t="e">
        <f>VLOOKUP(MID([1]!Table1[[#This Row],[Nodo]],1,7),[1]!Tabla5[#Data],2,FALSE)</f>
        <v>#N/A</v>
      </c>
    </row>
    <row r="27" spans="1:24" x14ac:dyDescent="0.3">
      <c r="A27" s="8" t="s">
        <v>24</v>
      </c>
      <c r="B27" s="8" t="s">
        <v>25</v>
      </c>
      <c r="C27" s="8" t="s">
        <v>26</v>
      </c>
      <c r="D27" s="8" t="s">
        <v>46</v>
      </c>
      <c r="E27" s="8" t="s">
        <v>47</v>
      </c>
      <c r="F27" s="8" t="s">
        <v>57</v>
      </c>
      <c r="G27" s="8" t="s">
        <v>30</v>
      </c>
      <c r="H27" s="8" t="s">
        <v>31</v>
      </c>
      <c r="I27" s="8" t="s">
        <v>32</v>
      </c>
      <c r="J27" s="28">
        <v>45695.431006944447</v>
      </c>
      <c r="K27" s="28">
        <v>45863.464583333334</v>
      </c>
      <c r="L27" s="8" t="s">
        <v>33</v>
      </c>
      <c r="M27" s="8" t="s">
        <v>34</v>
      </c>
      <c r="N27" s="29">
        <v>0</v>
      </c>
      <c r="O27" s="29">
        <v>1</v>
      </c>
      <c r="P27" s="8" t="s">
        <v>35</v>
      </c>
      <c r="Q27" s="8" t="s">
        <v>36</v>
      </c>
      <c r="R27" s="8" t="s">
        <v>52</v>
      </c>
      <c r="S27" s="8" t="s">
        <v>38</v>
      </c>
      <c r="V27" s="26" t="str">
        <f>VLOOKUP(MID(Table1[[#This Row],[Nodo]],1,12),Tabla2[#Data],2,FALSE)</f>
        <v>ESTACION DE FORMADO</v>
      </c>
      <c r="W27" s="26" t="str">
        <f t="shared" si="1"/>
        <v>ELE</v>
      </c>
      <c r="X27" s="26" t="e">
        <f>VLOOKUP(MID([1]!Table1[[#This Row],[Nodo]],1,7),[1]!Tabla5[#Data],2,FALSE)</f>
        <v>#N/A</v>
      </c>
    </row>
    <row r="28" spans="1:24" x14ac:dyDescent="0.3">
      <c r="A28" s="8" t="s">
        <v>24</v>
      </c>
      <c r="B28" s="8" t="s">
        <v>25</v>
      </c>
      <c r="C28" s="8" t="s">
        <v>26</v>
      </c>
      <c r="D28" s="8" t="s">
        <v>46</v>
      </c>
      <c r="E28" s="8" t="s">
        <v>47</v>
      </c>
      <c r="F28" s="8" t="s">
        <v>58</v>
      </c>
      <c r="G28" s="8" t="s">
        <v>30</v>
      </c>
      <c r="H28" s="8" t="s">
        <v>31</v>
      </c>
      <c r="I28" s="8" t="s">
        <v>32</v>
      </c>
      <c r="J28" s="28">
        <v>45695.431006944447</v>
      </c>
      <c r="K28" s="28">
        <v>45863.464583333334</v>
      </c>
      <c r="L28" s="8" t="s">
        <v>33</v>
      </c>
      <c r="M28" s="8" t="s">
        <v>34</v>
      </c>
      <c r="N28" s="29">
        <v>0</v>
      </c>
      <c r="O28" s="29">
        <v>1</v>
      </c>
      <c r="P28" s="8" t="s">
        <v>35</v>
      </c>
      <c r="Q28" s="8" t="s">
        <v>36</v>
      </c>
      <c r="R28" s="8" t="s">
        <v>52</v>
      </c>
      <c r="S28" s="8" t="s">
        <v>38</v>
      </c>
      <c r="V28" s="26" t="str">
        <f>VLOOKUP(MID(Table1[[#This Row],[Nodo]],1,12),Tabla2[#Data],2,FALSE)</f>
        <v>ESTACION DE FORMADO</v>
      </c>
      <c r="W28" s="26" t="str">
        <f t="shared" si="1"/>
        <v>ELE</v>
      </c>
      <c r="X28" s="26" t="e">
        <f>VLOOKUP(MID([1]!Table1[[#This Row],[Nodo]],1,7),[1]!Tabla5[#Data],2,FALSE)</f>
        <v>#N/A</v>
      </c>
    </row>
    <row r="29" spans="1:24" x14ac:dyDescent="0.3">
      <c r="A29" s="8" t="s">
        <v>24</v>
      </c>
      <c r="B29" s="8" t="s">
        <v>25</v>
      </c>
      <c r="C29" s="8" t="s">
        <v>26</v>
      </c>
      <c r="D29" s="8" t="s">
        <v>46</v>
      </c>
      <c r="E29" s="8" t="s">
        <v>47</v>
      </c>
      <c r="F29" s="8" t="s">
        <v>48</v>
      </c>
      <c r="G29" s="8" t="s">
        <v>40</v>
      </c>
      <c r="H29" s="8" t="s">
        <v>41</v>
      </c>
      <c r="I29" s="8" t="s">
        <v>42</v>
      </c>
      <c r="J29" s="28">
        <v>45695.431006944447</v>
      </c>
      <c r="K29" s="28">
        <v>45863.464583333334</v>
      </c>
      <c r="L29" s="8" t="s">
        <v>33</v>
      </c>
      <c r="M29" s="8" t="s">
        <v>34</v>
      </c>
      <c r="N29" s="29">
        <v>0</v>
      </c>
      <c r="O29" s="29">
        <v>1</v>
      </c>
      <c r="P29" s="8" t="s">
        <v>35</v>
      </c>
      <c r="Q29" s="8" t="s">
        <v>36</v>
      </c>
      <c r="R29" s="8" t="s">
        <v>52</v>
      </c>
      <c r="S29" s="8" t="s">
        <v>38</v>
      </c>
      <c r="V29" s="26" t="str">
        <f>VLOOKUP(MID(Table1[[#This Row],[Nodo]],1,12),Tabla2[#Data],2,FALSE)</f>
        <v>ESTACION DE FORMADO</v>
      </c>
      <c r="W29" s="26" t="str">
        <f t="shared" si="1"/>
        <v>ELE</v>
      </c>
      <c r="X29" s="26" t="e">
        <f>VLOOKUP(MID([1]!Table1[[#This Row],[Nodo]],1,7),[1]!Tabla5[#Data],2,FALSE)</f>
        <v>#N/A</v>
      </c>
    </row>
    <row r="30" spans="1:24" x14ac:dyDescent="0.3">
      <c r="A30" s="8" t="s">
        <v>24</v>
      </c>
      <c r="B30" s="8" t="s">
        <v>25</v>
      </c>
      <c r="C30" s="8" t="s">
        <v>26</v>
      </c>
      <c r="D30" s="8" t="s">
        <v>46</v>
      </c>
      <c r="E30" s="8" t="s">
        <v>47</v>
      </c>
      <c r="F30" s="8" t="s">
        <v>53</v>
      </c>
      <c r="G30" s="8" t="s">
        <v>40</v>
      </c>
      <c r="H30" s="8" t="s">
        <v>41</v>
      </c>
      <c r="I30" s="8" t="s">
        <v>42</v>
      </c>
      <c r="J30" s="28">
        <v>45695.431006944447</v>
      </c>
      <c r="K30" s="28">
        <v>45863.464583333334</v>
      </c>
      <c r="L30" s="8" t="s">
        <v>33</v>
      </c>
      <c r="M30" s="8" t="s">
        <v>34</v>
      </c>
      <c r="N30" s="29">
        <v>0</v>
      </c>
      <c r="O30" s="29">
        <v>1</v>
      </c>
      <c r="P30" s="8" t="s">
        <v>35</v>
      </c>
      <c r="Q30" s="8" t="s">
        <v>36</v>
      </c>
      <c r="R30" s="8" t="s">
        <v>52</v>
      </c>
      <c r="S30" s="8" t="s">
        <v>38</v>
      </c>
      <c r="V30" s="26" t="str">
        <f>VLOOKUP(MID(Table1[[#This Row],[Nodo]],1,12),Tabla2[#Data],2,FALSE)</f>
        <v>ESTACION DE FORMADO</v>
      </c>
      <c r="W30" s="26" t="str">
        <f t="shared" si="1"/>
        <v>ELE</v>
      </c>
      <c r="X30" s="26" t="e">
        <f>VLOOKUP(MID([1]!Table1[[#This Row],[Nodo]],1,7),[1]!Tabla5[#Data],2,FALSE)</f>
        <v>#N/A</v>
      </c>
    </row>
    <row r="31" spans="1:24" x14ac:dyDescent="0.3">
      <c r="A31" s="8" t="s">
        <v>24</v>
      </c>
      <c r="B31" s="8" t="s">
        <v>25</v>
      </c>
      <c r="C31" s="8" t="s">
        <v>26</v>
      </c>
      <c r="D31" s="8" t="s">
        <v>46</v>
      </c>
      <c r="E31" s="8" t="s">
        <v>47</v>
      </c>
      <c r="F31" s="8" t="s">
        <v>54</v>
      </c>
      <c r="G31" s="8" t="s">
        <v>40</v>
      </c>
      <c r="H31" s="8" t="s">
        <v>41</v>
      </c>
      <c r="I31" s="8" t="s">
        <v>42</v>
      </c>
      <c r="J31" s="28">
        <v>45695.431006944447</v>
      </c>
      <c r="K31" s="28">
        <v>45863.464583333334</v>
      </c>
      <c r="L31" s="8" t="s">
        <v>33</v>
      </c>
      <c r="M31" s="8" t="s">
        <v>34</v>
      </c>
      <c r="N31" s="29">
        <v>0</v>
      </c>
      <c r="O31" s="29">
        <v>1</v>
      </c>
      <c r="P31" s="8" t="s">
        <v>35</v>
      </c>
      <c r="Q31" s="8" t="s">
        <v>36</v>
      </c>
      <c r="R31" s="8" t="s">
        <v>52</v>
      </c>
      <c r="S31" s="8" t="s">
        <v>38</v>
      </c>
      <c r="V31" s="26" t="str">
        <f>VLOOKUP(MID(Table1[[#This Row],[Nodo]],1,12),Tabla2[#Data],2,FALSE)</f>
        <v>ESTACION DE FORMADO</v>
      </c>
      <c r="W31" s="26" t="str">
        <f t="shared" si="1"/>
        <v>ELE</v>
      </c>
      <c r="X31" s="26" t="e">
        <f>VLOOKUP(MID([1]!Table1[[#This Row],[Nodo]],1,7),[1]!Tabla5[#Data],2,FALSE)</f>
        <v>#N/A</v>
      </c>
    </row>
    <row r="32" spans="1:24" x14ac:dyDescent="0.3">
      <c r="A32" s="8" t="s">
        <v>24</v>
      </c>
      <c r="B32" s="8" t="s">
        <v>25</v>
      </c>
      <c r="C32" s="8" t="s">
        <v>26</v>
      </c>
      <c r="D32" s="8" t="s">
        <v>46</v>
      </c>
      <c r="E32" s="8" t="s">
        <v>47</v>
      </c>
      <c r="F32" s="8" t="s">
        <v>55</v>
      </c>
      <c r="G32" s="8" t="s">
        <v>40</v>
      </c>
      <c r="H32" s="8" t="s">
        <v>41</v>
      </c>
      <c r="I32" s="8" t="s">
        <v>42</v>
      </c>
      <c r="J32" s="28">
        <v>45695.431006944447</v>
      </c>
      <c r="K32" s="28">
        <v>45863.464583333334</v>
      </c>
      <c r="L32" s="8" t="s">
        <v>33</v>
      </c>
      <c r="M32" s="8" t="s">
        <v>34</v>
      </c>
      <c r="N32" s="29">
        <v>0</v>
      </c>
      <c r="O32" s="29">
        <v>1</v>
      </c>
      <c r="P32" s="8" t="s">
        <v>35</v>
      </c>
      <c r="Q32" s="8" t="s">
        <v>36</v>
      </c>
      <c r="R32" s="8" t="s">
        <v>52</v>
      </c>
      <c r="S32" s="8" t="s">
        <v>38</v>
      </c>
      <c r="V32" s="26" t="str">
        <f>VLOOKUP(MID(Table1[[#This Row],[Nodo]],1,12),Tabla2[#Data],2,FALSE)</f>
        <v>ESTACION DE FORMADO</v>
      </c>
      <c r="W32" s="26" t="str">
        <f t="shared" si="1"/>
        <v>ELE</v>
      </c>
      <c r="X32" s="26" t="e">
        <f>VLOOKUP(MID([1]!Table1[[#This Row],[Nodo]],1,7),[1]!Tabla5[#Data],2,FALSE)</f>
        <v>#N/A</v>
      </c>
    </row>
    <row r="33" spans="1:24" x14ac:dyDescent="0.3">
      <c r="A33" s="8" t="s">
        <v>24</v>
      </c>
      <c r="B33" s="8" t="s">
        <v>25</v>
      </c>
      <c r="C33" s="8" t="s">
        <v>26</v>
      </c>
      <c r="D33" s="8" t="s">
        <v>46</v>
      </c>
      <c r="E33" s="8" t="s">
        <v>47</v>
      </c>
      <c r="F33" s="8" t="s">
        <v>56</v>
      </c>
      <c r="G33" s="8" t="s">
        <v>40</v>
      </c>
      <c r="H33" s="8" t="s">
        <v>41</v>
      </c>
      <c r="I33" s="8" t="s">
        <v>42</v>
      </c>
      <c r="J33" s="28">
        <v>45695.431006944447</v>
      </c>
      <c r="K33" s="28">
        <v>45863.464583333334</v>
      </c>
      <c r="L33" s="8" t="s">
        <v>33</v>
      </c>
      <c r="M33" s="8" t="s">
        <v>34</v>
      </c>
      <c r="N33" s="29">
        <v>0</v>
      </c>
      <c r="O33" s="29">
        <v>1</v>
      </c>
      <c r="P33" s="8" t="s">
        <v>35</v>
      </c>
      <c r="Q33" s="8" t="s">
        <v>36</v>
      </c>
      <c r="R33" s="8" t="s">
        <v>52</v>
      </c>
      <c r="S33" s="8" t="s">
        <v>38</v>
      </c>
      <c r="V33" s="26" t="str">
        <f>VLOOKUP(MID(Table1[[#This Row],[Nodo]],1,12),Tabla2[#Data],2,FALSE)</f>
        <v>ESTACION DE FORMADO</v>
      </c>
      <c r="W33" s="26" t="str">
        <f t="shared" si="1"/>
        <v>ELE</v>
      </c>
      <c r="X33" s="26" t="e">
        <f>VLOOKUP(MID([1]!Table1[[#This Row],[Nodo]],1,7),[1]!Tabla5[#Data],2,FALSE)</f>
        <v>#N/A</v>
      </c>
    </row>
    <row r="34" spans="1:24" x14ac:dyDescent="0.3">
      <c r="A34" s="8" t="s">
        <v>24</v>
      </c>
      <c r="B34" s="8" t="s">
        <v>25</v>
      </c>
      <c r="C34" s="8" t="s">
        <v>26</v>
      </c>
      <c r="D34" s="8" t="s">
        <v>46</v>
      </c>
      <c r="E34" s="8" t="s">
        <v>47</v>
      </c>
      <c r="F34" s="8" t="s">
        <v>57</v>
      </c>
      <c r="G34" s="8" t="s">
        <v>40</v>
      </c>
      <c r="H34" s="8" t="s">
        <v>41</v>
      </c>
      <c r="I34" s="8" t="s">
        <v>42</v>
      </c>
      <c r="J34" s="28">
        <v>45695.431006944447</v>
      </c>
      <c r="K34" s="28">
        <v>45863.464583333334</v>
      </c>
      <c r="L34" s="8" t="s">
        <v>33</v>
      </c>
      <c r="M34" s="8" t="s">
        <v>34</v>
      </c>
      <c r="N34" s="29">
        <v>0</v>
      </c>
      <c r="O34" s="29">
        <v>1</v>
      </c>
      <c r="P34" s="8" t="s">
        <v>35</v>
      </c>
      <c r="Q34" s="8" t="s">
        <v>36</v>
      </c>
      <c r="R34" s="8" t="s">
        <v>52</v>
      </c>
      <c r="S34" s="8" t="s">
        <v>38</v>
      </c>
      <c r="V34" s="26" t="str">
        <f>VLOOKUP(MID(Table1[[#This Row],[Nodo]],1,12),Tabla2[#Data],2,FALSE)</f>
        <v>ESTACION DE FORMADO</v>
      </c>
      <c r="W34" s="26" t="str">
        <f t="shared" si="1"/>
        <v>ELE</v>
      </c>
      <c r="X34" s="26" t="e">
        <f>VLOOKUP(MID([1]!Table1[[#This Row],[Nodo]],1,7),[1]!Tabla5[#Data],2,FALSE)</f>
        <v>#N/A</v>
      </c>
    </row>
    <row r="35" spans="1:24" x14ac:dyDescent="0.3">
      <c r="A35" s="8" t="s">
        <v>24</v>
      </c>
      <c r="B35" s="8" t="s">
        <v>25</v>
      </c>
      <c r="C35" s="8" t="s">
        <v>26</v>
      </c>
      <c r="D35" s="8" t="s">
        <v>46</v>
      </c>
      <c r="E35" s="8" t="s">
        <v>47</v>
      </c>
      <c r="F35" s="8" t="s">
        <v>58</v>
      </c>
      <c r="G35" s="8" t="s">
        <v>40</v>
      </c>
      <c r="H35" s="8" t="s">
        <v>41</v>
      </c>
      <c r="I35" s="8" t="s">
        <v>42</v>
      </c>
      <c r="J35" s="28">
        <v>45695.431006944447</v>
      </c>
      <c r="K35" s="28">
        <v>45863.464583333334</v>
      </c>
      <c r="L35" s="8" t="s">
        <v>33</v>
      </c>
      <c r="M35" s="8" t="s">
        <v>34</v>
      </c>
      <c r="N35" s="29">
        <v>0</v>
      </c>
      <c r="O35" s="29">
        <v>1</v>
      </c>
      <c r="P35" s="8" t="s">
        <v>35</v>
      </c>
      <c r="Q35" s="8" t="s">
        <v>36</v>
      </c>
      <c r="R35" s="8" t="s">
        <v>52</v>
      </c>
      <c r="S35" s="8" t="s">
        <v>38</v>
      </c>
      <c r="V35" s="26" t="str">
        <f>VLOOKUP(MID(Table1[[#This Row],[Nodo]],1,12),Tabla2[#Data],2,FALSE)</f>
        <v>ESTACION DE FORMADO</v>
      </c>
      <c r="W35" s="26" t="str">
        <f t="shared" si="1"/>
        <v>ELE</v>
      </c>
      <c r="X35" s="26" t="e">
        <f>VLOOKUP(MID([1]!Table1[[#This Row],[Nodo]],1,7),[1]!Tabla5[#Data],2,FALSE)</f>
        <v>#N/A</v>
      </c>
    </row>
    <row r="36" spans="1:24" x14ac:dyDescent="0.3">
      <c r="A36" s="8" t="s">
        <v>24</v>
      </c>
      <c r="B36" s="8" t="s">
        <v>25</v>
      </c>
      <c r="C36" s="8" t="s">
        <v>26</v>
      </c>
      <c r="D36" s="8" t="s">
        <v>46</v>
      </c>
      <c r="E36" s="8" t="s">
        <v>47</v>
      </c>
      <c r="F36" s="8" t="s">
        <v>48</v>
      </c>
      <c r="G36" s="8" t="s">
        <v>43</v>
      </c>
      <c r="H36" s="8" t="s">
        <v>44</v>
      </c>
      <c r="I36" s="8" t="s">
        <v>45</v>
      </c>
      <c r="J36" s="28">
        <v>45695.431018518517</v>
      </c>
      <c r="K36" s="28">
        <v>45863.464583333334</v>
      </c>
      <c r="L36" s="8" t="s">
        <v>33</v>
      </c>
      <c r="M36" s="8" t="s">
        <v>34</v>
      </c>
      <c r="N36" s="29">
        <v>0</v>
      </c>
      <c r="O36" s="29">
        <v>1</v>
      </c>
      <c r="P36" s="8" t="s">
        <v>35</v>
      </c>
      <c r="Q36" s="8" t="s">
        <v>36</v>
      </c>
      <c r="R36" s="8" t="s">
        <v>52</v>
      </c>
      <c r="S36" s="8" t="s">
        <v>38</v>
      </c>
      <c r="V36" s="26" t="str">
        <f>VLOOKUP(MID(Table1[[#This Row],[Nodo]],1,12),Tabla2[#Data],2,FALSE)</f>
        <v>ESTACION DE FORMADO</v>
      </c>
      <c r="W36" s="26" t="str">
        <f t="shared" si="1"/>
        <v>ELE</v>
      </c>
      <c r="X36" s="26" t="e">
        <f>VLOOKUP(MID([1]!Table1[[#This Row],[Nodo]],1,7),[1]!Tabla5[#Data],2,FALSE)</f>
        <v>#N/A</v>
      </c>
    </row>
    <row r="37" spans="1:24" x14ac:dyDescent="0.3">
      <c r="A37" s="8" t="s">
        <v>24</v>
      </c>
      <c r="B37" s="8" t="s">
        <v>25</v>
      </c>
      <c r="C37" s="8" t="s">
        <v>26</v>
      </c>
      <c r="D37" s="8" t="s">
        <v>46</v>
      </c>
      <c r="E37" s="8" t="s">
        <v>47</v>
      </c>
      <c r="F37" s="8" t="s">
        <v>53</v>
      </c>
      <c r="G37" s="8" t="s">
        <v>43</v>
      </c>
      <c r="H37" s="8" t="s">
        <v>44</v>
      </c>
      <c r="I37" s="8" t="s">
        <v>45</v>
      </c>
      <c r="J37" s="28">
        <v>45695.431018518517</v>
      </c>
      <c r="K37" s="28">
        <v>45863.464583333334</v>
      </c>
      <c r="L37" s="8" t="s">
        <v>33</v>
      </c>
      <c r="M37" s="8" t="s">
        <v>34</v>
      </c>
      <c r="N37" s="29">
        <v>0</v>
      </c>
      <c r="O37" s="29">
        <v>1</v>
      </c>
      <c r="P37" s="8" t="s">
        <v>35</v>
      </c>
      <c r="Q37" s="8" t="s">
        <v>36</v>
      </c>
      <c r="R37" s="8" t="s">
        <v>52</v>
      </c>
      <c r="S37" s="8" t="s">
        <v>38</v>
      </c>
      <c r="V37" s="26" t="str">
        <f>VLOOKUP(MID(Table1[[#This Row],[Nodo]],1,12),Tabla2[#Data],2,FALSE)</f>
        <v>ESTACION DE FORMADO</v>
      </c>
      <c r="W37" s="26" t="str">
        <f t="shared" si="1"/>
        <v>ELE</v>
      </c>
      <c r="X37" s="26" t="e">
        <f>VLOOKUP(MID([1]!Table1[[#This Row],[Nodo]],1,7),[1]!Tabla5[#Data],2,FALSE)</f>
        <v>#N/A</v>
      </c>
    </row>
    <row r="38" spans="1:24" x14ac:dyDescent="0.3">
      <c r="A38" s="8" t="s">
        <v>24</v>
      </c>
      <c r="B38" s="8" t="s">
        <v>25</v>
      </c>
      <c r="C38" s="8" t="s">
        <v>26</v>
      </c>
      <c r="D38" s="8" t="s">
        <v>46</v>
      </c>
      <c r="E38" s="8" t="s">
        <v>47</v>
      </c>
      <c r="F38" s="8" t="s">
        <v>54</v>
      </c>
      <c r="G38" s="8" t="s">
        <v>43</v>
      </c>
      <c r="H38" s="8" t="s">
        <v>44</v>
      </c>
      <c r="I38" s="8" t="s">
        <v>45</v>
      </c>
      <c r="J38" s="28">
        <v>45695.431018518517</v>
      </c>
      <c r="K38" s="28">
        <v>45863.464583333334</v>
      </c>
      <c r="L38" s="8" t="s">
        <v>33</v>
      </c>
      <c r="M38" s="8" t="s">
        <v>34</v>
      </c>
      <c r="N38" s="29">
        <v>0</v>
      </c>
      <c r="O38" s="29">
        <v>1</v>
      </c>
      <c r="P38" s="8" t="s">
        <v>35</v>
      </c>
      <c r="Q38" s="8" t="s">
        <v>36</v>
      </c>
      <c r="R38" s="8" t="s">
        <v>52</v>
      </c>
      <c r="S38" s="8" t="s">
        <v>38</v>
      </c>
      <c r="V38" s="26" t="str">
        <f>VLOOKUP(MID(Table1[[#This Row],[Nodo]],1,12),Tabla2[#Data],2,FALSE)</f>
        <v>ESTACION DE FORMADO</v>
      </c>
      <c r="W38" s="26" t="str">
        <f t="shared" si="1"/>
        <v>ELE</v>
      </c>
      <c r="X38" s="26" t="e">
        <f>VLOOKUP(MID([1]!Table1[[#This Row],[Nodo]],1,7),[1]!Tabla5[#Data],2,FALSE)</f>
        <v>#N/A</v>
      </c>
    </row>
    <row r="39" spans="1:24" x14ac:dyDescent="0.3">
      <c r="A39" s="8" t="s">
        <v>24</v>
      </c>
      <c r="B39" s="8" t="s">
        <v>25</v>
      </c>
      <c r="C39" s="8" t="s">
        <v>26</v>
      </c>
      <c r="D39" s="8" t="s">
        <v>46</v>
      </c>
      <c r="E39" s="8" t="s">
        <v>47</v>
      </c>
      <c r="F39" s="8" t="s">
        <v>55</v>
      </c>
      <c r="G39" s="8" t="s">
        <v>43</v>
      </c>
      <c r="H39" s="8" t="s">
        <v>44</v>
      </c>
      <c r="I39" s="8" t="s">
        <v>45</v>
      </c>
      <c r="J39" s="28">
        <v>45695.431018518517</v>
      </c>
      <c r="K39" s="28">
        <v>45863.464583333334</v>
      </c>
      <c r="L39" s="8" t="s">
        <v>33</v>
      </c>
      <c r="M39" s="8" t="s">
        <v>34</v>
      </c>
      <c r="N39" s="29">
        <v>0</v>
      </c>
      <c r="O39" s="29">
        <v>1</v>
      </c>
      <c r="P39" s="8" t="s">
        <v>35</v>
      </c>
      <c r="Q39" s="8" t="s">
        <v>36</v>
      </c>
      <c r="R39" s="8" t="s">
        <v>52</v>
      </c>
      <c r="S39" s="8" t="s">
        <v>38</v>
      </c>
      <c r="V39" s="26" t="str">
        <f>VLOOKUP(MID(Table1[[#This Row],[Nodo]],1,12),Tabla2[#Data],2,FALSE)</f>
        <v>ESTACION DE FORMADO</v>
      </c>
      <c r="W39" s="26" t="str">
        <f t="shared" si="1"/>
        <v>ELE</v>
      </c>
      <c r="X39" s="26" t="e">
        <f>VLOOKUP(MID([1]!Table1[[#This Row],[Nodo]],1,7),[1]!Tabla5[#Data],2,FALSE)</f>
        <v>#N/A</v>
      </c>
    </row>
    <row r="40" spans="1:24" x14ac:dyDescent="0.3">
      <c r="A40" s="8" t="s">
        <v>24</v>
      </c>
      <c r="B40" s="8" t="s">
        <v>25</v>
      </c>
      <c r="C40" s="8" t="s">
        <v>26</v>
      </c>
      <c r="D40" s="8" t="s">
        <v>46</v>
      </c>
      <c r="E40" s="8" t="s">
        <v>47</v>
      </c>
      <c r="F40" s="8" t="s">
        <v>56</v>
      </c>
      <c r="G40" s="8" t="s">
        <v>43</v>
      </c>
      <c r="H40" s="8" t="s">
        <v>44</v>
      </c>
      <c r="I40" s="8" t="s">
        <v>45</v>
      </c>
      <c r="J40" s="28">
        <v>45695.431018518517</v>
      </c>
      <c r="K40" s="28">
        <v>45863.464583333334</v>
      </c>
      <c r="L40" s="8" t="s">
        <v>33</v>
      </c>
      <c r="M40" s="8" t="s">
        <v>34</v>
      </c>
      <c r="N40" s="29">
        <v>0</v>
      </c>
      <c r="O40" s="29">
        <v>1</v>
      </c>
      <c r="P40" s="8" t="s">
        <v>35</v>
      </c>
      <c r="Q40" s="8" t="s">
        <v>36</v>
      </c>
      <c r="R40" s="8" t="s">
        <v>52</v>
      </c>
      <c r="S40" s="8" t="s">
        <v>38</v>
      </c>
      <c r="V40" s="26" t="str">
        <f>VLOOKUP(MID(Table1[[#This Row],[Nodo]],1,12),Tabla2[#Data],2,FALSE)</f>
        <v>ESTACION DE FORMADO</v>
      </c>
      <c r="W40" s="26" t="str">
        <f t="shared" si="1"/>
        <v>ELE</v>
      </c>
      <c r="X40" s="26" t="e">
        <f>VLOOKUP(MID([1]!Table1[[#This Row],[Nodo]],1,7),[1]!Tabla5[#Data],2,FALSE)</f>
        <v>#N/A</v>
      </c>
    </row>
    <row r="41" spans="1:24" x14ac:dyDescent="0.3">
      <c r="A41" s="8" t="s">
        <v>24</v>
      </c>
      <c r="B41" s="8" t="s">
        <v>25</v>
      </c>
      <c r="C41" s="8" t="s">
        <v>26</v>
      </c>
      <c r="D41" s="8" t="s">
        <v>46</v>
      </c>
      <c r="E41" s="8" t="s">
        <v>47</v>
      </c>
      <c r="F41" s="8" t="s">
        <v>57</v>
      </c>
      <c r="G41" s="8" t="s">
        <v>43</v>
      </c>
      <c r="H41" s="8" t="s">
        <v>44</v>
      </c>
      <c r="I41" s="8" t="s">
        <v>45</v>
      </c>
      <c r="J41" s="28">
        <v>45695.431018518517</v>
      </c>
      <c r="K41" s="28">
        <v>45863.464583333334</v>
      </c>
      <c r="L41" s="8" t="s">
        <v>33</v>
      </c>
      <c r="M41" s="8" t="s">
        <v>34</v>
      </c>
      <c r="N41" s="29">
        <v>0</v>
      </c>
      <c r="O41" s="29">
        <v>1</v>
      </c>
      <c r="P41" s="8" t="s">
        <v>35</v>
      </c>
      <c r="Q41" s="8" t="s">
        <v>36</v>
      </c>
      <c r="R41" s="8" t="s">
        <v>52</v>
      </c>
      <c r="S41" s="8" t="s">
        <v>38</v>
      </c>
      <c r="V41" s="26" t="str">
        <f>VLOOKUP(MID(Table1[[#This Row],[Nodo]],1,12),Tabla2[#Data],2,FALSE)</f>
        <v>ESTACION DE FORMADO</v>
      </c>
      <c r="W41" s="26" t="str">
        <f t="shared" si="1"/>
        <v>ELE</v>
      </c>
      <c r="X41" s="26" t="e">
        <f>VLOOKUP(MID([1]!Table1[[#This Row],[Nodo]],1,7),[1]!Tabla5[#Data],2,FALSE)</f>
        <v>#N/A</v>
      </c>
    </row>
    <row r="42" spans="1:24" x14ac:dyDescent="0.3">
      <c r="A42" s="8" t="s">
        <v>24</v>
      </c>
      <c r="B42" s="8" t="s">
        <v>25</v>
      </c>
      <c r="C42" s="8" t="s">
        <v>26</v>
      </c>
      <c r="D42" s="8" t="s">
        <v>46</v>
      </c>
      <c r="E42" s="8" t="s">
        <v>47</v>
      </c>
      <c r="F42" s="8" t="s">
        <v>58</v>
      </c>
      <c r="G42" s="8" t="s">
        <v>43</v>
      </c>
      <c r="H42" s="8" t="s">
        <v>44</v>
      </c>
      <c r="I42" s="8" t="s">
        <v>45</v>
      </c>
      <c r="J42" s="28">
        <v>45695.431018518517</v>
      </c>
      <c r="K42" s="28">
        <v>45863.464583333334</v>
      </c>
      <c r="L42" s="8" t="s">
        <v>33</v>
      </c>
      <c r="M42" s="8" t="s">
        <v>34</v>
      </c>
      <c r="N42" s="29">
        <v>0</v>
      </c>
      <c r="O42" s="29">
        <v>1</v>
      </c>
      <c r="P42" s="8" t="s">
        <v>35</v>
      </c>
      <c r="Q42" s="8" t="s">
        <v>36</v>
      </c>
      <c r="R42" s="8" t="s">
        <v>52</v>
      </c>
      <c r="S42" s="8" t="s">
        <v>38</v>
      </c>
      <c r="V42" s="26" t="str">
        <f>VLOOKUP(MID(Table1[[#This Row],[Nodo]],1,12),Tabla2[#Data],2,FALSE)</f>
        <v>ESTACION DE FORMADO</v>
      </c>
      <c r="W42" s="26" t="str">
        <f t="shared" si="1"/>
        <v>ELE</v>
      </c>
      <c r="X42" s="26" t="e">
        <f>VLOOKUP(MID([1]!Table1[[#This Row],[Nodo]],1,7),[1]!Tabla5[#Data],2,FALSE)</f>
        <v>#N/A</v>
      </c>
    </row>
    <row r="43" spans="1:24" x14ac:dyDescent="0.3">
      <c r="A43" s="8" t="s">
        <v>24</v>
      </c>
      <c r="B43" s="8" t="s">
        <v>25</v>
      </c>
      <c r="C43" s="8" t="s">
        <v>26</v>
      </c>
      <c r="D43" s="8" t="s">
        <v>46</v>
      </c>
      <c r="E43" s="8" t="s">
        <v>47</v>
      </c>
      <c r="F43" s="8" t="s">
        <v>48</v>
      </c>
      <c r="G43" s="8" t="s">
        <v>62</v>
      </c>
      <c r="H43" s="8" t="s">
        <v>63</v>
      </c>
      <c r="I43" s="8" t="s">
        <v>64</v>
      </c>
      <c r="J43" s="28">
        <v>45695.431030092594</v>
      </c>
      <c r="K43" s="28">
        <v>45863.464583333334</v>
      </c>
      <c r="L43" s="8" t="s">
        <v>33</v>
      </c>
      <c r="M43" s="8" t="s">
        <v>34</v>
      </c>
      <c r="N43" s="29">
        <v>0</v>
      </c>
      <c r="O43" s="29">
        <v>1</v>
      </c>
      <c r="P43" s="8" t="s">
        <v>35</v>
      </c>
      <c r="Q43" s="8" t="s">
        <v>36</v>
      </c>
      <c r="R43" s="8" t="s">
        <v>52</v>
      </c>
      <c r="S43" s="8" t="s">
        <v>38</v>
      </c>
      <c r="V43" s="26" t="str">
        <f>VLOOKUP(MID(Table1[[#This Row],[Nodo]],1,12),Tabla2[#Data],2,FALSE)</f>
        <v>PRECALENTADOR</v>
      </c>
      <c r="W43" s="26" t="str">
        <f t="shared" si="1"/>
        <v>ELE</v>
      </c>
      <c r="X43" s="26" t="e">
        <f>VLOOKUP(MID([1]!Table1[[#This Row],[Nodo]],1,7),[1]!Tabla5[#Data],2,FALSE)</f>
        <v>#N/A</v>
      </c>
    </row>
    <row r="44" spans="1:24" x14ac:dyDescent="0.3">
      <c r="A44" s="8" t="s">
        <v>24</v>
      </c>
      <c r="B44" s="8" t="s">
        <v>25</v>
      </c>
      <c r="C44" s="8" t="s">
        <v>26</v>
      </c>
      <c r="D44" s="8" t="s">
        <v>46</v>
      </c>
      <c r="E44" s="8" t="s">
        <v>47</v>
      </c>
      <c r="F44" s="8" t="s">
        <v>53</v>
      </c>
      <c r="G44" s="8" t="s">
        <v>62</v>
      </c>
      <c r="H44" s="8" t="s">
        <v>63</v>
      </c>
      <c r="I44" s="8" t="s">
        <v>64</v>
      </c>
      <c r="J44" s="28">
        <v>45695.431030092594</v>
      </c>
      <c r="K44" s="28">
        <v>45863.464583333334</v>
      </c>
      <c r="L44" s="8" t="s">
        <v>33</v>
      </c>
      <c r="M44" s="8" t="s">
        <v>34</v>
      </c>
      <c r="N44" s="29">
        <v>0</v>
      </c>
      <c r="O44" s="29">
        <v>1</v>
      </c>
      <c r="P44" s="8" t="s">
        <v>35</v>
      </c>
      <c r="Q44" s="8" t="s">
        <v>36</v>
      </c>
      <c r="R44" s="8" t="s">
        <v>52</v>
      </c>
      <c r="S44" s="8" t="s">
        <v>38</v>
      </c>
      <c r="V44" s="26" t="str">
        <f>VLOOKUP(MID(Table1[[#This Row],[Nodo]],1,12),Tabla2[#Data],2,FALSE)</f>
        <v>PRECALENTADOR</v>
      </c>
      <c r="W44" s="26" t="str">
        <f t="shared" si="1"/>
        <v>ELE</v>
      </c>
      <c r="X44" s="26" t="e">
        <f>VLOOKUP(MID([1]!Table1[[#This Row],[Nodo]],1,7),[1]!Tabla5[#Data],2,FALSE)</f>
        <v>#N/A</v>
      </c>
    </row>
    <row r="45" spans="1:24" x14ac:dyDescent="0.3">
      <c r="A45" s="8" t="s">
        <v>24</v>
      </c>
      <c r="B45" s="8" t="s">
        <v>25</v>
      </c>
      <c r="C45" s="8" t="s">
        <v>26</v>
      </c>
      <c r="D45" s="8" t="s">
        <v>46</v>
      </c>
      <c r="E45" s="8" t="s">
        <v>47</v>
      </c>
      <c r="F45" s="8" t="s">
        <v>54</v>
      </c>
      <c r="G45" s="8" t="s">
        <v>62</v>
      </c>
      <c r="H45" s="8" t="s">
        <v>63</v>
      </c>
      <c r="I45" s="8" t="s">
        <v>64</v>
      </c>
      <c r="J45" s="28">
        <v>45695.431030092594</v>
      </c>
      <c r="K45" s="28">
        <v>45863.464583333334</v>
      </c>
      <c r="L45" s="8" t="s">
        <v>33</v>
      </c>
      <c r="M45" s="8" t="s">
        <v>34</v>
      </c>
      <c r="N45" s="29">
        <v>0</v>
      </c>
      <c r="O45" s="29">
        <v>1</v>
      </c>
      <c r="P45" s="8" t="s">
        <v>35</v>
      </c>
      <c r="Q45" s="8" t="s">
        <v>36</v>
      </c>
      <c r="R45" s="8" t="s">
        <v>52</v>
      </c>
      <c r="S45" s="8" t="s">
        <v>38</v>
      </c>
      <c r="V45" s="26" t="str">
        <f>VLOOKUP(MID(Table1[[#This Row],[Nodo]],1,12),Tabla2[#Data],2,FALSE)</f>
        <v>PRECALENTADOR</v>
      </c>
      <c r="W45" s="26" t="str">
        <f t="shared" si="1"/>
        <v>ELE</v>
      </c>
      <c r="X45" s="26" t="e">
        <f>VLOOKUP(MID([1]!Table1[[#This Row],[Nodo]],1,7),[1]!Tabla5[#Data],2,FALSE)</f>
        <v>#N/A</v>
      </c>
    </row>
    <row r="46" spans="1:24" x14ac:dyDescent="0.3">
      <c r="A46" s="8" t="s">
        <v>24</v>
      </c>
      <c r="B46" s="8" t="s">
        <v>25</v>
      </c>
      <c r="C46" s="8" t="s">
        <v>26</v>
      </c>
      <c r="D46" s="8" t="s">
        <v>46</v>
      </c>
      <c r="E46" s="8" t="s">
        <v>47</v>
      </c>
      <c r="F46" s="8" t="s">
        <v>55</v>
      </c>
      <c r="G46" s="8" t="s">
        <v>62</v>
      </c>
      <c r="H46" s="8" t="s">
        <v>63</v>
      </c>
      <c r="I46" s="8" t="s">
        <v>64</v>
      </c>
      <c r="J46" s="28">
        <v>45695.431030092594</v>
      </c>
      <c r="K46" s="28">
        <v>45863.464583333334</v>
      </c>
      <c r="L46" s="8" t="s">
        <v>33</v>
      </c>
      <c r="M46" s="8" t="s">
        <v>34</v>
      </c>
      <c r="N46" s="29">
        <v>0</v>
      </c>
      <c r="O46" s="29">
        <v>1</v>
      </c>
      <c r="P46" s="8" t="s">
        <v>35</v>
      </c>
      <c r="Q46" s="8" t="s">
        <v>36</v>
      </c>
      <c r="R46" s="8" t="s">
        <v>52</v>
      </c>
      <c r="S46" s="8" t="s">
        <v>38</v>
      </c>
      <c r="V46" s="26" t="str">
        <f>VLOOKUP(MID(Table1[[#This Row],[Nodo]],1,12),Tabla2[#Data],2,FALSE)</f>
        <v>PRECALENTADOR</v>
      </c>
      <c r="W46" s="26" t="str">
        <f t="shared" si="1"/>
        <v>ELE</v>
      </c>
      <c r="X46" s="26" t="e">
        <f>VLOOKUP(MID([1]!Table1[[#This Row],[Nodo]],1,7),[1]!Tabla5[#Data],2,FALSE)</f>
        <v>#N/A</v>
      </c>
    </row>
    <row r="47" spans="1:24" x14ac:dyDescent="0.3">
      <c r="A47" s="8" t="s">
        <v>24</v>
      </c>
      <c r="B47" s="8" t="s">
        <v>25</v>
      </c>
      <c r="C47" s="8" t="s">
        <v>26</v>
      </c>
      <c r="D47" s="8" t="s">
        <v>46</v>
      </c>
      <c r="E47" s="8" t="s">
        <v>47</v>
      </c>
      <c r="F47" s="8" t="s">
        <v>56</v>
      </c>
      <c r="G47" s="8" t="s">
        <v>62</v>
      </c>
      <c r="H47" s="8" t="s">
        <v>63</v>
      </c>
      <c r="I47" s="8" t="s">
        <v>64</v>
      </c>
      <c r="J47" s="28">
        <v>45695.431030092594</v>
      </c>
      <c r="K47" s="28">
        <v>45863.464583333334</v>
      </c>
      <c r="L47" s="8" t="s">
        <v>33</v>
      </c>
      <c r="M47" s="8" t="s">
        <v>34</v>
      </c>
      <c r="N47" s="29">
        <v>0</v>
      </c>
      <c r="O47" s="29">
        <v>1</v>
      </c>
      <c r="P47" s="8" t="s">
        <v>35</v>
      </c>
      <c r="Q47" s="8" t="s">
        <v>36</v>
      </c>
      <c r="R47" s="8" t="s">
        <v>52</v>
      </c>
      <c r="S47" s="8" t="s">
        <v>38</v>
      </c>
      <c r="V47" s="26" t="str">
        <f>VLOOKUP(MID(Table1[[#This Row],[Nodo]],1,12),Tabla2[#Data],2,FALSE)</f>
        <v>PRECALENTADOR</v>
      </c>
      <c r="W47" s="26" t="str">
        <f t="shared" si="1"/>
        <v>ELE</v>
      </c>
      <c r="X47" s="26" t="e">
        <f>VLOOKUP(MID([1]!Table1[[#This Row],[Nodo]],1,7),[1]!Tabla5[#Data],2,FALSE)</f>
        <v>#N/A</v>
      </c>
    </row>
    <row r="48" spans="1:24" x14ac:dyDescent="0.3">
      <c r="A48" s="8" t="s">
        <v>24</v>
      </c>
      <c r="B48" s="8" t="s">
        <v>25</v>
      </c>
      <c r="C48" s="8" t="s">
        <v>26</v>
      </c>
      <c r="D48" s="8" t="s">
        <v>46</v>
      </c>
      <c r="E48" s="8" t="s">
        <v>47</v>
      </c>
      <c r="F48" s="8" t="s">
        <v>57</v>
      </c>
      <c r="G48" s="8" t="s">
        <v>62</v>
      </c>
      <c r="H48" s="8" t="s">
        <v>63</v>
      </c>
      <c r="I48" s="8" t="s">
        <v>64</v>
      </c>
      <c r="J48" s="28">
        <v>45695.431030092594</v>
      </c>
      <c r="K48" s="28">
        <v>45863.464583333334</v>
      </c>
      <c r="L48" s="8" t="s">
        <v>33</v>
      </c>
      <c r="M48" s="8" t="s">
        <v>34</v>
      </c>
      <c r="N48" s="29">
        <v>0</v>
      </c>
      <c r="O48" s="29">
        <v>1</v>
      </c>
      <c r="P48" s="8" t="s">
        <v>35</v>
      </c>
      <c r="Q48" s="8" t="s">
        <v>36</v>
      </c>
      <c r="R48" s="8" t="s">
        <v>52</v>
      </c>
      <c r="S48" s="8" t="s">
        <v>38</v>
      </c>
      <c r="V48" s="26" t="str">
        <f>VLOOKUP(MID(Table1[[#This Row],[Nodo]],1,12),Tabla2[#Data],2,FALSE)</f>
        <v>PRECALENTADOR</v>
      </c>
      <c r="W48" s="26" t="str">
        <f t="shared" si="1"/>
        <v>ELE</v>
      </c>
      <c r="X48" s="26" t="e">
        <f>VLOOKUP(MID([1]!Table1[[#This Row],[Nodo]],1,7),[1]!Tabla5[#Data],2,FALSE)</f>
        <v>#N/A</v>
      </c>
    </row>
    <row r="49" spans="1:24" x14ac:dyDescent="0.3">
      <c r="A49" s="8" t="s">
        <v>24</v>
      </c>
      <c r="B49" s="8" t="s">
        <v>25</v>
      </c>
      <c r="C49" s="8" t="s">
        <v>26</v>
      </c>
      <c r="D49" s="8" t="s">
        <v>46</v>
      </c>
      <c r="E49" s="8" t="s">
        <v>47</v>
      </c>
      <c r="F49" s="8" t="s">
        <v>58</v>
      </c>
      <c r="G49" s="8" t="s">
        <v>62</v>
      </c>
      <c r="H49" s="8" t="s">
        <v>63</v>
      </c>
      <c r="I49" s="8" t="s">
        <v>64</v>
      </c>
      <c r="J49" s="28">
        <v>45695.431030092594</v>
      </c>
      <c r="K49" s="28">
        <v>45863.464583333334</v>
      </c>
      <c r="L49" s="8" t="s">
        <v>33</v>
      </c>
      <c r="M49" s="8" t="s">
        <v>34</v>
      </c>
      <c r="N49" s="29">
        <v>0</v>
      </c>
      <c r="O49" s="29">
        <v>1</v>
      </c>
      <c r="P49" s="8" t="s">
        <v>35</v>
      </c>
      <c r="Q49" s="8" t="s">
        <v>36</v>
      </c>
      <c r="R49" s="8" t="s">
        <v>52</v>
      </c>
      <c r="S49" s="8" t="s">
        <v>38</v>
      </c>
      <c r="V49" s="26" t="str">
        <f>VLOOKUP(MID(Table1[[#This Row],[Nodo]],1,12),Tabla2[#Data],2,FALSE)</f>
        <v>PRECALENTADOR</v>
      </c>
      <c r="W49" s="26" t="str">
        <f t="shared" si="1"/>
        <v>ELE</v>
      </c>
      <c r="X49" s="26" t="e">
        <f>VLOOKUP(MID([1]!Table1[[#This Row],[Nodo]],1,7),[1]!Tabla5[#Data],2,FALSE)</f>
        <v>#N/A</v>
      </c>
    </row>
    <row r="50" spans="1:24" x14ac:dyDescent="0.3">
      <c r="A50" s="8" t="s">
        <v>24</v>
      </c>
      <c r="B50" s="8" t="s">
        <v>25</v>
      </c>
      <c r="C50" s="8" t="s">
        <v>26</v>
      </c>
      <c r="D50" s="8" t="s">
        <v>65</v>
      </c>
      <c r="E50" s="8" t="s">
        <v>66</v>
      </c>
      <c r="F50" s="8" t="s">
        <v>67</v>
      </c>
      <c r="G50" s="8" t="s">
        <v>68</v>
      </c>
      <c r="H50" s="8" t="s">
        <v>69</v>
      </c>
      <c r="I50" s="8" t="s">
        <v>70</v>
      </c>
      <c r="J50" s="28">
        <v>45695.430960648147</v>
      </c>
      <c r="K50" s="28">
        <v>45863.464583333334</v>
      </c>
      <c r="L50" s="8" t="s">
        <v>33</v>
      </c>
      <c r="M50" s="8" t="s">
        <v>34</v>
      </c>
      <c r="N50" s="29">
        <v>0</v>
      </c>
      <c r="O50" s="29">
        <v>1</v>
      </c>
      <c r="P50" s="8" t="s">
        <v>35</v>
      </c>
      <c r="Q50" s="8" t="s">
        <v>36</v>
      </c>
      <c r="R50" s="8" t="s">
        <v>71</v>
      </c>
      <c r="S50" s="8" t="s">
        <v>38</v>
      </c>
      <c r="V50" s="26" t="str">
        <f>VLOOKUP(MID(Table1[[#This Row],[Nodo]],1,12),Tabla2[#Data],2,FALSE)</f>
        <v>APILADOR APILADOR SISTEMA DE A</v>
      </c>
      <c r="W50" s="26" t="str">
        <f t="shared" si="1"/>
        <v>ELE</v>
      </c>
      <c r="X50" s="26" t="e">
        <f>VLOOKUP(MID([1]!Table1[[#This Row],[Nodo]],1,7),[1]!Tabla5[#Data],2,FALSE)</f>
        <v>#N/A</v>
      </c>
    </row>
    <row r="51" spans="1:24" x14ac:dyDescent="0.3">
      <c r="A51" s="8" t="s">
        <v>24</v>
      </c>
      <c r="B51" s="8" t="s">
        <v>25</v>
      </c>
      <c r="C51" s="8" t="s">
        <v>26</v>
      </c>
      <c r="D51" s="8" t="s">
        <v>65</v>
      </c>
      <c r="E51" s="8" t="s">
        <v>66</v>
      </c>
      <c r="F51" s="8" t="s">
        <v>72</v>
      </c>
      <c r="G51" s="8" t="s">
        <v>68</v>
      </c>
      <c r="H51" s="8" t="s">
        <v>69</v>
      </c>
      <c r="I51" s="8" t="s">
        <v>70</v>
      </c>
      <c r="J51" s="28">
        <v>45695.430960648147</v>
      </c>
      <c r="K51" s="28">
        <v>45863.464583333334</v>
      </c>
      <c r="L51" s="8" t="s">
        <v>33</v>
      </c>
      <c r="M51" s="8" t="s">
        <v>34</v>
      </c>
      <c r="N51" s="29">
        <v>0</v>
      </c>
      <c r="O51" s="29">
        <v>1</v>
      </c>
      <c r="P51" s="8" t="s">
        <v>35</v>
      </c>
      <c r="Q51" s="8" t="s">
        <v>36</v>
      </c>
      <c r="R51" s="8" t="s">
        <v>71</v>
      </c>
      <c r="S51" s="8" t="s">
        <v>38</v>
      </c>
      <c r="V51" s="26" t="str">
        <f>VLOOKUP(MID(Table1[[#This Row],[Nodo]],1,12),Tabla2[#Data],2,FALSE)</f>
        <v>APILADOR APILADOR SISTEMA DE A</v>
      </c>
      <c r="W51" s="26" t="str">
        <f t="shared" si="1"/>
        <v>ELE</v>
      </c>
      <c r="X51" s="26" t="e">
        <f>VLOOKUP(MID([1]!Table1[[#This Row],[Nodo]],1,7),[1]!Tabla5[#Data],2,FALSE)</f>
        <v>#N/A</v>
      </c>
    </row>
    <row r="52" spans="1:24" x14ac:dyDescent="0.3">
      <c r="A52" s="8" t="s">
        <v>24</v>
      </c>
      <c r="B52" s="8" t="s">
        <v>25</v>
      </c>
      <c r="C52" s="8" t="s">
        <v>26</v>
      </c>
      <c r="D52" s="8" t="s">
        <v>65</v>
      </c>
      <c r="E52" s="8" t="s">
        <v>66</v>
      </c>
      <c r="F52" s="8" t="s">
        <v>73</v>
      </c>
      <c r="G52" s="8" t="s">
        <v>68</v>
      </c>
      <c r="H52" s="8" t="s">
        <v>69</v>
      </c>
      <c r="I52" s="8" t="s">
        <v>70</v>
      </c>
      <c r="J52" s="28">
        <v>45695.430960648147</v>
      </c>
      <c r="K52" s="28">
        <v>45863.464583333334</v>
      </c>
      <c r="L52" s="8" t="s">
        <v>33</v>
      </c>
      <c r="M52" s="8" t="s">
        <v>34</v>
      </c>
      <c r="N52" s="29">
        <v>0</v>
      </c>
      <c r="O52" s="29">
        <v>1</v>
      </c>
      <c r="P52" s="8" t="s">
        <v>35</v>
      </c>
      <c r="Q52" s="8" t="s">
        <v>36</v>
      </c>
      <c r="R52" s="8" t="s">
        <v>71</v>
      </c>
      <c r="S52" s="8" t="s">
        <v>38</v>
      </c>
      <c r="V52" s="26" t="str">
        <f>VLOOKUP(MID(Table1[[#This Row],[Nodo]],1,12),Tabla2[#Data],2,FALSE)</f>
        <v>APILADOR APILADOR SISTEMA DE A</v>
      </c>
      <c r="W52" s="26" t="str">
        <f t="shared" si="1"/>
        <v>ELE</v>
      </c>
      <c r="X52" s="26" t="e">
        <f>VLOOKUP(MID([1]!Table1[[#This Row],[Nodo]],1,7),[1]!Tabla5[#Data],2,FALSE)</f>
        <v>#N/A</v>
      </c>
    </row>
    <row r="53" spans="1:24" x14ac:dyDescent="0.3">
      <c r="A53" s="8" t="s">
        <v>24</v>
      </c>
      <c r="B53" s="8" t="s">
        <v>25</v>
      </c>
      <c r="C53" s="8" t="s">
        <v>26</v>
      </c>
      <c r="D53" s="8" t="s">
        <v>65</v>
      </c>
      <c r="E53" s="8" t="s">
        <v>66</v>
      </c>
      <c r="F53" s="8" t="s">
        <v>74</v>
      </c>
      <c r="G53" s="8" t="s">
        <v>68</v>
      </c>
      <c r="H53" s="8" t="s">
        <v>69</v>
      </c>
      <c r="I53" s="8" t="s">
        <v>70</v>
      </c>
      <c r="J53" s="28">
        <v>45695.430960648147</v>
      </c>
      <c r="K53" s="28">
        <v>45863.464583333334</v>
      </c>
      <c r="L53" s="8" t="s">
        <v>33</v>
      </c>
      <c r="M53" s="8" t="s">
        <v>34</v>
      </c>
      <c r="N53" s="29">
        <v>0</v>
      </c>
      <c r="O53" s="29">
        <v>1</v>
      </c>
      <c r="P53" s="8" t="s">
        <v>35</v>
      </c>
      <c r="Q53" s="8" t="s">
        <v>36</v>
      </c>
      <c r="R53" s="8" t="s">
        <v>71</v>
      </c>
      <c r="S53" s="8" t="s">
        <v>38</v>
      </c>
      <c r="V53" s="26" t="str">
        <f>VLOOKUP(MID(Table1[[#This Row],[Nodo]],1,12),Tabla2[#Data],2,FALSE)</f>
        <v>APILADOR APILADOR SISTEMA DE A</v>
      </c>
      <c r="W53" s="26" t="str">
        <f t="shared" si="1"/>
        <v>ELE</v>
      </c>
      <c r="X53" s="26" t="e">
        <f>VLOOKUP(MID([1]!Table1[[#This Row],[Nodo]],1,7),[1]!Tabla5[#Data],2,FALSE)</f>
        <v>#N/A</v>
      </c>
    </row>
    <row r="54" spans="1:24" x14ac:dyDescent="0.3">
      <c r="A54" s="8" t="s">
        <v>24</v>
      </c>
      <c r="B54" s="8" t="s">
        <v>25</v>
      </c>
      <c r="C54" s="8" t="s">
        <v>26</v>
      </c>
      <c r="D54" s="8" t="s">
        <v>65</v>
      </c>
      <c r="E54" s="8" t="s">
        <v>66</v>
      </c>
      <c r="F54" s="8" t="s">
        <v>75</v>
      </c>
      <c r="G54" s="8" t="s">
        <v>68</v>
      </c>
      <c r="H54" s="8" t="s">
        <v>69</v>
      </c>
      <c r="I54" s="8" t="s">
        <v>70</v>
      </c>
      <c r="J54" s="28">
        <v>45695.430960648147</v>
      </c>
      <c r="K54" s="28">
        <v>45863.464583333334</v>
      </c>
      <c r="L54" s="8" t="s">
        <v>33</v>
      </c>
      <c r="M54" s="8" t="s">
        <v>34</v>
      </c>
      <c r="N54" s="29">
        <v>0</v>
      </c>
      <c r="O54" s="29">
        <v>1</v>
      </c>
      <c r="P54" s="8" t="s">
        <v>35</v>
      </c>
      <c r="Q54" s="8" t="s">
        <v>36</v>
      </c>
      <c r="R54" s="8" t="s">
        <v>71</v>
      </c>
      <c r="S54" s="8" t="s">
        <v>38</v>
      </c>
      <c r="V54" s="26" t="str">
        <f>VLOOKUP(MID(Table1[[#This Row],[Nodo]],1,12),Tabla2[#Data],2,FALSE)</f>
        <v>APILADOR APILADOR SISTEMA DE A</v>
      </c>
      <c r="W54" s="26" t="str">
        <f t="shared" si="1"/>
        <v>ELE</v>
      </c>
      <c r="X54" s="26" t="e">
        <f>VLOOKUP(MID([1]!Table1[[#This Row],[Nodo]],1,7),[1]!Tabla5[#Data],2,FALSE)</f>
        <v>#N/A</v>
      </c>
    </row>
    <row r="55" spans="1:24" x14ac:dyDescent="0.3">
      <c r="A55" s="8" t="s">
        <v>24</v>
      </c>
      <c r="B55" s="8" t="s">
        <v>25</v>
      </c>
      <c r="C55" s="8" t="s">
        <v>26</v>
      </c>
      <c r="D55" s="8" t="s">
        <v>65</v>
      </c>
      <c r="E55" s="8" t="s">
        <v>66</v>
      </c>
      <c r="F55" s="8" t="s">
        <v>76</v>
      </c>
      <c r="G55" s="8" t="s">
        <v>68</v>
      </c>
      <c r="H55" s="8" t="s">
        <v>69</v>
      </c>
      <c r="I55" s="8" t="s">
        <v>70</v>
      </c>
      <c r="J55" s="28">
        <v>45695.430960648147</v>
      </c>
      <c r="K55" s="28">
        <v>45863.464583333334</v>
      </c>
      <c r="L55" s="8" t="s">
        <v>33</v>
      </c>
      <c r="M55" s="8" t="s">
        <v>34</v>
      </c>
      <c r="N55" s="29">
        <v>0</v>
      </c>
      <c r="O55" s="29">
        <v>1</v>
      </c>
      <c r="P55" s="8" t="s">
        <v>35</v>
      </c>
      <c r="Q55" s="8" t="s">
        <v>36</v>
      </c>
      <c r="R55" s="8" t="s">
        <v>71</v>
      </c>
      <c r="S55" s="8" t="s">
        <v>38</v>
      </c>
      <c r="V55" s="26" t="str">
        <f>VLOOKUP(MID(Table1[[#This Row],[Nodo]],1,12),Tabla2[#Data],2,FALSE)</f>
        <v>APILADOR APILADOR SISTEMA DE A</v>
      </c>
      <c r="W55" s="26" t="str">
        <f t="shared" si="1"/>
        <v>ELE</v>
      </c>
      <c r="X55" s="26" t="e">
        <f>VLOOKUP(MID([1]!Table1[[#This Row],[Nodo]],1,7),[1]!Tabla5[#Data],2,FALSE)</f>
        <v>#N/A</v>
      </c>
    </row>
    <row r="56" spans="1:24" x14ac:dyDescent="0.3">
      <c r="A56" s="8" t="s">
        <v>24</v>
      </c>
      <c r="B56" s="8" t="s">
        <v>25</v>
      </c>
      <c r="C56" s="8" t="s">
        <v>26</v>
      </c>
      <c r="D56" s="8" t="s">
        <v>65</v>
      </c>
      <c r="E56" s="8" t="s">
        <v>66</v>
      </c>
      <c r="F56" s="8" t="s">
        <v>77</v>
      </c>
      <c r="G56" s="8" t="s">
        <v>68</v>
      </c>
      <c r="H56" s="8" t="s">
        <v>69</v>
      </c>
      <c r="I56" s="8" t="s">
        <v>70</v>
      </c>
      <c r="J56" s="28">
        <v>45695.430960648147</v>
      </c>
      <c r="K56" s="28">
        <v>45863.464583333334</v>
      </c>
      <c r="L56" s="8" t="s">
        <v>33</v>
      </c>
      <c r="M56" s="8" t="s">
        <v>34</v>
      </c>
      <c r="N56" s="29">
        <v>0</v>
      </c>
      <c r="O56" s="29">
        <v>1</v>
      </c>
      <c r="P56" s="8" t="s">
        <v>35</v>
      </c>
      <c r="Q56" s="8" t="s">
        <v>36</v>
      </c>
      <c r="R56" s="8" t="s">
        <v>71</v>
      </c>
      <c r="S56" s="8" t="s">
        <v>38</v>
      </c>
      <c r="V56" s="26" t="str">
        <f>VLOOKUP(MID(Table1[[#This Row],[Nodo]],1,12),Tabla2[#Data],2,FALSE)</f>
        <v>APILADOR APILADOR SISTEMA DE A</v>
      </c>
      <c r="W56" s="26" t="str">
        <f t="shared" si="1"/>
        <v>ELE</v>
      </c>
      <c r="X56" s="26" t="e">
        <f>VLOOKUP(MID([1]!Table1[[#This Row],[Nodo]],1,7),[1]!Tabla5[#Data],2,FALSE)</f>
        <v>#N/A</v>
      </c>
    </row>
    <row r="57" spans="1:24" x14ac:dyDescent="0.3">
      <c r="A57" s="8" t="s">
        <v>24</v>
      </c>
      <c r="B57" s="8" t="s">
        <v>25</v>
      </c>
      <c r="C57" s="8" t="s">
        <v>26</v>
      </c>
      <c r="D57" s="8" t="s">
        <v>65</v>
      </c>
      <c r="E57" s="8" t="s">
        <v>66</v>
      </c>
      <c r="F57" s="8" t="s">
        <v>78</v>
      </c>
      <c r="G57" s="8" t="s">
        <v>68</v>
      </c>
      <c r="H57" s="8" t="s">
        <v>69</v>
      </c>
      <c r="I57" s="8" t="s">
        <v>70</v>
      </c>
      <c r="J57" s="28">
        <v>45695.430960648147</v>
      </c>
      <c r="K57" s="28">
        <v>45863.464583333334</v>
      </c>
      <c r="L57" s="8" t="s">
        <v>33</v>
      </c>
      <c r="M57" s="8" t="s">
        <v>34</v>
      </c>
      <c r="N57" s="29">
        <v>0</v>
      </c>
      <c r="O57" s="29">
        <v>1</v>
      </c>
      <c r="P57" s="8" t="s">
        <v>35</v>
      </c>
      <c r="Q57" s="8" t="s">
        <v>36</v>
      </c>
      <c r="R57" s="8" t="s">
        <v>71</v>
      </c>
      <c r="S57" s="8" t="s">
        <v>38</v>
      </c>
      <c r="V57" s="26" t="str">
        <f>VLOOKUP(MID(Table1[[#This Row],[Nodo]],1,12),Tabla2[#Data],2,FALSE)</f>
        <v>APILADOR APILADOR SISTEMA DE A</v>
      </c>
      <c r="W57" s="26" t="str">
        <f t="shared" si="1"/>
        <v>ELE</v>
      </c>
      <c r="X57" s="26" t="e">
        <f>VLOOKUP(MID([1]!Table1[[#This Row],[Nodo]],1,7),[1]!Tabla5[#Data],2,FALSE)</f>
        <v>#N/A</v>
      </c>
    </row>
    <row r="58" spans="1:24" x14ac:dyDescent="0.3">
      <c r="A58" s="8" t="s">
        <v>24</v>
      </c>
      <c r="B58" s="8" t="s">
        <v>25</v>
      </c>
      <c r="C58" s="8" t="s">
        <v>26</v>
      </c>
      <c r="D58" s="8" t="s">
        <v>65</v>
      </c>
      <c r="E58" s="8" t="s">
        <v>66</v>
      </c>
      <c r="F58" s="8" t="s">
        <v>79</v>
      </c>
      <c r="G58" s="8" t="s">
        <v>68</v>
      </c>
      <c r="H58" s="8" t="s">
        <v>69</v>
      </c>
      <c r="I58" s="8" t="s">
        <v>70</v>
      </c>
      <c r="J58" s="28">
        <v>45695.430960648147</v>
      </c>
      <c r="K58" s="28">
        <v>45863.464583333334</v>
      </c>
      <c r="L58" s="8" t="s">
        <v>33</v>
      </c>
      <c r="M58" s="8" t="s">
        <v>34</v>
      </c>
      <c r="N58" s="29">
        <v>0</v>
      </c>
      <c r="O58" s="29">
        <v>1</v>
      </c>
      <c r="P58" s="8" t="s">
        <v>35</v>
      </c>
      <c r="Q58" s="8" t="s">
        <v>36</v>
      </c>
      <c r="R58" s="8" t="s">
        <v>71</v>
      </c>
      <c r="S58" s="8" t="s">
        <v>38</v>
      </c>
      <c r="V58" s="26" t="str">
        <f>VLOOKUP(MID(Table1[[#This Row],[Nodo]],1,12),Tabla2[#Data],2,FALSE)</f>
        <v>APILADOR APILADOR SISTEMA DE A</v>
      </c>
      <c r="W58" s="26" t="str">
        <f t="shared" si="1"/>
        <v>ELE</v>
      </c>
      <c r="X58" s="26" t="e">
        <f>VLOOKUP(MID([1]!Table1[[#This Row],[Nodo]],1,7),[1]!Tabla5[#Data],2,FALSE)</f>
        <v>#N/A</v>
      </c>
    </row>
    <row r="59" spans="1:24" x14ac:dyDescent="0.3">
      <c r="A59" s="8" t="s">
        <v>24</v>
      </c>
      <c r="B59" s="8" t="s">
        <v>25</v>
      </c>
      <c r="C59" s="8" t="s">
        <v>26</v>
      </c>
      <c r="D59" s="8" t="s">
        <v>65</v>
      </c>
      <c r="E59" s="8" t="s">
        <v>66</v>
      </c>
      <c r="F59" s="8" t="s">
        <v>80</v>
      </c>
      <c r="G59" s="8" t="s">
        <v>68</v>
      </c>
      <c r="H59" s="8" t="s">
        <v>69</v>
      </c>
      <c r="I59" s="8" t="s">
        <v>70</v>
      </c>
      <c r="J59" s="28">
        <v>45695.430960648147</v>
      </c>
      <c r="K59" s="28">
        <v>45863.464583333334</v>
      </c>
      <c r="L59" s="8" t="s">
        <v>33</v>
      </c>
      <c r="M59" s="8" t="s">
        <v>34</v>
      </c>
      <c r="N59" s="29">
        <v>0</v>
      </c>
      <c r="O59" s="29">
        <v>1</v>
      </c>
      <c r="P59" s="8" t="s">
        <v>35</v>
      </c>
      <c r="Q59" s="8" t="s">
        <v>36</v>
      </c>
      <c r="R59" s="8" t="s">
        <v>71</v>
      </c>
      <c r="S59" s="8" t="s">
        <v>38</v>
      </c>
      <c r="V59" s="26" t="str">
        <f>VLOOKUP(MID(Table1[[#This Row],[Nodo]],1,12),Tabla2[#Data],2,FALSE)</f>
        <v>APILADOR APILADOR SISTEMA DE A</v>
      </c>
      <c r="W59" s="26" t="str">
        <f t="shared" si="1"/>
        <v>ELE</v>
      </c>
      <c r="X59" s="26" t="e">
        <f>VLOOKUP(MID([1]!Table1[[#This Row],[Nodo]],1,7),[1]!Tabla5[#Data],2,FALSE)</f>
        <v>#N/A</v>
      </c>
    </row>
    <row r="60" spans="1:24" x14ac:dyDescent="0.3">
      <c r="A60" s="8" t="s">
        <v>24</v>
      </c>
      <c r="B60" s="8" t="s">
        <v>25</v>
      </c>
      <c r="C60" s="8" t="s">
        <v>26</v>
      </c>
      <c r="D60" s="8" t="s">
        <v>65</v>
      </c>
      <c r="E60" s="8" t="s">
        <v>66</v>
      </c>
      <c r="F60" s="8" t="s">
        <v>67</v>
      </c>
      <c r="G60" s="8" t="s">
        <v>81</v>
      </c>
      <c r="H60" s="8" t="s">
        <v>82</v>
      </c>
      <c r="I60" s="8" t="s">
        <v>83</v>
      </c>
      <c r="J60" s="28">
        <v>45695.431018518517</v>
      </c>
      <c r="K60" s="28">
        <v>45863.464583333334</v>
      </c>
      <c r="L60" s="8" t="s">
        <v>33</v>
      </c>
      <c r="M60" s="8" t="s">
        <v>34</v>
      </c>
      <c r="N60" s="29">
        <v>0</v>
      </c>
      <c r="O60" s="29">
        <v>1</v>
      </c>
      <c r="P60" s="8" t="s">
        <v>35</v>
      </c>
      <c r="Q60" s="8" t="s">
        <v>36</v>
      </c>
      <c r="R60" s="8" t="s">
        <v>71</v>
      </c>
      <c r="S60" s="8" t="s">
        <v>38</v>
      </c>
      <c r="V60" s="26" t="str">
        <f>VLOOKUP(MID(Table1[[#This Row],[Nodo]],1,12),Tabla2[#Data],2,FALSE)</f>
        <v>ESTACION DE FORMADO</v>
      </c>
      <c r="W60" s="26" t="str">
        <f t="shared" si="1"/>
        <v>ELE</v>
      </c>
      <c r="X60" s="26" t="e">
        <f>VLOOKUP(MID([1]!Table1[[#This Row],[Nodo]],1,7),[1]!Tabla5[#Data],2,FALSE)</f>
        <v>#N/A</v>
      </c>
    </row>
    <row r="61" spans="1:24" x14ac:dyDescent="0.3">
      <c r="A61" s="8" t="s">
        <v>24</v>
      </c>
      <c r="B61" s="8" t="s">
        <v>25</v>
      </c>
      <c r="C61" s="8" t="s">
        <v>26</v>
      </c>
      <c r="D61" s="8" t="s">
        <v>65</v>
      </c>
      <c r="E61" s="8" t="s">
        <v>66</v>
      </c>
      <c r="F61" s="8" t="s">
        <v>72</v>
      </c>
      <c r="G61" s="8" t="s">
        <v>81</v>
      </c>
      <c r="H61" s="8" t="s">
        <v>82</v>
      </c>
      <c r="I61" s="8" t="s">
        <v>83</v>
      </c>
      <c r="J61" s="28">
        <v>45695.431018518517</v>
      </c>
      <c r="K61" s="28">
        <v>45863.464583333334</v>
      </c>
      <c r="L61" s="8" t="s">
        <v>33</v>
      </c>
      <c r="M61" s="8" t="s">
        <v>34</v>
      </c>
      <c r="N61" s="29">
        <v>0</v>
      </c>
      <c r="O61" s="29">
        <v>1</v>
      </c>
      <c r="P61" s="8" t="s">
        <v>35</v>
      </c>
      <c r="Q61" s="8" t="s">
        <v>36</v>
      </c>
      <c r="R61" s="8" t="s">
        <v>71</v>
      </c>
      <c r="S61" s="8" t="s">
        <v>38</v>
      </c>
      <c r="V61" s="26" t="str">
        <f>VLOOKUP(MID(Table1[[#This Row],[Nodo]],1,12),Tabla2[#Data],2,FALSE)</f>
        <v>ESTACION DE FORMADO</v>
      </c>
      <c r="W61" s="26" t="str">
        <f t="shared" si="1"/>
        <v>ELE</v>
      </c>
      <c r="X61" s="26" t="e">
        <f>VLOOKUP(MID([1]!Table1[[#This Row],[Nodo]],1,7),[1]!Tabla5[#Data],2,FALSE)</f>
        <v>#N/A</v>
      </c>
    </row>
    <row r="62" spans="1:24" x14ac:dyDescent="0.3">
      <c r="A62" s="8" t="s">
        <v>24</v>
      </c>
      <c r="B62" s="8" t="s">
        <v>25</v>
      </c>
      <c r="C62" s="8" t="s">
        <v>26</v>
      </c>
      <c r="D62" s="8" t="s">
        <v>65</v>
      </c>
      <c r="E62" s="8" t="s">
        <v>66</v>
      </c>
      <c r="F62" s="8" t="s">
        <v>73</v>
      </c>
      <c r="G62" s="8" t="s">
        <v>81</v>
      </c>
      <c r="H62" s="8" t="s">
        <v>82</v>
      </c>
      <c r="I62" s="8" t="s">
        <v>83</v>
      </c>
      <c r="J62" s="28">
        <v>45695.431018518517</v>
      </c>
      <c r="K62" s="28">
        <v>45863.464583333334</v>
      </c>
      <c r="L62" s="8" t="s">
        <v>33</v>
      </c>
      <c r="M62" s="8" t="s">
        <v>34</v>
      </c>
      <c r="N62" s="29">
        <v>0</v>
      </c>
      <c r="O62" s="29">
        <v>1</v>
      </c>
      <c r="P62" s="8" t="s">
        <v>35</v>
      </c>
      <c r="Q62" s="8" t="s">
        <v>36</v>
      </c>
      <c r="R62" s="8" t="s">
        <v>71</v>
      </c>
      <c r="S62" s="8" t="s">
        <v>38</v>
      </c>
      <c r="V62" s="26" t="str">
        <f>VLOOKUP(MID(Table1[[#This Row],[Nodo]],1,12),Tabla2[#Data],2,FALSE)</f>
        <v>ESTACION DE FORMADO</v>
      </c>
      <c r="W62" s="26" t="str">
        <f t="shared" si="1"/>
        <v>ELE</v>
      </c>
      <c r="X62" s="26" t="e">
        <f>VLOOKUP(MID([1]!Table1[[#This Row],[Nodo]],1,7),[1]!Tabla5[#Data],2,FALSE)</f>
        <v>#N/A</v>
      </c>
    </row>
    <row r="63" spans="1:24" x14ac:dyDescent="0.3">
      <c r="A63" s="8" t="s">
        <v>24</v>
      </c>
      <c r="B63" s="8" t="s">
        <v>25</v>
      </c>
      <c r="C63" s="8" t="s">
        <v>26</v>
      </c>
      <c r="D63" s="8" t="s">
        <v>65</v>
      </c>
      <c r="E63" s="8" t="s">
        <v>66</v>
      </c>
      <c r="F63" s="8" t="s">
        <v>74</v>
      </c>
      <c r="G63" s="8" t="s">
        <v>81</v>
      </c>
      <c r="H63" s="8" t="s">
        <v>82</v>
      </c>
      <c r="I63" s="8" t="s">
        <v>83</v>
      </c>
      <c r="J63" s="28">
        <v>45695.431018518517</v>
      </c>
      <c r="K63" s="28">
        <v>45863.464583333334</v>
      </c>
      <c r="L63" s="8" t="s">
        <v>33</v>
      </c>
      <c r="M63" s="8" t="s">
        <v>34</v>
      </c>
      <c r="N63" s="29">
        <v>0</v>
      </c>
      <c r="O63" s="29">
        <v>1</v>
      </c>
      <c r="P63" s="8" t="s">
        <v>35</v>
      </c>
      <c r="Q63" s="8" t="s">
        <v>36</v>
      </c>
      <c r="R63" s="8" t="s">
        <v>71</v>
      </c>
      <c r="S63" s="8" t="s">
        <v>38</v>
      </c>
      <c r="V63" s="26" t="str">
        <f>VLOOKUP(MID(Table1[[#This Row],[Nodo]],1,12),Tabla2[#Data],2,FALSE)</f>
        <v>ESTACION DE FORMADO</v>
      </c>
      <c r="W63" s="26" t="str">
        <f t="shared" si="1"/>
        <v>ELE</v>
      </c>
      <c r="X63" s="26" t="e">
        <f>VLOOKUP(MID([1]!Table1[[#This Row],[Nodo]],1,7),[1]!Tabla5[#Data],2,FALSE)</f>
        <v>#N/A</v>
      </c>
    </row>
    <row r="64" spans="1:24" x14ac:dyDescent="0.3">
      <c r="A64" s="8" t="s">
        <v>24</v>
      </c>
      <c r="B64" s="8" t="s">
        <v>25</v>
      </c>
      <c r="C64" s="8" t="s">
        <v>26</v>
      </c>
      <c r="D64" s="8" t="s">
        <v>65</v>
      </c>
      <c r="E64" s="8" t="s">
        <v>66</v>
      </c>
      <c r="F64" s="8" t="s">
        <v>75</v>
      </c>
      <c r="G64" s="8" t="s">
        <v>81</v>
      </c>
      <c r="H64" s="8" t="s">
        <v>82</v>
      </c>
      <c r="I64" s="8" t="s">
        <v>83</v>
      </c>
      <c r="J64" s="28">
        <v>45695.431018518517</v>
      </c>
      <c r="K64" s="28">
        <v>45863.464583333334</v>
      </c>
      <c r="L64" s="8" t="s">
        <v>33</v>
      </c>
      <c r="M64" s="8" t="s">
        <v>34</v>
      </c>
      <c r="N64" s="29">
        <v>0</v>
      </c>
      <c r="O64" s="29">
        <v>1</v>
      </c>
      <c r="P64" s="8" t="s">
        <v>35</v>
      </c>
      <c r="Q64" s="8" t="s">
        <v>36</v>
      </c>
      <c r="R64" s="8" t="s">
        <v>71</v>
      </c>
      <c r="S64" s="8" t="s">
        <v>38</v>
      </c>
      <c r="V64" s="26" t="str">
        <f>VLOOKUP(MID(Table1[[#This Row],[Nodo]],1,12),Tabla2[#Data],2,FALSE)</f>
        <v>ESTACION DE FORMADO</v>
      </c>
      <c r="W64" s="26" t="str">
        <f t="shared" si="1"/>
        <v>ELE</v>
      </c>
      <c r="X64" s="26" t="e">
        <f>VLOOKUP(MID([1]!Table1[[#This Row],[Nodo]],1,7),[1]!Tabla5[#Data],2,FALSE)</f>
        <v>#N/A</v>
      </c>
    </row>
    <row r="65" spans="1:24" x14ac:dyDescent="0.3">
      <c r="A65" s="8" t="s">
        <v>24</v>
      </c>
      <c r="B65" s="8" t="s">
        <v>25</v>
      </c>
      <c r="C65" s="8" t="s">
        <v>26</v>
      </c>
      <c r="D65" s="8" t="s">
        <v>65</v>
      </c>
      <c r="E65" s="8" t="s">
        <v>66</v>
      </c>
      <c r="F65" s="8" t="s">
        <v>76</v>
      </c>
      <c r="G65" s="8" t="s">
        <v>81</v>
      </c>
      <c r="H65" s="8" t="s">
        <v>82</v>
      </c>
      <c r="I65" s="8" t="s">
        <v>83</v>
      </c>
      <c r="J65" s="28">
        <v>45695.431018518517</v>
      </c>
      <c r="K65" s="28">
        <v>45863.464583333334</v>
      </c>
      <c r="L65" s="8" t="s">
        <v>33</v>
      </c>
      <c r="M65" s="8" t="s">
        <v>34</v>
      </c>
      <c r="N65" s="29">
        <v>0</v>
      </c>
      <c r="O65" s="29">
        <v>1</v>
      </c>
      <c r="P65" s="8" t="s">
        <v>35</v>
      </c>
      <c r="Q65" s="8" t="s">
        <v>36</v>
      </c>
      <c r="R65" s="8" t="s">
        <v>71</v>
      </c>
      <c r="S65" s="8" t="s">
        <v>38</v>
      </c>
      <c r="V65" s="26" t="str">
        <f>VLOOKUP(MID(Table1[[#This Row],[Nodo]],1,12),Tabla2[#Data],2,FALSE)</f>
        <v>ESTACION DE FORMADO</v>
      </c>
      <c r="W65" s="26" t="str">
        <f t="shared" si="1"/>
        <v>ELE</v>
      </c>
      <c r="X65" s="26" t="e">
        <f>VLOOKUP(MID([1]!Table1[[#This Row],[Nodo]],1,7),[1]!Tabla5[#Data],2,FALSE)</f>
        <v>#N/A</v>
      </c>
    </row>
    <row r="66" spans="1:24" x14ac:dyDescent="0.3">
      <c r="A66" s="8" t="s">
        <v>24</v>
      </c>
      <c r="B66" s="8" t="s">
        <v>25</v>
      </c>
      <c r="C66" s="8" t="s">
        <v>26</v>
      </c>
      <c r="D66" s="8" t="s">
        <v>65</v>
      </c>
      <c r="E66" s="8" t="s">
        <v>66</v>
      </c>
      <c r="F66" s="8" t="s">
        <v>77</v>
      </c>
      <c r="G66" s="8" t="s">
        <v>81</v>
      </c>
      <c r="H66" s="8" t="s">
        <v>82</v>
      </c>
      <c r="I66" s="8" t="s">
        <v>83</v>
      </c>
      <c r="J66" s="28">
        <v>45695.431018518517</v>
      </c>
      <c r="K66" s="28">
        <v>45863.464583333334</v>
      </c>
      <c r="L66" s="8" t="s">
        <v>33</v>
      </c>
      <c r="M66" s="8" t="s">
        <v>34</v>
      </c>
      <c r="N66" s="29">
        <v>0</v>
      </c>
      <c r="O66" s="29">
        <v>1</v>
      </c>
      <c r="P66" s="8" t="s">
        <v>35</v>
      </c>
      <c r="Q66" s="8" t="s">
        <v>36</v>
      </c>
      <c r="R66" s="8" t="s">
        <v>71</v>
      </c>
      <c r="S66" s="8" t="s">
        <v>38</v>
      </c>
      <c r="V66" s="26" t="str">
        <f>VLOOKUP(MID(Table1[[#This Row],[Nodo]],1,12),Tabla2[#Data],2,FALSE)</f>
        <v>ESTACION DE FORMADO</v>
      </c>
      <c r="W66" s="26" t="str">
        <f t="shared" si="1"/>
        <v>ELE</v>
      </c>
      <c r="X66" s="26" t="e">
        <f>VLOOKUP(MID([1]!Table1[[#This Row],[Nodo]],1,7),[1]!Tabla5[#Data],2,FALSE)</f>
        <v>#N/A</v>
      </c>
    </row>
    <row r="67" spans="1:24" x14ac:dyDescent="0.3">
      <c r="A67" s="8" t="s">
        <v>24</v>
      </c>
      <c r="B67" s="8" t="s">
        <v>25</v>
      </c>
      <c r="C67" s="8" t="s">
        <v>26</v>
      </c>
      <c r="D67" s="8" t="s">
        <v>65</v>
      </c>
      <c r="E67" s="8" t="s">
        <v>66</v>
      </c>
      <c r="F67" s="8" t="s">
        <v>78</v>
      </c>
      <c r="G67" s="8" t="s">
        <v>81</v>
      </c>
      <c r="H67" s="8" t="s">
        <v>82</v>
      </c>
      <c r="I67" s="8" t="s">
        <v>83</v>
      </c>
      <c r="J67" s="28">
        <v>45695.431018518517</v>
      </c>
      <c r="K67" s="28">
        <v>45863.464583333334</v>
      </c>
      <c r="L67" s="8" t="s">
        <v>33</v>
      </c>
      <c r="M67" s="8" t="s">
        <v>34</v>
      </c>
      <c r="N67" s="29">
        <v>0</v>
      </c>
      <c r="O67" s="29">
        <v>1</v>
      </c>
      <c r="P67" s="8" t="s">
        <v>35</v>
      </c>
      <c r="Q67" s="8" t="s">
        <v>36</v>
      </c>
      <c r="R67" s="8" t="s">
        <v>71</v>
      </c>
      <c r="S67" s="8" t="s">
        <v>38</v>
      </c>
      <c r="V67" s="26" t="str">
        <f>VLOOKUP(MID(Table1[[#This Row],[Nodo]],1,12),Tabla2[#Data],2,FALSE)</f>
        <v>ESTACION DE FORMADO</v>
      </c>
      <c r="W67" s="26" t="str">
        <f t="shared" ref="W67:W130" si="2">IF(MID(E67,1,3)="ELE","ELE",IF(MID(E67,1,3)="INS","ELE",IF(MID(E67,1,3)="MEC","MEC",IF(MID(E67,1,3)="LUB","MEC",IF(MID(E67,1,3)="IST","ELE"," ")))))</f>
        <v>ELE</v>
      </c>
      <c r="X67" s="26" t="e">
        <f>VLOOKUP(MID([1]!Table1[[#This Row],[Nodo]],1,7),[1]!Tabla5[#Data],2,FALSE)</f>
        <v>#N/A</v>
      </c>
    </row>
    <row r="68" spans="1:24" x14ac:dyDescent="0.3">
      <c r="A68" s="8" t="s">
        <v>24</v>
      </c>
      <c r="B68" s="8" t="s">
        <v>25</v>
      </c>
      <c r="C68" s="8" t="s">
        <v>26</v>
      </c>
      <c r="D68" s="8" t="s">
        <v>65</v>
      </c>
      <c r="E68" s="8" t="s">
        <v>66</v>
      </c>
      <c r="F68" s="8" t="s">
        <v>79</v>
      </c>
      <c r="G68" s="8" t="s">
        <v>81</v>
      </c>
      <c r="H68" s="8" t="s">
        <v>82</v>
      </c>
      <c r="I68" s="8" t="s">
        <v>83</v>
      </c>
      <c r="J68" s="28">
        <v>45695.431018518517</v>
      </c>
      <c r="K68" s="28">
        <v>45863.464583333334</v>
      </c>
      <c r="L68" s="8" t="s">
        <v>33</v>
      </c>
      <c r="M68" s="8" t="s">
        <v>34</v>
      </c>
      <c r="N68" s="29">
        <v>0</v>
      </c>
      <c r="O68" s="29">
        <v>1</v>
      </c>
      <c r="P68" s="8" t="s">
        <v>35</v>
      </c>
      <c r="Q68" s="8" t="s">
        <v>36</v>
      </c>
      <c r="R68" s="8" t="s">
        <v>71</v>
      </c>
      <c r="S68" s="8" t="s">
        <v>38</v>
      </c>
      <c r="V68" s="26" t="str">
        <f>VLOOKUP(MID(Table1[[#This Row],[Nodo]],1,12),Tabla2[#Data],2,FALSE)</f>
        <v>ESTACION DE FORMADO</v>
      </c>
      <c r="W68" s="26" t="str">
        <f t="shared" si="2"/>
        <v>ELE</v>
      </c>
      <c r="X68" s="26" t="e">
        <f>VLOOKUP(MID([1]!Table1[[#This Row],[Nodo]],1,7),[1]!Tabla5[#Data],2,FALSE)</f>
        <v>#N/A</v>
      </c>
    </row>
    <row r="69" spans="1:24" x14ac:dyDescent="0.3">
      <c r="A69" s="8" t="s">
        <v>24</v>
      </c>
      <c r="B69" s="8" t="s">
        <v>25</v>
      </c>
      <c r="C69" s="8" t="s">
        <v>26</v>
      </c>
      <c r="D69" s="8" t="s">
        <v>65</v>
      </c>
      <c r="E69" s="8" t="s">
        <v>66</v>
      </c>
      <c r="F69" s="8" t="s">
        <v>80</v>
      </c>
      <c r="G69" s="8" t="s">
        <v>81</v>
      </c>
      <c r="H69" s="8" t="s">
        <v>82</v>
      </c>
      <c r="I69" s="8" t="s">
        <v>83</v>
      </c>
      <c r="J69" s="28">
        <v>45695.431018518517</v>
      </c>
      <c r="K69" s="28">
        <v>45863.464583333334</v>
      </c>
      <c r="L69" s="8" t="s">
        <v>33</v>
      </c>
      <c r="M69" s="8" t="s">
        <v>34</v>
      </c>
      <c r="N69" s="29">
        <v>0</v>
      </c>
      <c r="O69" s="29">
        <v>1</v>
      </c>
      <c r="P69" s="8" t="s">
        <v>35</v>
      </c>
      <c r="Q69" s="8" t="s">
        <v>36</v>
      </c>
      <c r="R69" s="8" t="s">
        <v>71</v>
      </c>
      <c r="S69" s="8" t="s">
        <v>38</v>
      </c>
      <c r="V69" s="26" t="str">
        <f>VLOOKUP(MID(Table1[[#This Row],[Nodo]],1,12),Tabla2[#Data],2,FALSE)</f>
        <v>ESTACION DE FORMADO</v>
      </c>
      <c r="W69" s="26" t="str">
        <f t="shared" si="2"/>
        <v>ELE</v>
      </c>
      <c r="X69" s="26" t="e">
        <f>VLOOKUP(MID([1]!Table1[[#This Row],[Nodo]],1,7),[1]!Tabla5[#Data],2,FALSE)</f>
        <v>#N/A</v>
      </c>
    </row>
    <row r="70" spans="1:24" x14ac:dyDescent="0.3">
      <c r="A70" s="8" t="s">
        <v>24</v>
      </c>
      <c r="B70" s="8" t="s">
        <v>25</v>
      </c>
      <c r="C70" s="8" t="s">
        <v>26</v>
      </c>
      <c r="D70" s="8" t="s">
        <v>65</v>
      </c>
      <c r="E70" s="8" t="s">
        <v>66</v>
      </c>
      <c r="F70" s="8" t="s">
        <v>67</v>
      </c>
      <c r="G70" s="8" t="s">
        <v>84</v>
      </c>
      <c r="H70" s="8" t="s">
        <v>85</v>
      </c>
      <c r="I70" s="8" t="s">
        <v>86</v>
      </c>
      <c r="J70" s="28">
        <v>45695.431030092594</v>
      </c>
      <c r="K70" s="28">
        <v>45863.464583333334</v>
      </c>
      <c r="L70" s="8" t="s">
        <v>33</v>
      </c>
      <c r="M70" s="8" t="s">
        <v>34</v>
      </c>
      <c r="N70" s="29">
        <v>0</v>
      </c>
      <c r="O70" s="29">
        <v>1</v>
      </c>
      <c r="P70" s="8" t="s">
        <v>35</v>
      </c>
      <c r="Q70" s="8" t="s">
        <v>36</v>
      </c>
      <c r="R70" s="8" t="s">
        <v>71</v>
      </c>
      <c r="S70" s="8" t="s">
        <v>38</v>
      </c>
      <c r="V70" s="26" t="str">
        <f>VLOOKUP(MID(Table1[[#This Row],[Nodo]],1,12),Tabla2[#Data],2,FALSE)</f>
        <v>ESTACION DE FORMADO</v>
      </c>
      <c r="W70" s="26" t="str">
        <f t="shared" si="2"/>
        <v>ELE</v>
      </c>
      <c r="X70" s="26" t="e">
        <f>VLOOKUP(MID([1]!Table1[[#This Row],[Nodo]],1,7),[1]!Tabla5[#Data],2,FALSE)</f>
        <v>#N/A</v>
      </c>
    </row>
    <row r="71" spans="1:24" x14ac:dyDescent="0.3">
      <c r="A71" s="8" t="s">
        <v>24</v>
      </c>
      <c r="B71" s="8" t="s">
        <v>25</v>
      </c>
      <c r="C71" s="8" t="s">
        <v>26</v>
      </c>
      <c r="D71" s="8" t="s">
        <v>65</v>
      </c>
      <c r="E71" s="8" t="s">
        <v>66</v>
      </c>
      <c r="F71" s="8" t="s">
        <v>72</v>
      </c>
      <c r="G71" s="8" t="s">
        <v>84</v>
      </c>
      <c r="H71" s="8" t="s">
        <v>85</v>
      </c>
      <c r="I71" s="8" t="s">
        <v>86</v>
      </c>
      <c r="J71" s="28">
        <v>45695.431030092594</v>
      </c>
      <c r="K71" s="28">
        <v>45863.464583333334</v>
      </c>
      <c r="L71" s="8" t="s">
        <v>33</v>
      </c>
      <c r="M71" s="8" t="s">
        <v>34</v>
      </c>
      <c r="N71" s="29">
        <v>0</v>
      </c>
      <c r="O71" s="29">
        <v>1</v>
      </c>
      <c r="P71" s="8" t="s">
        <v>35</v>
      </c>
      <c r="Q71" s="8" t="s">
        <v>36</v>
      </c>
      <c r="R71" s="8" t="s">
        <v>71</v>
      </c>
      <c r="S71" s="8" t="s">
        <v>38</v>
      </c>
      <c r="V71" s="26" t="str">
        <f>VLOOKUP(MID(Table1[[#This Row],[Nodo]],1,12),Tabla2[#Data],2,FALSE)</f>
        <v>ESTACION DE FORMADO</v>
      </c>
      <c r="W71" s="26" t="str">
        <f t="shared" si="2"/>
        <v>ELE</v>
      </c>
      <c r="X71" s="26" t="e">
        <f>VLOOKUP(MID([1]!Table1[[#This Row],[Nodo]],1,7),[1]!Tabla5[#Data],2,FALSE)</f>
        <v>#N/A</v>
      </c>
    </row>
    <row r="72" spans="1:24" x14ac:dyDescent="0.3">
      <c r="A72" s="8" t="s">
        <v>24</v>
      </c>
      <c r="B72" s="8" t="s">
        <v>25</v>
      </c>
      <c r="C72" s="8" t="s">
        <v>26</v>
      </c>
      <c r="D72" s="8" t="s">
        <v>65</v>
      </c>
      <c r="E72" s="8" t="s">
        <v>66</v>
      </c>
      <c r="F72" s="8" t="s">
        <v>73</v>
      </c>
      <c r="G72" s="8" t="s">
        <v>84</v>
      </c>
      <c r="H72" s="8" t="s">
        <v>85</v>
      </c>
      <c r="I72" s="8" t="s">
        <v>86</v>
      </c>
      <c r="J72" s="28">
        <v>45695.431030092594</v>
      </c>
      <c r="K72" s="28">
        <v>45863.464583333334</v>
      </c>
      <c r="L72" s="8" t="s">
        <v>33</v>
      </c>
      <c r="M72" s="8" t="s">
        <v>34</v>
      </c>
      <c r="N72" s="29">
        <v>0</v>
      </c>
      <c r="O72" s="29">
        <v>1</v>
      </c>
      <c r="P72" s="8" t="s">
        <v>35</v>
      </c>
      <c r="Q72" s="8" t="s">
        <v>36</v>
      </c>
      <c r="R72" s="8" t="s">
        <v>71</v>
      </c>
      <c r="S72" s="8" t="s">
        <v>38</v>
      </c>
      <c r="V72" s="26" t="str">
        <f>VLOOKUP(MID(Table1[[#This Row],[Nodo]],1,12),Tabla2[#Data],2,FALSE)</f>
        <v>ESTACION DE FORMADO</v>
      </c>
      <c r="W72" s="26" t="str">
        <f t="shared" si="2"/>
        <v>ELE</v>
      </c>
      <c r="X72" s="26" t="e">
        <f>VLOOKUP(MID([1]!Table1[[#This Row],[Nodo]],1,7),[1]!Tabla5[#Data],2,FALSE)</f>
        <v>#N/A</v>
      </c>
    </row>
    <row r="73" spans="1:24" x14ac:dyDescent="0.3">
      <c r="A73" s="8" t="s">
        <v>24</v>
      </c>
      <c r="B73" s="8" t="s">
        <v>25</v>
      </c>
      <c r="C73" s="8" t="s">
        <v>26</v>
      </c>
      <c r="D73" s="8" t="s">
        <v>65</v>
      </c>
      <c r="E73" s="8" t="s">
        <v>66</v>
      </c>
      <c r="F73" s="8" t="s">
        <v>74</v>
      </c>
      <c r="G73" s="8" t="s">
        <v>84</v>
      </c>
      <c r="H73" s="8" t="s">
        <v>85</v>
      </c>
      <c r="I73" s="8" t="s">
        <v>86</v>
      </c>
      <c r="J73" s="28">
        <v>45695.431030092594</v>
      </c>
      <c r="K73" s="28">
        <v>45863.464583333334</v>
      </c>
      <c r="L73" s="8" t="s">
        <v>33</v>
      </c>
      <c r="M73" s="8" t="s">
        <v>34</v>
      </c>
      <c r="N73" s="29">
        <v>0</v>
      </c>
      <c r="O73" s="29">
        <v>1</v>
      </c>
      <c r="P73" s="8" t="s">
        <v>35</v>
      </c>
      <c r="Q73" s="8" t="s">
        <v>36</v>
      </c>
      <c r="R73" s="8" t="s">
        <v>71</v>
      </c>
      <c r="S73" s="8" t="s">
        <v>38</v>
      </c>
      <c r="V73" s="26" t="str">
        <f>VLOOKUP(MID(Table1[[#This Row],[Nodo]],1,12),Tabla2[#Data],2,FALSE)</f>
        <v>ESTACION DE FORMADO</v>
      </c>
      <c r="W73" s="26" t="str">
        <f t="shared" si="2"/>
        <v>ELE</v>
      </c>
      <c r="X73" s="26" t="e">
        <f>VLOOKUP(MID([1]!Table1[[#This Row],[Nodo]],1,7),[1]!Tabla5[#Data],2,FALSE)</f>
        <v>#N/A</v>
      </c>
    </row>
    <row r="74" spans="1:24" x14ac:dyDescent="0.3">
      <c r="A74" s="8" t="s">
        <v>24</v>
      </c>
      <c r="B74" s="8" t="s">
        <v>25</v>
      </c>
      <c r="C74" s="8" t="s">
        <v>26</v>
      </c>
      <c r="D74" s="8" t="s">
        <v>65</v>
      </c>
      <c r="E74" s="8" t="s">
        <v>66</v>
      </c>
      <c r="F74" s="8" t="s">
        <v>75</v>
      </c>
      <c r="G74" s="8" t="s">
        <v>84</v>
      </c>
      <c r="H74" s="8" t="s">
        <v>85</v>
      </c>
      <c r="I74" s="8" t="s">
        <v>86</v>
      </c>
      <c r="J74" s="28">
        <v>45695.431030092594</v>
      </c>
      <c r="K74" s="28">
        <v>45863.464583333334</v>
      </c>
      <c r="L74" s="8" t="s">
        <v>33</v>
      </c>
      <c r="M74" s="8" t="s">
        <v>34</v>
      </c>
      <c r="N74" s="29">
        <v>0</v>
      </c>
      <c r="O74" s="29">
        <v>1</v>
      </c>
      <c r="P74" s="8" t="s">
        <v>35</v>
      </c>
      <c r="Q74" s="8" t="s">
        <v>36</v>
      </c>
      <c r="R74" s="8" t="s">
        <v>71</v>
      </c>
      <c r="S74" s="8" t="s">
        <v>38</v>
      </c>
      <c r="V74" s="26" t="str">
        <f>VLOOKUP(MID(Table1[[#This Row],[Nodo]],1,12),Tabla2[#Data],2,FALSE)</f>
        <v>ESTACION DE FORMADO</v>
      </c>
      <c r="W74" s="26" t="str">
        <f t="shared" si="2"/>
        <v>ELE</v>
      </c>
      <c r="X74" s="26" t="e">
        <f>VLOOKUP(MID([1]!Table1[[#This Row],[Nodo]],1,7),[1]!Tabla5[#Data],2,FALSE)</f>
        <v>#N/A</v>
      </c>
    </row>
    <row r="75" spans="1:24" x14ac:dyDescent="0.3">
      <c r="A75" s="8" t="s">
        <v>24</v>
      </c>
      <c r="B75" s="8" t="s">
        <v>25</v>
      </c>
      <c r="C75" s="8" t="s">
        <v>26</v>
      </c>
      <c r="D75" s="8" t="s">
        <v>65</v>
      </c>
      <c r="E75" s="8" t="s">
        <v>66</v>
      </c>
      <c r="F75" s="8" t="s">
        <v>76</v>
      </c>
      <c r="G75" s="8" t="s">
        <v>84</v>
      </c>
      <c r="H75" s="8" t="s">
        <v>85</v>
      </c>
      <c r="I75" s="8" t="s">
        <v>86</v>
      </c>
      <c r="J75" s="28">
        <v>45695.431030092594</v>
      </c>
      <c r="K75" s="28">
        <v>45863.464583333334</v>
      </c>
      <c r="L75" s="8" t="s">
        <v>33</v>
      </c>
      <c r="M75" s="8" t="s">
        <v>34</v>
      </c>
      <c r="N75" s="29">
        <v>0</v>
      </c>
      <c r="O75" s="29">
        <v>1</v>
      </c>
      <c r="P75" s="8" t="s">
        <v>35</v>
      </c>
      <c r="Q75" s="8" t="s">
        <v>36</v>
      </c>
      <c r="R75" s="8" t="s">
        <v>71</v>
      </c>
      <c r="S75" s="8" t="s">
        <v>38</v>
      </c>
      <c r="V75" s="26" t="str">
        <f>VLOOKUP(MID(Table1[[#This Row],[Nodo]],1,12),Tabla2[#Data],2,FALSE)</f>
        <v>ESTACION DE FORMADO</v>
      </c>
      <c r="W75" s="26" t="str">
        <f t="shared" si="2"/>
        <v>ELE</v>
      </c>
      <c r="X75" s="26" t="e">
        <f>VLOOKUP(MID([1]!Table1[[#This Row],[Nodo]],1,7),[1]!Tabla5[#Data],2,FALSE)</f>
        <v>#N/A</v>
      </c>
    </row>
    <row r="76" spans="1:24" x14ac:dyDescent="0.3">
      <c r="A76" s="8" t="s">
        <v>24</v>
      </c>
      <c r="B76" s="8" t="s">
        <v>25</v>
      </c>
      <c r="C76" s="8" t="s">
        <v>26</v>
      </c>
      <c r="D76" s="8" t="s">
        <v>65</v>
      </c>
      <c r="E76" s="8" t="s">
        <v>66</v>
      </c>
      <c r="F76" s="8" t="s">
        <v>77</v>
      </c>
      <c r="G76" s="8" t="s">
        <v>84</v>
      </c>
      <c r="H76" s="8" t="s">
        <v>85</v>
      </c>
      <c r="I76" s="8" t="s">
        <v>86</v>
      </c>
      <c r="J76" s="28">
        <v>45695.431030092594</v>
      </c>
      <c r="K76" s="28">
        <v>45863.464583333334</v>
      </c>
      <c r="L76" s="8" t="s">
        <v>33</v>
      </c>
      <c r="M76" s="8" t="s">
        <v>34</v>
      </c>
      <c r="N76" s="29">
        <v>0</v>
      </c>
      <c r="O76" s="29">
        <v>1</v>
      </c>
      <c r="P76" s="8" t="s">
        <v>35</v>
      </c>
      <c r="Q76" s="8" t="s">
        <v>36</v>
      </c>
      <c r="R76" s="8" t="s">
        <v>71</v>
      </c>
      <c r="S76" s="8" t="s">
        <v>38</v>
      </c>
      <c r="V76" s="26" t="str">
        <f>VLOOKUP(MID(Table1[[#This Row],[Nodo]],1,12),Tabla2[#Data],2,FALSE)</f>
        <v>ESTACION DE FORMADO</v>
      </c>
      <c r="W76" s="26" t="str">
        <f t="shared" si="2"/>
        <v>ELE</v>
      </c>
      <c r="X76" s="26" t="e">
        <f>VLOOKUP(MID([1]!Table1[[#This Row],[Nodo]],1,7),[1]!Tabla5[#Data],2,FALSE)</f>
        <v>#N/A</v>
      </c>
    </row>
    <row r="77" spans="1:24" x14ac:dyDescent="0.3">
      <c r="A77" s="8" t="s">
        <v>24</v>
      </c>
      <c r="B77" s="8" t="s">
        <v>25</v>
      </c>
      <c r="C77" s="8" t="s">
        <v>26</v>
      </c>
      <c r="D77" s="8" t="s">
        <v>65</v>
      </c>
      <c r="E77" s="8" t="s">
        <v>66</v>
      </c>
      <c r="F77" s="8" t="s">
        <v>78</v>
      </c>
      <c r="G77" s="8" t="s">
        <v>84</v>
      </c>
      <c r="H77" s="8" t="s">
        <v>85</v>
      </c>
      <c r="I77" s="8" t="s">
        <v>86</v>
      </c>
      <c r="J77" s="28">
        <v>45695.431030092594</v>
      </c>
      <c r="K77" s="28">
        <v>45863.464583333334</v>
      </c>
      <c r="L77" s="8" t="s">
        <v>33</v>
      </c>
      <c r="M77" s="8" t="s">
        <v>34</v>
      </c>
      <c r="N77" s="29">
        <v>0</v>
      </c>
      <c r="O77" s="29">
        <v>1</v>
      </c>
      <c r="P77" s="8" t="s">
        <v>35</v>
      </c>
      <c r="Q77" s="8" t="s">
        <v>36</v>
      </c>
      <c r="R77" s="8" t="s">
        <v>71</v>
      </c>
      <c r="S77" s="8" t="s">
        <v>38</v>
      </c>
      <c r="V77" s="26" t="str">
        <f>VLOOKUP(MID(Table1[[#This Row],[Nodo]],1,12),Tabla2[#Data],2,FALSE)</f>
        <v>ESTACION DE FORMADO</v>
      </c>
      <c r="W77" s="26" t="str">
        <f t="shared" si="2"/>
        <v>ELE</v>
      </c>
      <c r="X77" s="26" t="e">
        <f>VLOOKUP(MID([1]!Table1[[#This Row],[Nodo]],1,7),[1]!Tabla5[#Data],2,FALSE)</f>
        <v>#N/A</v>
      </c>
    </row>
    <row r="78" spans="1:24" x14ac:dyDescent="0.3">
      <c r="A78" s="8" t="s">
        <v>24</v>
      </c>
      <c r="B78" s="8" t="s">
        <v>25</v>
      </c>
      <c r="C78" s="8" t="s">
        <v>26</v>
      </c>
      <c r="D78" s="8" t="s">
        <v>65</v>
      </c>
      <c r="E78" s="8" t="s">
        <v>66</v>
      </c>
      <c r="F78" s="8" t="s">
        <v>79</v>
      </c>
      <c r="G78" s="8" t="s">
        <v>84</v>
      </c>
      <c r="H78" s="8" t="s">
        <v>85</v>
      </c>
      <c r="I78" s="8" t="s">
        <v>86</v>
      </c>
      <c r="J78" s="28">
        <v>45695.431030092594</v>
      </c>
      <c r="K78" s="28">
        <v>45863.464583333334</v>
      </c>
      <c r="L78" s="8" t="s">
        <v>33</v>
      </c>
      <c r="M78" s="8" t="s">
        <v>34</v>
      </c>
      <c r="N78" s="29">
        <v>0</v>
      </c>
      <c r="O78" s="29">
        <v>1</v>
      </c>
      <c r="P78" s="8" t="s">
        <v>35</v>
      </c>
      <c r="Q78" s="8" t="s">
        <v>36</v>
      </c>
      <c r="R78" s="8" t="s">
        <v>71</v>
      </c>
      <c r="S78" s="8" t="s">
        <v>38</v>
      </c>
      <c r="V78" s="26" t="str">
        <f>VLOOKUP(MID(Table1[[#This Row],[Nodo]],1,12),Tabla2[#Data],2,FALSE)</f>
        <v>ESTACION DE FORMADO</v>
      </c>
      <c r="W78" s="26" t="str">
        <f t="shared" si="2"/>
        <v>ELE</v>
      </c>
      <c r="X78" s="26" t="e">
        <f>VLOOKUP(MID([1]!Table1[[#This Row],[Nodo]],1,7),[1]!Tabla5[#Data],2,FALSE)</f>
        <v>#N/A</v>
      </c>
    </row>
    <row r="79" spans="1:24" x14ac:dyDescent="0.3">
      <c r="A79" s="8" t="s">
        <v>24</v>
      </c>
      <c r="B79" s="8" t="s">
        <v>25</v>
      </c>
      <c r="C79" s="8" t="s">
        <v>26</v>
      </c>
      <c r="D79" s="8" t="s">
        <v>65</v>
      </c>
      <c r="E79" s="8" t="s">
        <v>66</v>
      </c>
      <c r="F79" s="8" t="s">
        <v>80</v>
      </c>
      <c r="G79" s="8" t="s">
        <v>84</v>
      </c>
      <c r="H79" s="8" t="s">
        <v>85</v>
      </c>
      <c r="I79" s="8" t="s">
        <v>86</v>
      </c>
      <c r="J79" s="28">
        <v>45695.431030092594</v>
      </c>
      <c r="K79" s="28">
        <v>45863.464583333334</v>
      </c>
      <c r="L79" s="8" t="s">
        <v>33</v>
      </c>
      <c r="M79" s="8" t="s">
        <v>34</v>
      </c>
      <c r="N79" s="29">
        <v>0</v>
      </c>
      <c r="O79" s="29">
        <v>1</v>
      </c>
      <c r="P79" s="8" t="s">
        <v>35</v>
      </c>
      <c r="Q79" s="8" t="s">
        <v>36</v>
      </c>
      <c r="R79" s="8" t="s">
        <v>71</v>
      </c>
      <c r="S79" s="8" t="s">
        <v>38</v>
      </c>
      <c r="V79" s="26" t="str">
        <f>VLOOKUP(MID(Table1[[#This Row],[Nodo]],1,12),Tabla2[#Data],2,FALSE)</f>
        <v>ESTACION DE FORMADO</v>
      </c>
      <c r="W79" s="26" t="str">
        <f t="shared" si="2"/>
        <v>ELE</v>
      </c>
      <c r="X79" s="26" t="e">
        <f>VLOOKUP(MID([1]!Table1[[#This Row],[Nodo]],1,7),[1]!Tabla5[#Data],2,FALSE)</f>
        <v>#N/A</v>
      </c>
    </row>
    <row r="80" spans="1:24" x14ac:dyDescent="0.3">
      <c r="A80" s="8" t="s">
        <v>24</v>
      </c>
      <c r="B80" s="8" t="s">
        <v>25</v>
      </c>
      <c r="C80" s="8" t="s">
        <v>26</v>
      </c>
      <c r="D80" s="8" t="s">
        <v>65</v>
      </c>
      <c r="E80" s="8" t="s">
        <v>66</v>
      </c>
      <c r="F80" s="8" t="s">
        <v>67</v>
      </c>
      <c r="G80" s="8" t="s">
        <v>87</v>
      </c>
      <c r="H80" s="8" t="s">
        <v>88</v>
      </c>
      <c r="I80" s="8" t="s">
        <v>89</v>
      </c>
      <c r="J80" s="28">
        <v>45695.431041666663</v>
      </c>
      <c r="K80" s="28">
        <v>45863.464583333334</v>
      </c>
      <c r="L80" s="8" t="s">
        <v>33</v>
      </c>
      <c r="M80" s="8" t="s">
        <v>34</v>
      </c>
      <c r="N80" s="29">
        <v>0</v>
      </c>
      <c r="O80" s="29">
        <v>1</v>
      </c>
      <c r="P80" s="8" t="s">
        <v>35</v>
      </c>
      <c r="Q80" s="8" t="s">
        <v>36</v>
      </c>
      <c r="R80" s="8" t="s">
        <v>71</v>
      </c>
      <c r="S80" s="8" t="s">
        <v>38</v>
      </c>
      <c r="V80" s="26" t="str">
        <f>VLOOKUP(MID(Table1[[#This Row],[Nodo]],1,12),Tabla2[#Data],2,FALSE)</f>
        <v>PRECALENTADOR</v>
      </c>
      <c r="W80" s="26" t="str">
        <f t="shared" si="2"/>
        <v>ELE</v>
      </c>
      <c r="X80" s="26" t="e">
        <f>VLOOKUP(MID([1]!Table1[[#This Row],[Nodo]],1,7),[1]!Tabla5[#Data],2,FALSE)</f>
        <v>#N/A</v>
      </c>
    </row>
    <row r="81" spans="1:24" x14ac:dyDescent="0.3">
      <c r="A81" s="8" t="s">
        <v>24</v>
      </c>
      <c r="B81" s="8" t="s">
        <v>25</v>
      </c>
      <c r="C81" s="8" t="s">
        <v>26</v>
      </c>
      <c r="D81" s="8" t="s">
        <v>65</v>
      </c>
      <c r="E81" s="8" t="s">
        <v>66</v>
      </c>
      <c r="F81" s="8" t="s">
        <v>72</v>
      </c>
      <c r="G81" s="8" t="s">
        <v>87</v>
      </c>
      <c r="H81" s="8" t="s">
        <v>88</v>
      </c>
      <c r="I81" s="8" t="s">
        <v>89</v>
      </c>
      <c r="J81" s="28">
        <v>45695.431041666663</v>
      </c>
      <c r="K81" s="28">
        <v>45863.464583333334</v>
      </c>
      <c r="L81" s="8" t="s">
        <v>33</v>
      </c>
      <c r="M81" s="8" t="s">
        <v>34</v>
      </c>
      <c r="N81" s="29">
        <v>0</v>
      </c>
      <c r="O81" s="29">
        <v>1</v>
      </c>
      <c r="P81" s="8" t="s">
        <v>35</v>
      </c>
      <c r="Q81" s="8" t="s">
        <v>36</v>
      </c>
      <c r="R81" s="8" t="s">
        <v>71</v>
      </c>
      <c r="S81" s="8" t="s">
        <v>38</v>
      </c>
      <c r="V81" s="26" t="str">
        <f>VLOOKUP(MID(Table1[[#This Row],[Nodo]],1,12),Tabla2[#Data],2,FALSE)</f>
        <v>PRECALENTADOR</v>
      </c>
      <c r="W81" s="26" t="str">
        <f t="shared" si="2"/>
        <v>ELE</v>
      </c>
      <c r="X81" s="26" t="e">
        <f>VLOOKUP(MID([1]!Table1[[#This Row],[Nodo]],1,7),[1]!Tabla5[#Data],2,FALSE)</f>
        <v>#N/A</v>
      </c>
    </row>
    <row r="82" spans="1:24" x14ac:dyDescent="0.3">
      <c r="A82" s="8" t="s">
        <v>24</v>
      </c>
      <c r="B82" s="8" t="s">
        <v>25</v>
      </c>
      <c r="C82" s="8" t="s">
        <v>26</v>
      </c>
      <c r="D82" s="8" t="s">
        <v>65</v>
      </c>
      <c r="E82" s="8" t="s">
        <v>66</v>
      </c>
      <c r="F82" s="8" t="s">
        <v>73</v>
      </c>
      <c r="G82" s="8" t="s">
        <v>87</v>
      </c>
      <c r="H82" s="8" t="s">
        <v>88</v>
      </c>
      <c r="I82" s="8" t="s">
        <v>89</v>
      </c>
      <c r="J82" s="28">
        <v>45695.431041666663</v>
      </c>
      <c r="K82" s="28">
        <v>45863.464583333334</v>
      </c>
      <c r="L82" s="8" t="s">
        <v>33</v>
      </c>
      <c r="M82" s="8" t="s">
        <v>34</v>
      </c>
      <c r="N82" s="29">
        <v>0</v>
      </c>
      <c r="O82" s="29">
        <v>1</v>
      </c>
      <c r="P82" s="8" t="s">
        <v>35</v>
      </c>
      <c r="Q82" s="8" t="s">
        <v>36</v>
      </c>
      <c r="R82" s="8" t="s">
        <v>71</v>
      </c>
      <c r="S82" s="8" t="s">
        <v>38</v>
      </c>
      <c r="V82" s="26" t="str">
        <f>VLOOKUP(MID(Table1[[#This Row],[Nodo]],1,12),Tabla2[#Data],2,FALSE)</f>
        <v>PRECALENTADOR</v>
      </c>
      <c r="W82" s="26" t="str">
        <f t="shared" si="2"/>
        <v>ELE</v>
      </c>
      <c r="X82" s="26" t="e">
        <f>VLOOKUP(MID([1]!Table1[[#This Row],[Nodo]],1,7),[1]!Tabla5[#Data],2,FALSE)</f>
        <v>#N/A</v>
      </c>
    </row>
    <row r="83" spans="1:24" x14ac:dyDescent="0.3">
      <c r="A83" s="8" t="s">
        <v>24</v>
      </c>
      <c r="B83" s="8" t="s">
        <v>25</v>
      </c>
      <c r="C83" s="8" t="s">
        <v>26</v>
      </c>
      <c r="D83" s="8" t="s">
        <v>65</v>
      </c>
      <c r="E83" s="8" t="s">
        <v>66</v>
      </c>
      <c r="F83" s="8" t="s">
        <v>74</v>
      </c>
      <c r="G83" s="8" t="s">
        <v>87</v>
      </c>
      <c r="H83" s="8" t="s">
        <v>88</v>
      </c>
      <c r="I83" s="8" t="s">
        <v>89</v>
      </c>
      <c r="J83" s="28">
        <v>45695.431041666663</v>
      </c>
      <c r="K83" s="28">
        <v>45863.464583333334</v>
      </c>
      <c r="L83" s="8" t="s">
        <v>33</v>
      </c>
      <c r="M83" s="8" t="s">
        <v>34</v>
      </c>
      <c r="N83" s="29">
        <v>0</v>
      </c>
      <c r="O83" s="29">
        <v>1</v>
      </c>
      <c r="P83" s="8" t="s">
        <v>35</v>
      </c>
      <c r="Q83" s="8" t="s">
        <v>36</v>
      </c>
      <c r="R83" s="8" t="s">
        <v>71</v>
      </c>
      <c r="S83" s="8" t="s">
        <v>38</v>
      </c>
      <c r="V83" s="26" t="str">
        <f>VLOOKUP(MID(Table1[[#This Row],[Nodo]],1,12),Tabla2[#Data],2,FALSE)</f>
        <v>PRECALENTADOR</v>
      </c>
      <c r="W83" s="26" t="str">
        <f t="shared" si="2"/>
        <v>ELE</v>
      </c>
      <c r="X83" s="26" t="e">
        <f>VLOOKUP(MID([1]!Table1[[#This Row],[Nodo]],1,7),[1]!Tabla5[#Data],2,FALSE)</f>
        <v>#N/A</v>
      </c>
    </row>
    <row r="84" spans="1:24" x14ac:dyDescent="0.3">
      <c r="A84" s="8" t="s">
        <v>24</v>
      </c>
      <c r="B84" s="8" t="s">
        <v>25</v>
      </c>
      <c r="C84" s="8" t="s">
        <v>26</v>
      </c>
      <c r="D84" s="8" t="s">
        <v>65</v>
      </c>
      <c r="E84" s="8" t="s">
        <v>66</v>
      </c>
      <c r="F84" s="8" t="s">
        <v>75</v>
      </c>
      <c r="G84" s="8" t="s">
        <v>87</v>
      </c>
      <c r="H84" s="8" t="s">
        <v>88</v>
      </c>
      <c r="I84" s="8" t="s">
        <v>89</v>
      </c>
      <c r="J84" s="28">
        <v>45695.431041666663</v>
      </c>
      <c r="K84" s="28">
        <v>45863.464583333334</v>
      </c>
      <c r="L84" s="8" t="s">
        <v>33</v>
      </c>
      <c r="M84" s="8" t="s">
        <v>34</v>
      </c>
      <c r="N84" s="29">
        <v>0</v>
      </c>
      <c r="O84" s="29">
        <v>1</v>
      </c>
      <c r="P84" s="8" t="s">
        <v>35</v>
      </c>
      <c r="Q84" s="8" t="s">
        <v>36</v>
      </c>
      <c r="R84" s="8" t="s">
        <v>71</v>
      </c>
      <c r="S84" s="8" t="s">
        <v>38</v>
      </c>
      <c r="V84" s="26" t="str">
        <f>VLOOKUP(MID(Table1[[#This Row],[Nodo]],1,12),Tabla2[#Data],2,FALSE)</f>
        <v>PRECALENTADOR</v>
      </c>
      <c r="W84" s="26" t="str">
        <f t="shared" si="2"/>
        <v>ELE</v>
      </c>
      <c r="X84" s="26" t="e">
        <f>VLOOKUP(MID([1]!Table1[[#This Row],[Nodo]],1,7),[1]!Tabla5[#Data],2,FALSE)</f>
        <v>#N/A</v>
      </c>
    </row>
    <row r="85" spans="1:24" x14ac:dyDescent="0.3">
      <c r="A85" s="8" t="s">
        <v>24</v>
      </c>
      <c r="B85" s="8" t="s">
        <v>25</v>
      </c>
      <c r="C85" s="8" t="s">
        <v>26</v>
      </c>
      <c r="D85" s="8" t="s">
        <v>65</v>
      </c>
      <c r="E85" s="8" t="s">
        <v>66</v>
      </c>
      <c r="F85" s="8" t="s">
        <v>76</v>
      </c>
      <c r="G85" s="8" t="s">
        <v>87</v>
      </c>
      <c r="H85" s="8" t="s">
        <v>88</v>
      </c>
      <c r="I85" s="8" t="s">
        <v>89</v>
      </c>
      <c r="J85" s="28">
        <v>45695.431041666663</v>
      </c>
      <c r="K85" s="28">
        <v>45863.464583333334</v>
      </c>
      <c r="L85" s="8" t="s">
        <v>33</v>
      </c>
      <c r="M85" s="8" t="s">
        <v>34</v>
      </c>
      <c r="N85" s="29">
        <v>0</v>
      </c>
      <c r="O85" s="29">
        <v>1</v>
      </c>
      <c r="P85" s="8" t="s">
        <v>35</v>
      </c>
      <c r="Q85" s="8" t="s">
        <v>36</v>
      </c>
      <c r="R85" s="8" t="s">
        <v>71</v>
      </c>
      <c r="S85" s="8" t="s">
        <v>38</v>
      </c>
      <c r="V85" s="26" t="str">
        <f>VLOOKUP(MID(Table1[[#This Row],[Nodo]],1,12),Tabla2[#Data],2,FALSE)</f>
        <v>PRECALENTADOR</v>
      </c>
      <c r="W85" s="26" t="str">
        <f t="shared" si="2"/>
        <v>ELE</v>
      </c>
      <c r="X85" s="26" t="e">
        <f>VLOOKUP(MID([1]!Table1[[#This Row],[Nodo]],1,7),[1]!Tabla5[#Data],2,FALSE)</f>
        <v>#N/A</v>
      </c>
    </row>
    <row r="86" spans="1:24" x14ac:dyDescent="0.3">
      <c r="A86" s="8" t="s">
        <v>24</v>
      </c>
      <c r="B86" s="8" t="s">
        <v>25</v>
      </c>
      <c r="C86" s="8" t="s">
        <v>26</v>
      </c>
      <c r="D86" s="8" t="s">
        <v>65</v>
      </c>
      <c r="E86" s="8" t="s">
        <v>66</v>
      </c>
      <c r="F86" s="8" t="s">
        <v>77</v>
      </c>
      <c r="G86" s="8" t="s">
        <v>87</v>
      </c>
      <c r="H86" s="8" t="s">
        <v>88</v>
      </c>
      <c r="I86" s="8" t="s">
        <v>89</v>
      </c>
      <c r="J86" s="28">
        <v>45695.431041666663</v>
      </c>
      <c r="K86" s="28">
        <v>45863.464583333334</v>
      </c>
      <c r="L86" s="8" t="s">
        <v>33</v>
      </c>
      <c r="M86" s="8" t="s">
        <v>34</v>
      </c>
      <c r="N86" s="29">
        <v>0</v>
      </c>
      <c r="O86" s="29">
        <v>1</v>
      </c>
      <c r="P86" s="8" t="s">
        <v>35</v>
      </c>
      <c r="Q86" s="8" t="s">
        <v>36</v>
      </c>
      <c r="R86" s="8" t="s">
        <v>71</v>
      </c>
      <c r="S86" s="8" t="s">
        <v>38</v>
      </c>
      <c r="V86" s="26" t="str">
        <f>VLOOKUP(MID(Table1[[#This Row],[Nodo]],1,12),Tabla2[#Data],2,FALSE)</f>
        <v>PRECALENTADOR</v>
      </c>
      <c r="W86" s="26" t="str">
        <f t="shared" si="2"/>
        <v>ELE</v>
      </c>
      <c r="X86" s="26" t="e">
        <f>VLOOKUP(MID([1]!Table1[[#This Row],[Nodo]],1,7),[1]!Tabla5[#Data],2,FALSE)</f>
        <v>#N/A</v>
      </c>
    </row>
    <row r="87" spans="1:24" x14ac:dyDescent="0.3">
      <c r="A87" s="8" t="s">
        <v>24</v>
      </c>
      <c r="B87" s="8" t="s">
        <v>25</v>
      </c>
      <c r="C87" s="8" t="s">
        <v>26</v>
      </c>
      <c r="D87" s="8" t="s">
        <v>65</v>
      </c>
      <c r="E87" s="8" t="s">
        <v>66</v>
      </c>
      <c r="F87" s="8" t="s">
        <v>78</v>
      </c>
      <c r="G87" s="8" t="s">
        <v>87</v>
      </c>
      <c r="H87" s="8" t="s">
        <v>88</v>
      </c>
      <c r="I87" s="8" t="s">
        <v>89</v>
      </c>
      <c r="J87" s="28">
        <v>45695.431041666663</v>
      </c>
      <c r="K87" s="28">
        <v>45863.464583333334</v>
      </c>
      <c r="L87" s="8" t="s">
        <v>33</v>
      </c>
      <c r="M87" s="8" t="s">
        <v>34</v>
      </c>
      <c r="N87" s="29">
        <v>0</v>
      </c>
      <c r="O87" s="29">
        <v>1</v>
      </c>
      <c r="P87" s="8" t="s">
        <v>35</v>
      </c>
      <c r="Q87" s="8" t="s">
        <v>36</v>
      </c>
      <c r="R87" s="8" t="s">
        <v>71</v>
      </c>
      <c r="S87" s="8" t="s">
        <v>38</v>
      </c>
      <c r="V87" s="26" t="str">
        <f>VLOOKUP(MID(Table1[[#This Row],[Nodo]],1,12),Tabla2[#Data],2,FALSE)</f>
        <v>PRECALENTADOR</v>
      </c>
      <c r="W87" s="26" t="str">
        <f t="shared" si="2"/>
        <v>ELE</v>
      </c>
      <c r="X87" s="26" t="e">
        <f>VLOOKUP(MID([1]!Table1[[#This Row],[Nodo]],1,7),[1]!Tabla5[#Data],2,FALSE)</f>
        <v>#N/A</v>
      </c>
    </row>
    <row r="88" spans="1:24" x14ac:dyDescent="0.3">
      <c r="A88" s="8" t="s">
        <v>24</v>
      </c>
      <c r="B88" s="8" t="s">
        <v>25</v>
      </c>
      <c r="C88" s="8" t="s">
        <v>26</v>
      </c>
      <c r="D88" s="8" t="s">
        <v>65</v>
      </c>
      <c r="E88" s="8" t="s">
        <v>66</v>
      </c>
      <c r="F88" s="8" t="s">
        <v>79</v>
      </c>
      <c r="G88" s="8" t="s">
        <v>87</v>
      </c>
      <c r="H88" s="8" t="s">
        <v>88</v>
      </c>
      <c r="I88" s="8" t="s">
        <v>89</v>
      </c>
      <c r="J88" s="28">
        <v>45695.431041666663</v>
      </c>
      <c r="K88" s="28">
        <v>45863.464583333334</v>
      </c>
      <c r="L88" s="8" t="s">
        <v>33</v>
      </c>
      <c r="M88" s="8" t="s">
        <v>34</v>
      </c>
      <c r="N88" s="29">
        <v>0</v>
      </c>
      <c r="O88" s="29">
        <v>1</v>
      </c>
      <c r="P88" s="8" t="s">
        <v>35</v>
      </c>
      <c r="Q88" s="8" t="s">
        <v>36</v>
      </c>
      <c r="R88" s="8" t="s">
        <v>71</v>
      </c>
      <c r="S88" s="8" t="s">
        <v>38</v>
      </c>
      <c r="V88" s="26" t="str">
        <f>VLOOKUP(MID(Table1[[#This Row],[Nodo]],1,12),Tabla2[#Data],2,FALSE)</f>
        <v>PRECALENTADOR</v>
      </c>
      <c r="W88" s="26" t="str">
        <f t="shared" si="2"/>
        <v>ELE</v>
      </c>
      <c r="X88" s="26" t="e">
        <f>VLOOKUP(MID([1]!Table1[[#This Row],[Nodo]],1,7),[1]!Tabla5[#Data],2,FALSE)</f>
        <v>#N/A</v>
      </c>
    </row>
    <row r="89" spans="1:24" x14ac:dyDescent="0.3">
      <c r="A89" s="8" t="s">
        <v>24</v>
      </c>
      <c r="B89" s="8" t="s">
        <v>25</v>
      </c>
      <c r="C89" s="8" t="s">
        <v>26</v>
      </c>
      <c r="D89" s="8" t="s">
        <v>65</v>
      </c>
      <c r="E89" s="8" t="s">
        <v>66</v>
      </c>
      <c r="F89" s="8" t="s">
        <v>80</v>
      </c>
      <c r="G89" s="8" t="s">
        <v>87</v>
      </c>
      <c r="H89" s="8" t="s">
        <v>88</v>
      </c>
      <c r="I89" s="8" t="s">
        <v>89</v>
      </c>
      <c r="J89" s="28">
        <v>45695.431041666663</v>
      </c>
      <c r="K89" s="28">
        <v>45863.464583333334</v>
      </c>
      <c r="L89" s="8" t="s">
        <v>33</v>
      </c>
      <c r="M89" s="8" t="s">
        <v>34</v>
      </c>
      <c r="N89" s="29">
        <v>0</v>
      </c>
      <c r="O89" s="29">
        <v>1</v>
      </c>
      <c r="P89" s="8" t="s">
        <v>35</v>
      </c>
      <c r="Q89" s="8" t="s">
        <v>36</v>
      </c>
      <c r="R89" s="8" t="s">
        <v>71</v>
      </c>
      <c r="S89" s="8" t="s">
        <v>38</v>
      </c>
      <c r="V89" s="26" t="str">
        <f>VLOOKUP(MID(Table1[[#This Row],[Nodo]],1,12),Tabla2[#Data],2,FALSE)</f>
        <v>PRECALENTADOR</v>
      </c>
      <c r="W89" s="26" t="str">
        <f t="shared" si="2"/>
        <v>ELE</v>
      </c>
      <c r="X89" s="26" t="e">
        <f>VLOOKUP(MID([1]!Table1[[#This Row],[Nodo]],1,7),[1]!Tabla5[#Data],2,FALSE)</f>
        <v>#N/A</v>
      </c>
    </row>
    <row r="90" spans="1:24" x14ac:dyDescent="0.3">
      <c r="A90" s="8" t="s">
        <v>24</v>
      </c>
      <c r="B90" s="8" t="s">
        <v>25</v>
      </c>
      <c r="C90" s="8" t="s">
        <v>26</v>
      </c>
      <c r="D90" s="8" t="s">
        <v>65</v>
      </c>
      <c r="E90" s="8" t="s">
        <v>66</v>
      </c>
      <c r="F90" s="8" t="s">
        <v>67</v>
      </c>
      <c r="G90" s="8" t="s">
        <v>90</v>
      </c>
      <c r="H90" s="8" t="s">
        <v>91</v>
      </c>
      <c r="I90" s="8" t="s">
        <v>92</v>
      </c>
      <c r="J90" s="28">
        <v>45695.43105324074</v>
      </c>
      <c r="K90" s="28">
        <v>45863.464583333334</v>
      </c>
      <c r="L90" s="8" t="s">
        <v>33</v>
      </c>
      <c r="M90" s="8" t="s">
        <v>34</v>
      </c>
      <c r="N90" s="29">
        <v>0</v>
      </c>
      <c r="O90" s="29">
        <v>1</v>
      </c>
      <c r="P90" s="8" t="s">
        <v>35</v>
      </c>
      <c r="Q90" s="8" t="s">
        <v>36</v>
      </c>
      <c r="R90" s="8" t="s">
        <v>71</v>
      </c>
      <c r="S90" s="8" t="s">
        <v>38</v>
      </c>
      <c r="V90" s="26" t="str">
        <f>VLOOKUP(MID(Table1[[#This Row],[Nodo]],1,12),Tabla2[#Data],2,FALSE)</f>
        <v>PRECALENTADOR</v>
      </c>
      <c r="W90" s="26" t="str">
        <f t="shared" si="2"/>
        <v>ELE</v>
      </c>
      <c r="X90" s="26" t="e">
        <f>VLOOKUP(MID([1]!Table1[[#This Row],[Nodo]],1,7),[1]!Tabla5[#Data],2,FALSE)</f>
        <v>#N/A</v>
      </c>
    </row>
    <row r="91" spans="1:24" x14ac:dyDescent="0.3">
      <c r="A91" s="8" t="s">
        <v>24</v>
      </c>
      <c r="B91" s="8" t="s">
        <v>25</v>
      </c>
      <c r="C91" s="8" t="s">
        <v>26</v>
      </c>
      <c r="D91" s="8" t="s">
        <v>65</v>
      </c>
      <c r="E91" s="8" t="s">
        <v>66</v>
      </c>
      <c r="F91" s="8" t="s">
        <v>72</v>
      </c>
      <c r="G91" s="8" t="s">
        <v>90</v>
      </c>
      <c r="H91" s="8" t="s">
        <v>91</v>
      </c>
      <c r="I91" s="8" t="s">
        <v>92</v>
      </c>
      <c r="J91" s="28">
        <v>45695.43105324074</v>
      </c>
      <c r="K91" s="28">
        <v>45863.464583333334</v>
      </c>
      <c r="L91" s="8" t="s">
        <v>33</v>
      </c>
      <c r="M91" s="8" t="s">
        <v>34</v>
      </c>
      <c r="N91" s="29">
        <v>0</v>
      </c>
      <c r="O91" s="29">
        <v>1</v>
      </c>
      <c r="P91" s="8" t="s">
        <v>35</v>
      </c>
      <c r="Q91" s="8" t="s">
        <v>36</v>
      </c>
      <c r="R91" s="8" t="s">
        <v>71</v>
      </c>
      <c r="S91" s="8" t="s">
        <v>38</v>
      </c>
      <c r="V91" s="26" t="str">
        <f>VLOOKUP(MID(Table1[[#This Row],[Nodo]],1,12),Tabla2[#Data],2,FALSE)</f>
        <v>PRECALENTADOR</v>
      </c>
      <c r="W91" s="26" t="str">
        <f t="shared" si="2"/>
        <v>ELE</v>
      </c>
      <c r="X91" s="26" t="e">
        <f>VLOOKUP(MID([1]!Table1[[#This Row],[Nodo]],1,7),[1]!Tabla5[#Data],2,FALSE)</f>
        <v>#N/A</v>
      </c>
    </row>
    <row r="92" spans="1:24" x14ac:dyDescent="0.3">
      <c r="A92" s="8" t="s">
        <v>24</v>
      </c>
      <c r="B92" s="8" t="s">
        <v>25</v>
      </c>
      <c r="C92" s="8" t="s">
        <v>26</v>
      </c>
      <c r="D92" s="8" t="s">
        <v>65</v>
      </c>
      <c r="E92" s="8" t="s">
        <v>66</v>
      </c>
      <c r="F92" s="8" t="s">
        <v>73</v>
      </c>
      <c r="G92" s="8" t="s">
        <v>90</v>
      </c>
      <c r="H92" s="8" t="s">
        <v>91</v>
      </c>
      <c r="I92" s="8" t="s">
        <v>92</v>
      </c>
      <c r="J92" s="28">
        <v>45695.43105324074</v>
      </c>
      <c r="K92" s="28">
        <v>45863.464583333334</v>
      </c>
      <c r="L92" s="8" t="s">
        <v>33</v>
      </c>
      <c r="M92" s="8" t="s">
        <v>34</v>
      </c>
      <c r="N92" s="29">
        <v>0</v>
      </c>
      <c r="O92" s="29">
        <v>1</v>
      </c>
      <c r="P92" s="8" t="s">
        <v>35</v>
      </c>
      <c r="Q92" s="8" t="s">
        <v>36</v>
      </c>
      <c r="R92" s="8" t="s">
        <v>71</v>
      </c>
      <c r="S92" s="8" t="s">
        <v>38</v>
      </c>
      <c r="V92" s="26" t="str">
        <f>VLOOKUP(MID(Table1[[#This Row],[Nodo]],1,12),Tabla2[#Data],2,FALSE)</f>
        <v>PRECALENTADOR</v>
      </c>
      <c r="W92" s="26" t="str">
        <f t="shared" si="2"/>
        <v>ELE</v>
      </c>
      <c r="X92" s="26" t="e">
        <f>VLOOKUP(MID([1]!Table1[[#This Row],[Nodo]],1,7),[1]!Tabla5[#Data],2,FALSE)</f>
        <v>#N/A</v>
      </c>
    </row>
    <row r="93" spans="1:24" x14ac:dyDescent="0.3">
      <c r="A93" s="8" t="s">
        <v>24</v>
      </c>
      <c r="B93" s="8" t="s">
        <v>25</v>
      </c>
      <c r="C93" s="8" t="s">
        <v>26</v>
      </c>
      <c r="D93" s="8" t="s">
        <v>65</v>
      </c>
      <c r="E93" s="8" t="s">
        <v>66</v>
      </c>
      <c r="F93" s="8" t="s">
        <v>74</v>
      </c>
      <c r="G93" s="8" t="s">
        <v>90</v>
      </c>
      <c r="H93" s="8" t="s">
        <v>91</v>
      </c>
      <c r="I93" s="8" t="s">
        <v>92</v>
      </c>
      <c r="J93" s="28">
        <v>45695.43105324074</v>
      </c>
      <c r="K93" s="28">
        <v>45863.464583333334</v>
      </c>
      <c r="L93" s="8" t="s">
        <v>33</v>
      </c>
      <c r="M93" s="8" t="s">
        <v>34</v>
      </c>
      <c r="N93" s="29">
        <v>0</v>
      </c>
      <c r="O93" s="29">
        <v>1</v>
      </c>
      <c r="P93" s="8" t="s">
        <v>35</v>
      </c>
      <c r="Q93" s="8" t="s">
        <v>36</v>
      </c>
      <c r="R93" s="8" t="s">
        <v>71</v>
      </c>
      <c r="S93" s="8" t="s">
        <v>38</v>
      </c>
      <c r="V93" s="26" t="str">
        <f>VLOOKUP(MID(Table1[[#This Row],[Nodo]],1,12),Tabla2[#Data],2,FALSE)</f>
        <v>PRECALENTADOR</v>
      </c>
      <c r="W93" s="26" t="str">
        <f t="shared" si="2"/>
        <v>ELE</v>
      </c>
      <c r="X93" s="26" t="e">
        <f>VLOOKUP(MID([1]!Table1[[#This Row],[Nodo]],1,7),[1]!Tabla5[#Data],2,FALSE)</f>
        <v>#N/A</v>
      </c>
    </row>
    <row r="94" spans="1:24" x14ac:dyDescent="0.3">
      <c r="A94" s="8" t="s">
        <v>24</v>
      </c>
      <c r="B94" s="8" t="s">
        <v>25</v>
      </c>
      <c r="C94" s="8" t="s">
        <v>26</v>
      </c>
      <c r="D94" s="8" t="s">
        <v>65</v>
      </c>
      <c r="E94" s="8" t="s">
        <v>66</v>
      </c>
      <c r="F94" s="8" t="s">
        <v>75</v>
      </c>
      <c r="G94" s="8" t="s">
        <v>90</v>
      </c>
      <c r="H94" s="8" t="s">
        <v>91</v>
      </c>
      <c r="I94" s="8" t="s">
        <v>92</v>
      </c>
      <c r="J94" s="28">
        <v>45695.43105324074</v>
      </c>
      <c r="K94" s="28">
        <v>45863.464583333334</v>
      </c>
      <c r="L94" s="8" t="s">
        <v>33</v>
      </c>
      <c r="M94" s="8" t="s">
        <v>34</v>
      </c>
      <c r="N94" s="29">
        <v>0</v>
      </c>
      <c r="O94" s="29">
        <v>1</v>
      </c>
      <c r="P94" s="8" t="s">
        <v>35</v>
      </c>
      <c r="Q94" s="8" t="s">
        <v>36</v>
      </c>
      <c r="R94" s="8" t="s">
        <v>71</v>
      </c>
      <c r="S94" s="8" t="s">
        <v>38</v>
      </c>
      <c r="V94" s="26" t="str">
        <f>VLOOKUP(MID(Table1[[#This Row],[Nodo]],1,12),Tabla2[#Data],2,FALSE)</f>
        <v>PRECALENTADOR</v>
      </c>
      <c r="W94" s="26" t="str">
        <f t="shared" si="2"/>
        <v>ELE</v>
      </c>
      <c r="X94" s="26" t="e">
        <f>VLOOKUP(MID([1]!Table1[[#This Row],[Nodo]],1,7),[1]!Tabla5[#Data],2,FALSE)</f>
        <v>#N/A</v>
      </c>
    </row>
    <row r="95" spans="1:24" x14ac:dyDescent="0.3">
      <c r="A95" s="8" t="s">
        <v>24</v>
      </c>
      <c r="B95" s="8" t="s">
        <v>25</v>
      </c>
      <c r="C95" s="8" t="s">
        <v>26</v>
      </c>
      <c r="D95" s="8" t="s">
        <v>65</v>
      </c>
      <c r="E95" s="8" t="s">
        <v>66</v>
      </c>
      <c r="F95" s="8" t="s">
        <v>76</v>
      </c>
      <c r="G95" s="8" t="s">
        <v>90</v>
      </c>
      <c r="H95" s="8" t="s">
        <v>91</v>
      </c>
      <c r="I95" s="8" t="s">
        <v>92</v>
      </c>
      <c r="J95" s="28">
        <v>45695.43105324074</v>
      </c>
      <c r="K95" s="28">
        <v>45863.464583333334</v>
      </c>
      <c r="L95" s="8" t="s">
        <v>33</v>
      </c>
      <c r="M95" s="8" t="s">
        <v>34</v>
      </c>
      <c r="N95" s="29">
        <v>0</v>
      </c>
      <c r="O95" s="29">
        <v>1</v>
      </c>
      <c r="P95" s="8" t="s">
        <v>35</v>
      </c>
      <c r="Q95" s="8" t="s">
        <v>36</v>
      </c>
      <c r="R95" s="8" t="s">
        <v>71</v>
      </c>
      <c r="S95" s="8" t="s">
        <v>38</v>
      </c>
      <c r="V95" s="26" t="str">
        <f>VLOOKUP(MID(Table1[[#This Row],[Nodo]],1,12),Tabla2[#Data],2,FALSE)</f>
        <v>PRECALENTADOR</v>
      </c>
      <c r="W95" s="26" t="str">
        <f t="shared" si="2"/>
        <v>ELE</v>
      </c>
      <c r="X95" s="26" t="e">
        <f>VLOOKUP(MID([1]!Table1[[#This Row],[Nodo]],1,7),[1]!Tabla5[#Data],2,FALSE)</f>
        <v>#N/A</v>
      </c>
    </row>
    <row r="96" spans="1:24" x14ac:dyDescent="0.3">
      <c r="A96" s="8" t="s">
        <v>24</v>
      </c>
      <c r="B96" s="8" t="s">
        <v>25</v>
      </c>
      <c r="C96" s="8" t="s">
        <v>26</v>
      </c>
      <c r="D96" s="8" t="s">
        <v>65</v>
      </c>
      <c r="E96" s="8" t="s">
        <v>66</v>
      </c>
      <c r="F96" s="8" t="s">
        <v>77</v>
      </c>
      <c r="G96" s="8" t="s">
        <v>90</v>
      </c>
      <c r="H96" s="8" t="s">
        <v>91</v>
      </c>
      <c r="I96" s="8" t="s">
        <v>92</v>
      </c>
      <c r="J96" s="28">
        <v>45695.43105324074</v>
      </c>
      <c r="K96" s="28">
        <v>45863.464583333334</v>
      </c>
      <c r="L96" s="8" t="s">
        <v>33</v>
      </c>
      <c r="M96" s="8" t="s">
        <v>34</v>
      </c>
      <c r="N96" s="29">
        <v>0</v>
      </c>
      <c r="O96" s="29">
        <v>1</v>
      </c>
      <c r="P96" s="8" t="s">
        <v>35</v>
      </c>
      <c r="Q96" s="8" t="s">
        <v>36</v>
      </c>
      <c r="R96" s="8" t="s">
        <v>71</v>
      </c>
      <c r="S96" s="8" t="s">
        <v>38</v>
      </c>
      <c r="V96" s="26" t="str">
        <f>VLOOKUP(MID(Table1[[#This Row],[Nodo]],1,12),Tabla2[#Data],2,FALSE)</f>
        <v>PRECALENTADOR</v>
      </c>
      <c r="W96" s="26" t="str">
        <f t="shared" si="2"/>
        <v>ELE</v>
      </c>
      <c r="X96" s="26" t="e">
        <f>VLOOKUP(MID([1]!Table1[[#This Row],[Nodo]],1,7),[1]!Tabla5[#Data],2,FALSE)</f>
        <v>#N/A</v>
      </c>
    </row>
    <row r="97" spans="1:24" x14ac:dyDescent="0.3">
      <c r="A97" s="8" t="s">
        <v>24</v>
      </c>
      <c r="B97" s="8" t="s">
        <v>25</v>
      </c>
      <c r="C97" s="8" t="s">
        <v>26</v>
      </c>
      <c r="D97" s="8" t="s">
        <v>65</v>
      </c>
      <c r="E97" s="8" t="s">
        <v>66</v>
      </c>
      <c r="F97" s="8" t="s">
        <v>78</v>
      </c>
      <c r="G97" s="8" t="s">
        <v>90</v>
      </c>
      <c r="H97" s="8" t="s">
        <v>91</v>
      </c>
      <c r="I97" s="8" t="s">
        <v>92</v>
      </c>
      <c r="J97" s="28">
        <v>45695.43105324074</v>
      </c>
      <c r="K97" s="28">
        <v>45863.464583333334</v>
      </c>
      <c r="L97" s="8" t="s">
        <v>33</v>
      </c>
      <c r="M97" s="8" t="s">
        <v>34</v>
      </c>
      <c r="N97" s="29">
        <v>0</v>
      </c>
      <c r="O97" s="29">
        <v>1</v>
      </c>
      <c r="P97" s="8" t="s">
        <v>35</v>
      </c>
      <c r="Q97" s="8" t="s">
        <v>36</v>
      </c>
      <c r="R97" s="8" t="s">
        <v>71</v>
      </c>
      <c r="S97" s="8" t="s">
        <v>38</v>
      </c>
      <c r="V97" s="26" t="str">
        <f>VLOOKUP(MID(Table1[[#This Row],[Nodo]],1,12),Tabla2[#Data],2,FALSE)</f>
        <v>PRECALENTADOR</v>
      </c>
      <c r="W97" s="26" t="str">
        <f t="shared" si="2"/>
        <v>ELE</v>
      </c>
      <c r="X97" s="26" t="e">
        <f>VLOOKUP(MID([1]!Table1[[#This Row],[Nodo]],1,7),[1]!Tabla5[#Data],2,FALSE)</f>
        <v>#N/A</v>
      </c>
    </row>
    <row r="98" spans="1:24" x14ac:dyDescent="0.3">
      <c r="A98" s="8" t="s">
        <v>24</v>
      </c>
      <c r="B98" s="8" t="s">
        <v>25</v>
      </c>
      <c r="C98" s="8" t="s">
        <v>26</v>
      </c>
      <c r="D98" s="8" t="s">
        <v>65</v>
      </c>
      <c r="E98" s="8" t="s">
        <v>66</v>
      </c>
      <c r="F98" s="8" t="s">
        <v>79</v>
      </c>
      <c r="G98" s="8" t="s">
        <v>90</v>
      </c>
      <c r="H98" s="8" t="s">
        <v>91</v>
      </c>
      <c r="I98" s="8" t="s">
        <v>92</v>
      </c>
      <c r="J98" s="28">
        <v>45695.43105324074</v>
      </c>
      <c r="K98" s="28">
        <v>45863.464583333334</v>
      </c>
      <c r="L98" s="8" t="s">
        <v>33</v>
      </c>
      <c r="M98" s="8" t="s">
        <v>34</v>
      </c>
      <c r="N98" s="29">
        <v>0</v>
      </c>
      <c r="O98" s="29">
        <v>1</v>
      </c>
      <c r="P98" s="8" t="s">
        <v>35</v>
      </c>
      <c r="Q98" s="8" t="s">
        <v>36</v>
      </c>
      <c r="R98" s="8" t="s">
        <v>71</v>
      </c>
      <c r="S98" s="8" t="s">
        <v>38</v>
      </c>
      <c r="V98" s="26" t="str">
        <f>VLOOKUP(MID(Table1[[#This Row],[Nodo]],1,12),Tabla2[#Data],2,FALSE)</f>
        <v>PRECALENTADOR</v>
      </c>
      <c r="W98" s="26" t="str">
        <f t="shared" si="2"/>
        <v>ELE</v>
      </c>
      <c r="X98" s="26" t="e">
        <f>VLOOKUP(MID([1]!Table1[[#This Row],[Nodo]],1,7),[1]!Tabla5[#Data],2,FALSE)</f>
        <v>#N/A</v>
      </c>
    </row>
    <row r="99" spans="1:24" x14ac:dyDescent="0.3">
      <c r="A99" s="8" t="s">
        <v>24</v>
      </c>
      <c r="B99" s="8" t="s">
        <v>25</v>
      </c>
      <c r="C99" s="8" t="s">
        <v>26</v>
      </c>
      <c r="D99" s="8" t="s">
        <v>65</v>
      </c>
      <c r="E99" s="8" t="s">
        <v>66</v>
      </c>
      <c r="F99" s="8" t="s">
        <v>80</v>
      </c>
      <c r="G99" s="8" t="s">
        <v>90</v>
      </c>
      <c r="H99" s="8" t="s">
        <v>91</v>
      </c>
      <c r="I99" s="8" t="s">
        <v>92</v>
      </c>
      <c r="J99" s="28">
        <v>45695.43105324074</v>
      </c>
      <c r="K99" s="28">
        <v>45863.464583333334</v>
      </c>
      <c r="L99" s="8" t="s">
        <v>33</v>
      </c>
      <c r="M99" s="8" t="s">
        <v>34</v>
      </c>
      <c r="N99" s="29">
        <v>0</v>
      </c>
      <c r="O99" s="29">
        <v>1</v>
      </c>
      <c r="P99" s="8" t="s">
        <v>35</v>
      </c>
      <c r="Q99" s="8" t="s">
        <v>36</v>
      </c>
      <c r="R99" s="8" t="s">
        <v>71</v>
      </c>
      <c r="S99" s="8" t="s">
        <v>38</v>
      </c>
      <c r="V99" s="26" t="str">
        <f>VLOOKUP(MID(Table1[[#This Row],[Nodo]],1,12),Tabla2[#Data],2,FALSE)</f>
        <v>PRECALENTADOR</v>
      </c>
      <c r="W99" s="26" t="str">
        <f t="shared" si="2"/>
        <v>ELE</v>
      </c>
      <c r="X99" s="26" t="e">
        <f>VLOOKUP(MID([1]!Table1[[#This Row],[Nodo]],1,7),[1]!Tabla5[#Data],2,FALSE)</f>
        <v>#N/A</v>
      </c>
    </row>
    <row r="100" spans="1:24" x14ac:dyDescent="0.3">
      <c r="A100" s="8" t="s">
        <v>24</v>
      </c>
      <c r="B100" s="8" t="s">
        <v>25</v>
      </c>
      <c r="C100" s="8" t="s">
        <v>26</v>
      </c>
      <c r="D100" s="8" t="s">
        <v>65</v>
      </c>
      <c r="E100" s="8" t="s">
        <v>66</v>
      </c>
      <c r="F100" s="8" t="s">
        <v>67</v>
      </c>
      <c r="G100" s="8" t="s">
        <v>93</v>
      </c>
      <c r="H100" s="8" t="s">
        <v>94</v>
      </c>
      <c r="I100" s="8" t="s">
        <v>95</v>
      </c>
      <c r="J100" s="28">
        <v>45695.43105324074</v>
      </c>
      <c r="K100" s="28">
        <v>45863.464583333334</v>
      </c>
      <c r="L100" s="8" t="s">
        <v>33</v>
      </c>
      <c r="M100" s="8" t="s">
        <v>34</v>
      </c>
      <c r="N100" s="29">
        <v>0</v>
      </c>
      <c r="O100" s="29">
        <v>1</v>
      </c>
      <c r="P100" s="8" t="s">
        <v>35</v>
      </c>
      <c r="Q100" s="8" t="s">
        <v>36</v>
      </c>
      <c r="R100" s="8" t="s">
        <v>71</v>
      </c>
      <c r="S100" s="8" t="s">
        <v>38</v>
      </c>
      <c r="V100" s="26" t="str">
        <f>VLOOKUP(MID(Table1[[#This Row],[Nodo]],1,12),Tabla2[#Data],2,FALSE)</f>
        <v>HORNO</v>
      </c>
      <c r="W100" s="26" t="str">
        <f t="shared" si="2"/>
        <v>ELE</v>
      </c>
      <c r="X100" s="26" t="e">
        <f>VLOOKUP(MID([1]!Table1[[#This Row],[Nodo]],1,7),[1]!Tabla5[#Data],2,FALSE)</f>
        <v>#N/A</v>
      </c>
    </row>
    <row r="101" spans="1:24" x14ac:dyDescent="0.3">
      <c r="A101" s="8" t="s">
        <v>24</v>
      </c>
      <c r="B101" s="8" t="s">
        <v>25</v>
      </c>
      <c r="C101" s="8" t="s">
        <v>26</v>
      </c>
      <c r="D101" s="8" t="s">
        <v>65</v>
      </c>
      <c r="E101" s="8" t="s">
        <v>66</v>
      </c>
      <c r="F101" s="8" t="s">
        <v>72</v>
      </c>
      <c r="G101" s="8" t="s">
        <v>93</v>
      </c>
      <c r="H101" s="8" t="s">
        <v>94</v>
      </c>
      <c r="I101" s="8" t="s">
        <v>95</v>
      </c>
      <c r="J101" s="28">
        <v>45695.43105324074</v>
      </c>
      <c r="K101" s="28">
        <v>45863.464583333334</v>
      </c>
      <c r="L101" s="8" t="s">
        <v>33</v>
      </c>
      <c r="M101" s="8" t="s">
        <v>34</v>
      </c>
      <c r="N101" s="29">
        <v>0</v>
      </c>
      <c r="O101" s="29">
        <v>1</v>
      </c>
      <c r="P101" s="8" t="s">
        <v>35</v>
      </c>
      <c r="Q101" s="8" t="s">
        <v>36</v>
      </c>
      <c r="R101" s="8" t="s">
        <v>71</v>
      </c>
      <c r="S101" s="8" t="s">
        <v>38</v>
      </c>
      <c r="V101" s="26" t="str">
        <f>VLOOKUP(MID(Table1[[#This Row],[Nodo]],1,12),Tabla2[#Data],2,FALSE)</f>
        <v>HORNO</v>
      </c>
      <c r="W101" s="26" t="str">
        <f t="shared" si="2"/>
        <v>ELE</v>
      </c>
      <c r="X101" s="26" t="e">
        <f>VLOOKUP(MID([1]!Table1[[#This Row],[Nodo]],1,7),[1]!Tabla5[#Data],2,FALSE)</f>
        <v>#N/A</v>
      </c>
    </row>
    <row r="102" spans="1:24" x14ac:dyDescent="0.3">
      <c r="A102" s="8" t="s">
        <v>24</v>
      </c>
      <c r="B102" s="8" t="s">
        <v>25</v>
      </c>
      <c r="C102" s="8" t="s">
        <v>26</v>
      </c>
      <c r="D102" s="8" t="s">
        <v>65</v>
      </c>
      <c r="E102" s="8" t="s">
        <v>66</v>
      </c>
      <c r="F102" s="8" t="s">
        <v>73</v>
      </c>
      <c r="G102" s="8" t="s">
        <v>93</v>
      </c>
      <c r="H102" s="8" t="s">
        <v>94</v>
      </c>
      <c r="I102" s="8" t="s">
        <v>95</v>
      </c>
      <c r="J102" s="28">
        <v>45695.43105324074</v>
      </c>
      <c r="K102" s="28">
        <v>45863.464583333334</v>
      </c>
      <c r="L102" s="8" t="s">
        <v>33</v>
      </c>
      <c r="M102" s="8" t="s">
        <v>34</v>
      </c>
      <c r="N102" s="29">
        <v>0</v>
      </c>
      <c r="O102" s="29">
        <v>1</v>
      </c>
      <c r="P102" s="8" t="s">
        <v>35</v>
      </c>
      <c r="Q102" s="8" t="s">
        <v>36</v>
      </c>
      <c r="R102" s="8" t="s">
        <v>71</v>
      </c>
      <c r="S102" s="8" t="s">
        <v>38</v>
      </c>
      <c r="V102" s="26" t="str">
        <f>VLOOKUP(MID(Table1[[#This Row],[Nodo]],1,12),Tabla2[#Data],2,FALSE)</f>
        <v>HORNO</v>
      </c>
      <c r="W102" s="26" t="str">
        <f t="shared" si="2"/>
        <v>ELE</v>
      </c>
      <c r="X102" s="26" t="e">
        <f>VLOOKUP(MID([1]!Table1[[#This Row],[Nodo]],1,7),[1]!Tabla5[#Data],2,FALSE)</f>
        <v>#N/A</v>
      </c>
    </row>
    <row r="103" spans="1:24" x14ac:dyDescent="0.3">
      <c r="A103" s="8" t="s">
        <v>24</v>
      </c>
      <c r="B103" s="8" t="s">
        <v>25</v>
      </c>
      <c r="C103" s="8" t="s">
        <v>26</v>
      </c>
      <c r="D103" s="8" t="s">
        <v>65</v>
      </c>
      <c r="E103" s="8" t="s">
        <v>66</v>
      </c>
      <c r="F103" s="8" t="s">
        <v>74</v>
      </c>
      <c r="G103" s="8" t="s">
        <v>93</v>
      </c>
      <c r="H103" s="8" t="s">
        <v>94</v>
      </c>
      <c r="I103" s="8" t="s">
        <v>95</v>
      </c>
      <c r="J103" s="28">
        <v>45695.43105324074</v>
      </c>
      <c r="K103" s="28">
        <v>45863.464583333334</v>
      </c>
      <c r="L103" s="8" t="s">
        <v>33</v>
      </c>
      <c r="M103" s="8" t="s">
        <v>34</v>
      </c>
      <c r="N103" s="29">
        <v>0</v>
      </c>
      <c r="O103" s="29">
        <v>1</v>
      </c>
      <c r="P103" s="8" t="s">
        <v>35</v>
      </c>
      <c r="Q103" s="8" t="s">
        <v>36</v>
      </c>
      <c r="R103" s="8" t="s">
        <v>71</v>
      </c>
      <c r="S103" s="8" t="s">
        <v>38</v>
      </c>
      <c r="V103" s="26" t="str">
        <f>VLOOKUP(MID(Table1[[#This Row],[Nodo]],1,12),Tabla2[#Data],2,FALSE)</f>
        <v>HORNO</v>
      </c>
      <c r="W103" s="26" t="str">
        <f t="shared" si="2"/>
        <v>ELE</v>
      </c>
      <c r="X103" s="26" t="e">
        <f>VLOOKUP(MID([1]!Table1[[#This Row],[Nodo]],1,7),[1]!Tabla5[#Data],2,FALSE)</f>
        <v>#N/A</v>
      </c>
    </row>
    <row r="104" spans="1:24" x14ac:dyDescent="0.3">
      <c r="A104" s="8" t="s">
        <v>24</v>
      </c>
      <c r="B104" s="8" t="s">
        <v>25</v>
      </c>
      <c r="C104" s="8" t="s">
        <v>26</v>
      </c>
      <c r="D104" s="8" t="s">
        <v>65</v>
      </c>
      <c r="E104" s="8" t="s">
        <v>66</v>
      </c>
      <c r="F104" s="8" t="s">
        <v>75</v>
      </c>
      <c r="G104" s="8" t="s">
        <v>93</v>
      </c>
      <c r="H104" s="8" t="s">
        <v>94</v>
      </c>
      <c r="I104" s="8" t="s">
        <v>95</v>
      </c>
      <c r="J104" s="28">
        <v>45695.43105324074</v>
      </c>
      <c r="K104" s="28">
        <v>45863.464583333334</v>
      </c>
      <c r="L104" s="8" t="s">
        <v>33</v>
      </c>
      <c r="M104" s="8" t="s">
        <v>34</v>
      </c>
      <c r="N104" s="29">
        <v>0</v>
      </c>
      <c r="O104" s="29">
        <v>1</v>
      </c>
      <c r="P104" s="8" t="s">
        <v>35</v>
      </c>
      <c r="Q104" s="8" t="s">
        <v>36</v>
      </c>
      <c r="R104" s="8" t="s">
        <v>71</v>
      </c>
      <c r="S104" s="8" t="s">
        <v>38</v>
      </c>
      <c r="V104" s="26" t="str">
        <f>VLOOKUP(MID(Table1[[#This Row],[Nodo]],1,12),Tabla2[#Data],2,FALSE)</f>
        <v>HORNO</v>
      </c>
      <c r="W104" s="26" t="str">
        <f t="shared" si="2"/>
        <v>ELE</v>
      </c>
      <c r="X104" s="26" t="e">
        <f>VLOOKUP(MID([1]!Table1[[#This Row],[Nodo]],1,7),[1]!Tabla5[#Data],2,FALSE)</f>
        <v>#N/A</v>
      </c>
    </row>
    <row r="105" spans="1:24" x14ac:dyDescent="0.3">
      <c r="A105" s="8" t="s">
        <v>24</v>
      </c>
      <c r="B105" s="8" t="s">
        <v>25</v>
      </c>
      <c r="C105" s="8" t="s">
        <v>26</v>
      </c>
      <c r="D105" s="8" t="s">
        <v>65</v>
      </c>
      <c r="E105" s="8" t="s">
        <v>66</v>
      </c>
      <c r="F105" s="8" t="s">
        <v>76</v>
      </c>
      <c r="G105" s="8" t="s">
        <v>93</v>
      </c>
      <c r="H105" s="8" t="s">
        <v>94</v>
      </c>
      <c r="I105" s="8" t="s">
        <v>95</v>
      </c>
      <c r="J105" s="28">
        <v>45695.43105324074</v>
      </c>
      <c r="K105" s="28">
        <v>45863.464583333334</v>
      </c>
      <c r="L105" s="8" t="s">
        <v>33</v>
      </c>
      <c r="M105" s="8" t="s">
        <v>34</v>
      </c>
      <c r="N105" s="29">
        <v>0</v>
      </c>
      <c r="O105" s="29">
        <v>1</v>
      </c>
      <c r="P105" s="8" t="s">
        <v>35</v>
      </c>
      <c r="Q105" s="8" t="s">
        <v>36</v>
      </c>
      <c r="R105" s="8" t="s">
        <v>71</v>
      </c>
      <c r="S105" s="8" t="s">
        <v>38</v>
      </c>
      <c r="V105" s="26" t="str">
        <f>VLOOKUP(MID(Table1[[#This Row],[Nodo]],1,12),Tabla2[#Data],2,FALSE)</f>
        <v>HORNO</v>
      </c>
      <c r="W105" s="26" t="str">
        <f t="shared" si="2"/>
        <v>ELE</v>
      </c>
      <c r="X105" s="26" t="e">
        <f>VLOOKUP(MID([1]!Table1[[#This Row],[Nodo]],1,7),[1]!Tabla5[#Data],2,FALSE)</f>
        <v>#N/A</v>
      </c>
    </row>
    <row r="106" spans="1:24" x14ac:dyDescent="0.3">
      <c r="A106" s="8" t="s">
        <v>24</v>
      </c>
      <c r="B106" s="8" t="s">
        <v>25</v>
      </c>
      <c r="C106" s="8" t="s">
        <v>26</v>
      </c>
      <c r="D106" s="8" t="s">
        <v>65</v>
      </c>
      <c r="E106" s="8" t="s">
        <v>66</v>
      </c>
      <c r="F106" s="8" t="s">
        <v>77</v>
      </c>
      <c r="G106" s="8" t="s">
        <v>93</v>
      </c>
      <c r="H106" s="8" t="s">
        <v>94</v>
      </c>
      <c r="I106" s="8" t="s">
        <v>95</v>
      </c>
      <c r="J106" s="28">
        <v>45695.43105324074</v>
      </c>
      <c r="K106" s="28">
        <v>45863.464583333334</v>
      </c>
      <c r="L106" s="8" t="s">
        <v>33</v>
      </c>
      <c r="M106" s="8" t="s">
        <v>34</v>
      </c>
      <c r="N106" s="29">
        <v>0</v>
      </c>
      <c r="O106" s="29">
        <v>1</v>
      </c>
      <c r="P106" s="8" t="s">
        <v>35</v>
      </c>
      <c r="Q106" s="8" t="s">
        <v>36</v>
      </c>
      <c r="R106" s="8" t="s">
        <v>71</v>
      </c>
      <c r="S106" s="8" t="s">
        <v>38</v>
      </c>
      <c r="V106" s="26" t="str">
        <f>VLOOKUP(MID(Table1[[#This Row],[Nodo]],1,12),Tabla2[#Data],2,FALSE)</f>
        <v>HORNO</v>
      </c>
      <c r="W106" s="26" t="str">
        <f t="shared" si="2"/>
        <v>ELE</v>
      </c>
      <c r="X106" s="26" t="e">
        <f>VLOOKUP(MID([1]!Table1[[#This Row],[Nodo]],1,7),[1]!Tabla5[#Data],2,FALSE)</f>
        <v>#N/A</v>
      </c>
    </row>
    <row r="107" spans="1:24" x14ac:dyDescent="0.3">
      <c r="A107" s="8" t="s">
        <v>24</v>
      </c>
      <c r="B107" s="8" t="s">
        <v>25</v>
      </c>
      <c r="C107" s="8" t="s">
        <v>26</v>
      </c>
      <c r="D107" s="8" t="s">
        <v>65</v>
      </c>
      <c r="E107" s="8" t="s">
        <v>66</v>
      </c>
      <c r="F107" s="8" t="s">
        <v>78</v>
      </c>
      <c r="G107" s="8" t="s">
        <v>93</v>
      </c>
      <c r="H107" s="8" t="s">
        <v>94</v>
      </c>
      <c r="I107" s="8" t="s">
        <v>95</v>
      </c>
      <c r="J107" s="28">
        <v>45695.43105324074</v>
      </c>
      <c r="K107" s="28">
        <v>45863.464583333334</v>
      </c>
      <c r="L107" s="8" t="s">
        <v>33</v>
      </c>
      <c r="M107" s="8" t="s">
        <v>34</v>
      </c>
      <c r="N107" s="29">
        <v>0</v>
      </c>
      <c r="O107" s="29">
        <v>1</v>
      </c>
      <c r="P107" s="8" t="s">
        <v>35</v>
      </c>
      <c r="Q107" s="8" t="s">
        <v>36</v>
      </c>
      <c r="R107" s="8" t="s">
        <v>71</v>
      </c>
      <c r="S107" s="8" t="s">
        <v>38</v>
      </c>
      <c r="V107" s="26" t="str">
        <f>VLOOKUP(MID(Table1[[#This Row],[Nodo]],1,12),Tabla2[#Data],2,FALSE)</f>
        <v>HORNO</v>
      </c>
      <c r="W107" s="26" t="str">
        <f t="shared" si="2"/>
        <v>ELE</v>
      </c>
      <c r="X107" s="26" t="e">
        <f>VLOOKUP(MID([1]!Table1[[#This Row],[Nodo]],1,7),[1]!Tabla5[#Data],2,FALSE)</f>
        <v>#N/A</v>
      </c>
    </row>
    <row r="108" spans="1:24" x14ac:dyDescent="0.3">
      <c r="A108" s="8" t="s">
        <v>24</v>
      </c>
      <c r="B108" s="8" t="s">
        <v>25</v>
      </c>
      <c r="C108" s="8" t="s">
        <v>26</v>
      </c>
      <c r="D108" s="8" t="s">
        <v>65</v>
      </c>
      <c r="E108" s="8" t="s">
        <v>66</v>
      </c>
      <c r="F108" s="8" t="s">
        <v>79</v>
      </c>
      <c r="G108" s="8" t="s">
        <v>93</v>
      </c>
      <c r="H108" s="8" t="s">
        <v>94</v>
      </c>
      <c r="I108" s="8" t="s">
        <v>95</v>
      </c>
      <c r="J108" s="28">
        <v>45695.43105324074</v>
      </c>
      <c r="K108" s="28">
        <v>45863.464583333334</v>
      </c>
      <c r="L108" s="8" t="s">
        <v>33</v>
      </c>
      <c r="M108" s="8" t="s">
        <v>34</v>
      </c>
      <c r="N108" s="29">
        <v>0</v>
      </c>
      <c r="O108" s="29">
        <v>1</v>
      </c>
      <c r="P108" s="8" t="s">
        <v>35</v>
      </c>
      <c r="Q108" s="8" t="s">
        <v>36</v>
      </c>
      <c r="R108" s="8" t="s">
        <v>71</v>
      </c>
      <c r="S108" s="8" t="s">
        <v>38</v>
      </c>
      <c r="V108" s="26" t="str">
        <f>VLOOKUP(MID(Table1[[#This Row],[Nodo]],1,12),Tabla2[#Data],2,FALSE)</f>
        <v>HORNO</v>
      </c>
      <c r="W108" s="26" t="str">
        <f t="shared" si="2"/>
        <v>ELE</v>
      </c>
      <c r="X108" s="26" t="e">
        <f>VLOOKUP(MID([1]!Table1[[#This Row],[Nodo]],1,7),[1]!Tabla5[#Data],2,FALSE)</f>
        <v>#N/A</v>
      </c>
    </row>
    <row r="109" spans="1:24" x14ac:dyDescent="0.3">
      <c r="A109" s="8" t="s">
        <v>24</v>
      </c>
      <c r="B109" s="8" t="s">
        <v>25</v>
      </c>
      <c r="C109" s="8" t="s">
        <v>26</v>
      </c>
      <c r="D109" s="8" t="s">
        <v>65</v>
      </c>
      <c r="E109" s="8" t="s">
        <v>66</v>
      </c>
      <c r="F109" s="8" t="s">
        <v>80</v>
      </c>
      <c r="G109" s="8" t="s">
        <v>93</v>
      </c>
      <c r="H109" s="8" t="s">
        <v>94</v>
      </c>
      <c r="I109" s="8" t="s">
        <v>95</v>
      </c>
      <c r="J109" s="28">
        <v>45695.43105324074</v>
      </c>
      <c r="K109" s="28">
        <v>45863.464583333334</v>
      </c>
      <c r="L109" s="8" t="s">
        <v>33</v>
      </c>
      <c r="M109" s="8" t="s">
        <v>34</v>
      </c>
      <c r="N109" s="29">
        <v>0</v>
      </c>
      <c r="O109" s="29">
        <v>1</v>
      </c>
      <c r="P109" s="8" t="s">
        <v>35</v>
      </c>
      <c r="Q109" s="8" t="s">
        <v>36</v>
      </c>
      <c r="R109" s="8" t="s">
        <v>71</v>
      </c>
      <c r="S109" s="8" t="s">
        <v>38</v>
      </c>
      <c r="V109" s="26" t="str">
        <f>VLOOKUP(MID(Table1[[#This Row],[Nodo]],1,12),Tabla2[#Data],2,FALSE)</f>
        <v>HORNO</v>
      </c>
      <c r="W109" s="26" t="str">
        <f t="shared" si="2"/>
        <v>ELE</v>
      </c>
      <c r="X109" s="26" t="e">
        <f>VLOOKUP(MID([1]!Table1[[#This Row],[Nodo]],1,7),[1]!Tabla5[#Data],2,FALSE)</f>
        <v>#N/A</v>
      </c>
    </row>
    <row r="110" spans="1:24" x14ac:dyDescent="0.3">
      <c r="A110" s="8" t="s">
        <v>24</v>
      </c>
      <c r="B110" s="8" t="s">
        <v>25</v>
      </c>
      <c r="C110" s="8" t="s">
        <v>26</v>
      </c>
      <c r="D110" s="8" t="s">
        <v>65</v>
      </c>
      <c r="E110" s="8" t="s">
        <v>66</v>
      </c>
      <c r="F110" s="8" t="s">
        <v>67</v>
      </c>
      <c r="G110" s="8" t="s">
        <v>96</v>
      </c>
      <c r="H110" s="8" t="s">
        <v>97</v>
      </c>
      <c r="I110" s="8" t="s">
        <v>98</v>
      </c>
      <c r="J110" s="28">
        <v>45695.431064814817</v>
      </c>
      <c r="K110" s="28">
        <v>45863.464583333334</v>
      </c>
      <c r="L110" s="8" t="s">
        <v>33</v>
      </c>
      <c r="M110" s="8" t="s">
        <v>34</v>
      </c>
      <c r="N110" s="29">
        <v>0</v>
      </c>
      <c r="O110" s="29">
        <v>1</v>
      </c>
      <c r="P110" s="8" t="s">
        <v>35</v>
      </c>
      <c r="Q110" s="8" t="s">
        <v>36</v>
      </c>
      <c r="R110" s="8" t="s">
        <v>71</v>
      </c>
      <c r="S110" s="8" t="s">
        <v>38</v>
      </c>
      <c r="V110" s="26" t="str">
        <f>VLOOKUP(MID(Table1[[#This Row],[Nodo]],1,12),Tabla2[#Data],2,FALSE)</f>
        <v>TABLERO DE CONTROL PRINCIPAL</v>
      </c>
      <c r="W110" s="26" t="str">
        <f t="shared" si="2"/>
        <v>ELE</v>
      </c>
      <c r="X110" s="26" t="e">
        <f>VLOOKUP(MID([1]!Table1[[#This Row],[Nodo]],1,7),[1]!Tabla5[#Data],2,FALSE)</f>
        <v>#N/A</v>
      </c>
    </row>
    <row r="111" spans="1:24" x14ac:dyDescent="0.3">
      <c r="A111" s="8" t="s">
        <v>24</v>
      </c>
      <c r="B111" s="8" t="s">
        <v>25</v>
      </c>
      <c r="C111" s="8" t="s">
        <v>26</v>
      </c>
      <c r="D111" s="8" t="s">
        <v>65</v>
      </c>
      <c r="E111" s="8" t="s">
        <v>66</v>
      </c>
      <c r="F111" s="8" t="s">
        <v>72</v>
      </c>
      <c r="G111" s="8" t="s">
        <v>96</v>
      </c>
      <c r="H111" s="8" t="s">
        <v>97</v>
      </c>
      <c r="I111" s="8" t="s">
        <v>98</v>
      </c>
      <c r="J111" s="28">
        <v>45695.431064814817</v>
      </c>
      <c r="K111" s="28">
        <v>45863.464583333334</v>
      </c>
      <c r="L111" s="8" t="s">
        <v>33</v>
      </c>
      <c r="M111" s="8" t="s">
        <v>34</v>
      </c>
      <c r="N111" s="29">
        <v>0</v>
      </c>
      <c r="O111" s="29">
        <v>1</v>
      </c>
      <c r="P111" s="8" t="s">
        <v>35</v>
      </c>
      <c r="Q111" s="8" t="s">
        <v>36</v>
      </c>
      <c r="R111" s="8" t="s">
        <v>71</v>
      </c>
      <c r="S111" s="8" t="s">
        <v>38</v>
      </c>
      <c r="V111" s="26" t="str">
        <f>VLOOKUP(MID(Table1[[#This Row],[Nodo]],1,12),Tabla2[#Data],2,FALSE)</f>
        <v>TABLERO DE CONTROL PRINCIPAL</v>
      </c>
      <c r="W111" s="26" t="str">
        <f t="shared" si="2"/>
        <v>ELE</v>
      </c>
      <c r="X111" s="26" t="e">
        <f>VLOOKUP(MID([1]!Table1[[#This Row],[Nodo]],1,7),[1]!Tabla5[#Data],2,FALSE)</f>
        <v>#N/A</v>
      </c>
    </row>
    <row r="112" spans="1:24" x14ac:dyDescent="0.3">
      <c r="A112" s="8" t="s">
        <v>24</v>
      </c>
      <c r="B112" s="8" t="s">
        <v>25</v>
      </c>
      <c r="C112" s="8" t="s">
        <v>26</v>
      </c>
      <c r="D112" s="8" t="s">
        <v>65</v>
      </c>
      <c r="E112" s="8" t="s">
        <v>66</v>
      </c>
      <c r="F112" s="8" t="s">
        <v>73</v>
      </c>
      <c r="G112" s="8" t="s">
        <v>96</v>
      </c>
      <c r="H112" s="8" t="s">
        <v>97</v>
      </c>
      <c r="I112" s="8" t="s">
        <v>98</v>
      </c>
      <c r="J112" s="28">
        <v>45695.431064814817</v>
      </c>
      <c r="K112" s="28">
        <v>45863.464583333334</v>
      </c>
      <c r="L112" s="8" t="s">
        <v>33</v>
      </c>
      <c r="M112" s="8" t="s">
        <v>34</v>
      </c>
      <c r="N112" s="29">
        <v>0</v>
      </c>
      <c r="O112" s="29">
        <v>1</v>
      </c>
      <c r="P112" s="8" t="s">
        <v>35</v>
      </c>
      <c r="Q112" s="8" t="s">
        <v>36</v>
      </c>
      <c r="R112" s="8" t="s">
        <v>71</v>
      </c>
      <c r="S112" s="8" t="s">
        <v>38</v>
      </c>
      <c r="V112" s="26" t="str">
        <f>VLOOKUP(MID(Table1[[#This Row],[Nodo]],1,12),Tabla2[#Data],2,FALSE)</f>
        <v>TABLERO DE CONTROL PRINCIPAL</v>
      </c>
      <c r="W112" s="26" t="str">
        <f t="shared" si="2"/>
        <v>ELE</v>
      </c>
      <c r="X112" s="26" t="e">
        <f>VLOOKUP(MID([1]!Table1[[#This Row],[Nodo]],1,7),[1]!Tabla5[#Data],2,FALSE)</f>
        <v>#N/A</v>
      </c>
    </row>
    <row r="113" spans="1:24" x14ac:dyDescent="0.3">
      <c r="A113" s="8" t="s">
        <v>24</v>
      </c>
      <c r="B113" s="8" t="s">
        <v>25</v>
      </c>
      <c r="C113" s="8" t="s">
        <v>26</v>
      </c>
      <c r="D113" s="8" t="s">
        <v>65</v>
      </c>
      <c r="E113" s="8" t="s">
        <v>66</v>
      </c>
      <c r="F113" s="8" t="s">
        <v>74</v>
      </c>
      <c r="G113" s="8" t="s">
        <v>96</v>
      </c>
      <c r="H113" s="8" t="s">
        <v>97</v>
      </c>
      <c r="I113" s="8" t="s">
        <v>98</v>
      </c>
      <c r="J113" s="28">
        <v>45695.431064814817</v>
      </c>
      <c r="K113" s="28">
        <v>45863.464583333334</v>
      </c>
      <c r="L113" s="8" t="s">
        <v>33</v>
      </c>
      <c r="M113" s="8" t="s">
        <v>34</v>
      </c>
      <c r="N113" s="29">
        <v>0</v>
      </c>
      <c r="O113" s="29">
        <v>1</v>
      </c>
      <c r="P113" s="8" t="s">
        <v>35</v>
      </c>
      <c r="Q113" s="8" t="s">
        <v>36</v>
      </c>
      <c r="R113" s="8" t="s">
        <v>71</v>
      </c>
      <c r="S113" s="8" t="s">
        <v>38</v>
      </c>
      <c r="V113" s="26" t="str">
        <f>VLOOKUP(MID(Table1[[#This Row],[Nodo]],1,12),Tabla2[#Data],2,FALSE)</f>
        <v>TABLERO DE CONTROL PRINCIPAL</v>
      </c>
      <c r="W113" s="26" t="str">
        <f t="shared" si="2"/>
        <v>ELE</v>
      </c>
      <c r="X113" s="26" t="e">
        <f>VLOOKUP(MID([1]!Table1[[#This Row],[Nodo]],1,7),[1]!Tabla5[#Data],2,FALSE)</f>
        <v>#N/A</v>
      </c>
    </row>
    <row r="114" spans="1:24" x14ac:dyDescent="0.3">
      <c r="A114" s="8" t="s">
        <v>24</v>
      </c>
      <c r="B114" s="8" t="s">
        <v>25</v>
      </c>
      <c r="C114" s="8" t="s">
        <v>26</v>
      </c>
      <c r="D114" s="8" t="s">
        <v>65</v>
      </c>
      <c r="E114" s="8" t="s">
        <v>66</v>
      </c>
      <c r="F114" s="8" t="s">
        <v>75</v>
      </c>
      <c r="G114" s="8" t="s">
        <v>96</v>
      </c>
      <c r="H114" s="8" t="s">
        <v>97</v>
      </c>
      <c r="I114" s="8" t="s">
        <v>98</v>
      </c>
      <c r="J114" s="28">
        <v>45695.431064814817</v>
      </c>
      <c r="K114" s="28">
        <v>45863.464583333334</v>
      </c>
      <c r="L114" s="8" t="s">
        <v>33</v>
      </c>
      <c r="M114" s="8" t="s">
        <v>34</v>
      </c>
      <c r="N114" s="29">
        <v>0</v>
      </c>
      <c r="O114" s="29">
        <v>1</v>
      </c>
      <c r="P114" s="8" t="s">
        <v>35</v>
      </c>
      <c r="Q114" s="8" t="s">
        <v>36</v>
      </c>
      <c r="R114" s="8" t="s">
        <v>71</v>
      </c>
      <c r="S114" s="8" t="s">
        <v>38</v>
      </c>
      <c r="V114" s="26" t="str">
        <f>VLOOKUP(MID(Table1[[#This Row],[Nodo]],1,12),Tabla2[#Data],2,FALSE)</f>
        <v>TABLERO DE CONTROL PRINCIPAL</v>
      </c>
      <c r="W114" s="26" t="str">
        <f t="shared" si="2"/>
        <v>ELE</v>
      </c>
      <c r="X114" s="26" t="e">
        <f>VLOOKUP(MID([1]!Table1[[#This Row],[Nodo]],1,7),[1]!Tabla5[#Data],2,FALSE)</f>
        <v>#N/A</v>
      </c>
    </row>
    <row r="115" spans="1:24" x14ac:dyDescent="0.3">
      <c r="A115" s="8" t="s">
        <v>24</v>
      </c>
      <c r="B115" s="8" t="s">
        <v>25</v>
      </c>
      <c r="C115" s="8" t="s">
        <v>26</v>
      </c>
      <c r="D115" s="8" t="s">
        <v>65</v>
      </c>
      <c r="E115" s="8" t="s">
        <v>66</v>
      </c>
      <c r="F115" s="8" t="s">
        <v>76</v>
      </c>
      <c r="G115" s="8" t="s">
        <v>96</v>
      </c>
      <c r="H115" s="8" t="s">
        <v>97</v>
      </c>
      <c r="I115" s="8" t="s">
        <v>98</v>
      </c>
      <c r="J115" s="28">
        <v>45695.431064814817</v>
      </c>
      <c r="K115" s="28">
        <v>45863.464583333334</v>
      </c>
      <c r="L115" s="8" t="s">
        <v>33</v>
      </c>
      <c r="M115" s="8" t="s">
        <v>34</v>
      </c>
      <c r="N115" s="29">
        <v>0</v>
      </c>
      <c r="O115" s="29">
        <v>1</v>
      </c>
      <c r="P115" s="8" t="s">
        <v>35</v>
      </c>
      <c r="Q115" s="8" t="s">
        <v>36</v>
      </c>
      <c r="R115" s="8" t="s">
        <v>71</v>
      </c>
      <c r="S115" s="8" t="s">
        <v>38</v>
      </c>
      <c r="V115" s="26" t="str">
        <f>VLOOKUP(MID(Table1[[#This Row],[Nodo]],1,12),Tabla2[#Data],2,FALSE)</f>
        <v>TABLERO DE CONTROL PRINCIPAL</v>
      </c>
      <c r="W115" s="26" t="str">
        <f t="shared" si="2"/>
        <v>ELE</v>
      </c>
      <c r="X115" s="26" t="e">
        <f>VLOOKUP(MID([1]!Table1[[#This Row],[Nodo]],1,7),[1]!Tabla5[#Data],2,FALSE)</f>
        <v>#N/A</v>
      </c>
    </row>
    <row r="116" spans="1:24" x14ac:dyDescent="0.3">
      <c r="A116" s="8" t="s">
        <v>24</v>
      </c>
      <c r="B116" s="8" t="s">
        <v>25</v>
      </c>
      <c r="C116" s="8" t="s">
        <v>26</v>
      </c>
      <c r="D116" s="8" t="s">
        <v>65</v>
      </c>
      <c r="E116" s="8" t="s">
        <v>66</v>
      </c>
      <c r="F116" s="8" t="s">
        <v>77</v>
      </c>
      <c r="G116" s="8" t="s">
        <v>96</v>
      </c>
      <c r="H116" s="8" t="s">
        <v>97</v>
      </c>
      <c r="I116" s="8" t="s">
        <v>98</v>
      </c>
      <c r="J116" s="28">
        <v>45695.431064814817</v>
      </c>
      <c r="K116" s="28">
        <v>45863.464583333334</v>
      </c>
      <c r="L116" s="8" t="s">
        <v>33</v>
      </c>
      <c r="M116" s="8" t="s">
        <v>34</v>
      </c>
      <c r="N116" s="29">
        <v>0</v>
      </c>
      <c r="O116" s="29">
        <v>1</v>
      </c>
      <c r="P116" s="8" t="s">
        <v>35</v>
      </c>
      <c r="Q116" s="8" t="s">
        <v>36</v>
      </c>
      <c r="R116" s="8" t="s">
        <v>71</v>
      </c>
      <c r="S116" s="8" t="s">
        <v>38</v>
      </c>
      <c r="V116" s="26" t="str">
        <f>VLOOKUP(MID(Table1[[#This Row],[Nodo]],1,12),Tabla2[#Data],2,FALSE)</f>
        <v>TABLERO DE CONTROL PRINCIPAL</v>
      </c>
      <c r="W116" s="26" t="str">
        <f t="shared" si="2"/>
        <v>ELE</v>
      </c>
      <c r="X116" s="26" t="e">
        <f>VLOOKUP(MID([1]!Table1[[#This Row],[Nodo]],1,7),[1]!Tabla5[#Data],2,FALSE)</f>
        <v>#N/A</v>
      </c>
    </row>
    <row r="117" spans="1:24" x14ac:dyDescent="0.3">
      <c r="A117" s="8" t="s">
        <v>24</v>
      </c>
      <c r="B117" s="8" t="s">
        <v>25</v>
      </c>
      <c r="C117" s="8" t="s">
        <v>26</v>
      </c>
      <c r="D117" s="8" t="s">
        <v>65</v>
      </c>
      <c r="E117" s="8" t="s">
        <v>66</v>
      </c>
      <c r="F117" s="8" t="s">
        <v>78</v>
      </c>
      <c r="G117" s="8" t="s">
        <v>96</v>
      </c>
      <c r="H117" s="8" t="s">
        <v>97</v>
      </c>
      <c r="I117" s="8" t="s">
        <v>98</v>
      </c>
      <c r="J117" s="28">
        <v>45695.431064814817</v>
      </c>
      <c r="K117" s="28">
        <v>45863.464583333334</v>
      </c>
      <c r="L117" s="8" t="s">
        <v>33</v>
      </c>
      <c r="M117" s="8" t="s">
        <v>34</v>
      </c>
      <c r="N117" s="29">
        <v>0</v>
      </c>
      <c r="O117" s="29">
        <v>1</v>
      </c>
      <c r="P117" s="8" t="s">
        <v>35</v>
      </c>
      <c r="Q117" s="8" t="s">
        <v>36</v>
      </c>
      <c r="R117" s="8" t="s">
        <v>71</v>
      </c>
      <c r="S117" s="8" t="s">
        <v>38</v>
      </c>
      <c r="V117" s="26" t="str">
        <f>VLOOKUP(MID(Table1[[#This Row],[Nodo]],1,12),Tabla2[#Data],2,FALSE)</f>
        <v>TABLERO DE CONTROL PRINCIPAL</v>
      </c>
      <c r="W117" s="26" t="str">
        <f t="shared" si="2"/>
        <v>ELE</v>
      </c>
      <c r="X117" s="26" t="e">
        <f>VLOOKUP(MID([1]!Table1[[#This Row],[Nodo]],1,7),[1]!Tabla5[#Data],2,FALSE)</f>
        <v>#N/A</v>
      </c>
    </row>
    <row r="118" spans="1:24" x14ac:dyDescent="0.3">
      <c r="A118" s="8" t="s">
        <v>24</v>
      </c>
      <c r="B118" s="8" t="s">
        <v>25</v>
      </c>
      <c r="C118" s="8" t="s">
        <v>26</v>
      </c>
      <c r="D118" s="8" t="s">
        <v>65</v>
      </c>
      <c r="E118" s="8" t="s">
        <v>66</v>
      </c>
      <c r="F118" s="8" t="s">
        <v>79</v>
      </c>
      <c r="G118" s="8" t="s">
        <v>96</v>
      </c>
      <c r="H118" s="8" t="s">
        <v>97</v>
      </c>
      <c r="I118" s="8" t="s">
        <v>98</v>
      </c>
      <c r="J118" s="28">
        <v>45695.431064814817</v>
      </c>
      <c r="K118" s="28">
        <v>45863.464583333334</v>
      </c>
      <c r="L118" s="8" t="s">
        <v>33</v>
      </c>
      <c r="M118" s="8" t="s">
        <v>34</v>
      </c>
      <c r="N118" s="29">
        <v>0</v>
      </c>
      <c r="O118" s="29">
        <v>1</v>
      </c>
      <c r="P118" s="8" t="s">
        <v>35</v>
      </c>
      <c r="Q118" s="8" t="s">
        <v>36</v>
      </c>
      <c r="R118" s="8" t="s">
        <v>71</v>
      </c>
      <c r="S118" s="8" t="s">
        <v>38</v>
      </c>
      <c r="V118" s="26" t="str">
        <f>VLOOKUP(MID(Table1[[#This Row],[Nodo]],1,12),Tabla2[#Data],2,FALSE)</f>
        <v>TABLERO DE CONTROL PRINCIPAL</v>
      </c>
      <c r="W118" s="26" t="str">
        <f t="shared" si="2"/>
        <v>ELE</v>
      </c>
      <c r="X118" s="26" t="e">
        <f>VLOOKUP(MID([1]!Table1[[#This Row],[Nodo]],1,7),[1]!Tabla5[#Data],2,FALSE)</f>
        <v>#N/A</v>
      </c>
    </row>
    <row r="119" spans="1:24" x14ac:dyDescent="0.3">
      <c r="A119" s="8" t="s">
        <v>24</v>
      </c>
      <c r="B119" s="8" t="s">
        <v>25</v>
      </c>
      <c r="C119" s="8" t="s">
        <v>26</v>
      </c>
      <c r="D119" s="8" t="s">
        <v>65</v>
      </c>
      <c r="E119" s="8" t="s">
        <v>66</v>
      </c>
      <c r="F119" s="8" t="s">
        <v>80</v>
      </c>
      <c r="G119" s="8" t="s">
        <v>96</v>
      </c>
      <c r="H119" s="8" t="s">
        <v>97</v>
      </c>
      <c r="I119" s="8" t="s">
        <v>98</v>
      </c>
      <c r="J119" s="28">
        <v>45695.431064814817</v>
      </c>
      <c r="K119" s="28">
        <v>45863.464583333334</v>
      </c>
      <c r="L119" s="8" t="s">
        <v>33</v>
      </c>
      <c r="M119" s="8" t="s">
        <v>34</v>
      </c>
      <c r="N119" s="29">
        <v>0</v>
      </c>
      <c r="O119" s="29">
        <v>1</v>
      </c>
      <c r="P119" s="8" t="s">
        <v>35</v>
      </c>
      <c r="Q119" s="8" t="s">
        <v>36</v>
      </c>
      <c r="R119" s="8" t="s">
        <v>71</v>
      </c>
      <c r="S119" s="8" t="s">
        <v>38</v>
      </c>
      <c r="V119" s="26" t="str">
        <f>VLOOKUP(MID(Table1[[#This Row],[Nodo]],1,12),Tabla2[#Data],2,FALSE)</f>
        <v>TABLERO DE CONTROL PRINCIPAL</v>
      </c>
      <c r="W119" s="26" t="str">
        <f t="shared" si="2"/>
        <v>ELE</v>
      </c>
      <c r="X119" s="26" t="e">
        <f>VLOOKUP(MID([1]!Table1[[#This Row],[Nodo]],1,7),[1]!Tabla5[#Data],2,FALSE)</f>
        <v>#N/A</v>
      </c>
    </row>
    <row r="120" spans="1:24" x14ac:dyDescent="0.3">
      <c r="A120" s="8" t="s">
        <v>24</v>
      </c>
      <c r="B120" s="8" t="s">
        <v>25</v>
      </c>
      <c r="C120" s="8" t="s">
        <v>26</v>
      </c>
      <c r="D120" s="8" t="s">
        <v>99</v>
      </c>
      <c r="E120" s="8" t="s">
        <v>100</v>
      </c>
      <c r="F120" s="8" t="s">
        <v>101</v>
      </c>
      <c r="G120" s="8" t="s">
        <v>68</v>
      </c>
      <c r="H120" s="8" t="s">
        <v>69</v>
      </c>
      <c r="I120" s="8" t="s">
        <v>70</v>
      </c>
      <c r="J120" s="28">
        <v>45695.430960648147</v>
      </c>
      <c r="K120" s="28">
        <v>45863.464583333334</v>
      </c>
      <c r="L120" s="8" t="s">
        <v>33</v>
      </c>
      <c r="M120" s="8" t="s">
        <v>34</v>
      </c>
      <c r="N120" s="29">
        <v>0</v>
      </c>
      <c r="O120" s="29">
        <v>1</v>
      </c>
      <c r="P120" s="8" t="s">
        <v>35</v>
      </c>
      <c r="Q120" s="8" t="s">
        <v>36</v>
      </c>
      <c r="R120" s="8" t="s">
        <v>102</v>
      </c>
      <c r="S120" s="8" t="s">
        <v>38</v>
      </c>
      <c r="V120" s="26" t="str">
        <f>VLOOKUP(MID(Table1[[#This Row],[Nodo]],1,12),Tabla2[#Data],2,FALSE)</f>
        <v>APILADOR APILADOR SISTEMA DE A</v>
      </c>
      <c r="W120" s="26" t="str">
        <f t="shared" si="2"/>
        <v>ELE</v>
      </c>
      <c r="X120" s="26" t="e">
        <f>VLOOKUP(MID([1]!Table1[[#This Row],[Nodo]],1,7),[1]!Tabla5[#Data],2,FALSE)</f>
        <v>#N/A</v>
      </c>
    </row>
    <row r="121" spans="1:24" x14ac:dyDescent="0.3">
      <c r="A121" s="8" t="s">
        <v>24</v>
      </c>
      <c r="B121" s="8" t="s">
        <v>25</v>
      </c>
      <c r="C121" s="8" t="s">
        <v>26</v>
      </c>
      <c r="D121" s="8" t="s">
        <v>99</v>
      </c>
      <c r="E121" s="8" t="s">
        <v>100</v>
      </c>
      <c r="F121" s="8" t="s">
        <v>101</v>
      </c>
      <c r="G121" s="8" t="s">
        <v>87</v>
      </c>
      <c r="H121" s="8" t="s">
        <v>88</v>
      </c>
      <c r="I121" s="8" t="s">
        <v>89</v>
      </c>
      <c r="J121" s="28">
        <v>45695.431041666663</v>
      </c>
      <c r="K121" s="28">
        <v>45863.464583333334</v>
      </c>
      <c r="L121" s="8" t="s">
        <v>33</v>
      </c>
      <c r="M121" s="8" t="s">
        <v>34</v>
      </c>
      <c r="N121" s="29">
        <v>0</v>
      </c>
      <c r="O121" s="29">
        <v>1</v>
      </c>
      <c r="P121" s="8" t="s">
        <v>35</v>
      </c>
      <c r="Q121" s="8" t="s">
        <v>36</v>
      </c>
      <c r="R121" s="8" t="s">
        <v>102</v>
      </c>
      <c r="S121" s="8" t="s">
        <v>38</v>
      </c>
      <c r="V121" s="26" t="str">
        <f>VLOOKUP(MID(Table1[[#This Row],[Nodo]],1,12),Tabla2[#Data],2,FALSE)</f>
        <v>PRECALENTADOR</v>
      </c>
      <c r="W121" s="26" t="str">
        <f t="shared" si="2"/>
        <v>ELE</v>
      </c>
      <c r="X121" s="26" t="e">
        <f>VLOOKUP(MID([1]!Table1[[#This Row],[Nodo]],1,7),[1]!Tabla5[#Data],2,FALSE)</f>
        <v>#N/A</v>
      </c>
    </row>
    <row r="122" spans="1:24" x14ac:dyDescent="0.3">
      <c r="A122" s="8" t="s">
        <v>24</v>
      </c>
      <c r="B122" s="8" t="s">
        <v>25</v>
      </c>
      <c r="C122" s="8" t="s">
        <v>26</v>
      </c>
      <c r="D122" s="8" t="s">
        <v>99</v>
      </c>
      <c r="E122" s="8" t="s">
        <v>100</v>
      </c>
      <c r="F122" s="8" t="s">
        <v>101</v>
      </c>
      <c r="G122" s="8" t="s">
        <v>93</v>
      </c>
      <c r="H122" s="8" t="s">
        <v>94</v>
      </c>
      <c r="I122" s="8" t="s">
        <v>95</v>
      </c>
      <c r="J122" s="28">
        <v>45695.431064814817</v>
      </c>
      <c r="K122" s="28">
        <v>45863.464583333334</v>
      </c>
      <c r="L122" s="8" t="s">
        <v>33</v>
      </c>
      <c r="M122" s="8" t="s">
        <v>34</v>
      </c>
      <c r="N122" s="29">
        <v>0</v>
      </c>
      <c r="O122" s="29">
        <v>1</v>
      </c>
      <c r="P122" s="8" t="s">
        <v>35</v>
      </c>
      <c r="Q122" s="8" t="s">
        <v>36</v>
      </c>
      <c r="R122" s="8" t="s">
        <v>102</v>
      </c>
      <c r="S122" s="8" t="s">
        <v>38</v>
      </c>
      <c r="V122" s="26" t="str">
        <f>VLOOKUP(MID(Table1[[#This Row],[Nodo]],1,12),Tabla2[#Data],2,FALSE)</f>
        <v>HORNO</v>
      </c>
      <c r="W122" s="26" t="str">
        <f t="shared" si="2"/>
        <v>ELE</v>
      </c>
      <c r="X122" s="26" t="e">
        <f>VLOOKUP(MID([1]!Table1[[#This Row],[Nodo]],1,7),[1]!Tabla5[#Data],2,FALSE)</f>
        <v>#N/A</v>
      </c>
    </row>
    <row r="123" spans="1:24" x14ac:dyDescent="0.3">
      <c r="A123" s="8" t="s">
        <v>24</v>
      </c>
      <c r="B123" s="8" t="s">
        <v>25</v>
      </c>
      <c r="C123" s="8" t="s">
        <v>26</v>
      </c>
      <c r="D123" s="8" t="s">
        <v>99</v>
      </c>
      <c r="E123" s="8" t="s">
        <v>100</v>
      </c>
      <c r="F123" s="8" t="s">
        <v>101</v>
      </c>
      <c r="G123" s="8" t="s">
        <v>96</v>
      </c>
      <c r="H123" s="8" t="s">
        <v>97</v>
      </c>
      <c r="I123" s="8" t="s">
        <v>98</v>
      </c>
      <c r="J123" s="28">
        <v>45695.431064814817</v>
      </c>
      <c r="K123" s="28">
        <v>45863.464583333334</v>
      </c>
      <c r="L123" s="8" t="s">
        <v>33</v>
      </c>
      <c r="M123" s="8" t="s">
        <v>34</v>
      </c>
      <c r="N123" s="29">
        <v>0</v>
      </c>
      <c r="O123" s="29">
        <v>1</v>
      </c>
      <c r="P123" s="8" t="s">
        <v>35</v>
      </c>
      <c r="Q123" s="8" t="s">
        <v>36</v>
      </c>
      <c r="R123" s="8" t="s">
        <v>102</v>
      </c>
      <c r="S123" s="8" t="s">
        <v>38</v>
      </c>
      <c r="V123" s="26" t="str">
        <f>VLOOKUP(MID(Table1[[#This Row],[Nodo]],1,12),Tabla2[#Data],2,FALSE)</f>
        <v>TABLERO DE CONTROL PRINCIPAL</v>
      </c>
      <c r="W123" s="26" t="str">
        <f t="shared" si="2"/>
        <v>ELE</v>
      </c>
      <c r="X123" s="26" t="e">
        <f>VLOOKUP(MID([1]!Table1[[#This Row],[Nodo]],1,7),[1]!Tabla5[#Data],2,FALSE)</f>
        <v>#N/A</v>
      </c>
    </row>
    <row r="124" spans="1:24" x14ac:dyDescent="0.3">
      <c r="A124" s="8" t="s">
        <v>24</v>
      </c>
      <c r="B124" s="8" t="s">
        <v>25</v>
      </c>
      <c r="C124" s="8" t="s">
        <v>26</v>
      </c>
      <c r="D124" s="8" t="s">
        <v>103</v>
      </c>
      <c r="E124" s="8" t="s">
        <v>104</v>
      </c>
      <c r="F124" s="8" t="s">
        <v>105</v>
      </c>
      <c r="G124" s="8" t="s">
        <v>87</v>
      </c>
      <c r="H124" s="8" t="s">
        <v>88</v>
      </c>
      <c r="I124" s="8" t="s">
        <v>89</v>
      </c>
      <c r="J124" s="28">
        <v>45695.431041666663</v>
      </c>
      <c r="K124" s="28">
        <v>45863.464583333334</v>
      </c>
      <c r="L124" s="8" t="s">
        <v>33</v>
      </c>
      <c r="M124" s="8" t="s">
        <v>34</v>
      </c>
      <c r="N124" s="29">
        <v>0</v>
      </c>
      <c r="O124" s="29">
        <v>1</v>
      </c>
      <c r="P124" s="8" t="s">
        <v>35</v>
      </c>
      <c r="Q124" s="8" t="s">
        <v>36</v>
      </c>
      <c r="R124" s="8" t="s">
        <v>106</v>
      </c>
      <c r="S124" s="8" t="s">
        <v>38</v>
      </c>
      <c r="V124" s="26" t="str">
        <f>VLOOKUP(MID(Table1[[#This Row],[Nodo]],1,12),Tabla2[#Data],2,FALSE)</f>
        <v>PRECALENTADOR</v>
      </c>
      <c r="W124" s="26" t="str">
        <f t="shared" si="2"/>
        <v>ELE</v>
      </c>
      <c r="X124" s="26" t="e">
        <f>VLOOKUP(MID([1]!Table1[[#This Row],[Nodo]],1,7),[1]!Tabla5[#Data],2,FALSE)</f>
        <v>#N/A</v>
      </c>
    </row>
    <row r="125" spans="1:24" x14ac:dyDescent="0.3">
      <c r="A125" s="8" t="s">
        <v>24</v>
      </c>
      <c r="B125" s="8" t="s">
        <v>25</v>
      </c>
      <c r="C125" s="8" t="s">
        <v>26</v>
      </c>
      <c r="D125" s="8" t="s">
        <v>103</v>
      </c>
      <c r="E125" s="8" t="s">
        <v>104</v>
      </c>
      <c r="F125" s="8" t="s">
        <v>107</v>
      </c>
      <c r="G125" s="8" t="s">
        <v>87</v>
      </c>
      <c r="H125" s="8" t="s">
        <v>88</v>
      </c>
      <c r="I125" s="8" t="s">
        <v>89</v>
      </c>
      <c r="J125" s="28">
        <v>45695.431041666663</v>
      </c>
      <c r="K125" s="28">
        <v>45863.464583333334</v>
      </c>
      <c r="L125" s="8" t="s">
        <v>33</v>
      </c>
      <c r="M125" s="8" t="s">
        <v>34</v>
      </c>
      <c r="N125" s="29">
        <v>0</v>
      </c>
      <c r="O125" s="29">
        <v>1</v>
      </c>
      <c r="P125" s="8" t="s">
        <v>35</v>
      </c>
      <c r="Q125" s="8" t="s">
        <v>36</v>
      </c>
      <c r="R125" s="8" t="s">
        <v>106</v>
      </c>
      <c r="S125" s="8" t="s">
        <v>38</v>
      </c>
      <c r="V125" s="26" t="str">
        <f>VLOOKUP(MID(Table1[[#This Row],[Nodo]],1,12),Tabla2[#Data],2,FALSE)</f>
        <v>PRECALENTADOR</v>
      </c>
      <c r="W125" s="26" t="str">
        <f t="shared" si="2"/>
        <v>ELE</v>
      </c>
      <c r="X125" s="26" t="e">
        <f>VLOOKUP(MID([1]!Table1[[#This Row],[Nodo]],1,7),[1]!Tabla5[#Data],2,FALSE)</f>
        <v>#N/A</v>
      </c>
    </row>
    <row r="126" spans="1:24" x14ac:dyDescent="0.3">
      <c r="A126" s="8" t="s">
        <v>24</v>
      </c>
      <c r="B126" s="8" t="s">
        <v>25</v>
      </c>
      <c r="C126" s="8" t="s">
        <v>26</v>
      </c>
      <c r="D126" s="8" t="s">
        <v>108</v>
      </c>
      <c r="E126" s="8" t="s">
        <v>109</v>
      </c>
      <c r="F126" s="8" t="s">
        <v>110</v>
      </c>
      <c r="G126" s="8" t="s">
        <v>81</v>
      </c>
      <c r="H126" s="8" t="s">
        <v>82</v>
      </c>
      <c r="I126" s="8" t="s">
        <v>83</v>
      </c>
      <c r="J126" s="28">
        <v>45695.431018518517</v>
      </c>
      <c r="K126" s="28">
        <v>45863.464583333334</v>
      </c>
      <c r="L126" s="8" t="s">
        <v>33</v>
      </c>
      <c r="M126" s="8" t="s">
        <v>34</v>
      </c>
      <c r="N126" s="29">
        <v>0</v>
      </c>
      <c r="O126" s="29">
        <v>1</v>
      </c>
      <c r="P126" s="8" t="s">
        <v>35</v>
      </c>
      <c r="Q126" s="8" t="s">
        <v>36</v>
      </c>
      <c r="R126" s="8" t="s">
        <v>111</v>
      </c>
      <c r="S126" s="8" t="s">
        <v>38</v>
      </c>
      <c r="V126" s="26" t="str">
        <f>VLOOKUP(MID(Table1[[#This Row],[Nodo]],1,12),Tabla2[#Data],2,FALSE)</f>
        <v>ESTACION DE FORMADO</v>
      </c>
      <c r="W126" s="26" t="str">
        <f t="shared" si="2"/>
        <v>ELE</v>
      </c>
      <c r="X126" s="26" t="e">
        <f>VLOOKUP(MID([1]!Table1[[#This Row],[Nodo]],1,7),[1]!Tabla5[#Data],2,FALSE)</f>
        <v>#N/A</v>
      </c>
    </row>
    <row r="127" spans="1:24" x14ac:dyDescent="0.3">
      <c r="A127" s="8" t="s">
        <v>24</v>
      </c>
      <c r="B127" s="8" t="s">
        <v>25</v>
      </c>
      <c r="C127" s="8" t="s">
        <v>26</v>
      </c>
      <c r="D127" s="8" t="s">
        <v>108</v>
      </c>
      <c r="E127" s="8" t="s">
        <v>109</v>
      </c>
      <c r="F127" s="8" t="s">
        <v>112</v>
      </c>
      <c r="G127" s="8" t="s">
        <v>81</v>
      </c>
      <c r="H127" s="8" t="s">
        <v>82</v>
      </c>
      <c r="I127" s="8" t="s">
        <v>83</v>
      </c>
      <c r="J127" s="28">
        <v>45695.431018518517</v>
      </c>
      <c r="K127" s="28">
        <v>45863.464583333334</v>
      </c>
      <c r="L127" s="8" t="s">
        <v>33</v>
      </c>
      <c r="M127" s="8" t="s">
        <v>34</v>
      </c>
      <c r="N127" s="29">
        <v>0</v>
      </c>
      <c r="O127" s="29">
        <v>1</v>
      </c>
      <c r="P127" s="8" t="s">
        <v>35</v>
      </c>
      <c r="Q127" s="8" t="s">
        <v>36</v>
      </c>
      <c r="R127" s="8" t="s">
        <v>111</v>
      </c>
      <c r="S127" s="8" t="s">
        <v>38</v>
      </c>
      <c r="V127" s="26" t="str">
        <f>VLOOKUP(MID(Table1[[#This Row],[Nodo]],1,12),Tabla2[#Data],2,FALSE)</f>
        <v>ESTACION DE FORMADO</v>
      </c>
      <c r="W127" s="26" t="str">
        <f t="shared" si="2"/>
        <v>ELE</v>
      </c>
      <c r="X127" s="26" t="e">
        <f>VLOOKUP(MID([1]!Table1[[#This Row],[Nodo]],1,7),[1]!Tabla5[#Data],2,FALSE)</f>
        <v>#N/A</v>
      </c>
    </row>
    <row r="128" spans="1:24" x14ac:dyDescent="0.3">
      <c r="A128" s="8" t="s">
        <v>24</v>
      </c>
      <c r="B128" s="8" t="s">
        <v>25</v>
      </c>
      <c r="C128" s="8" t="s">
        <v>26</v>
      </c>
      <c r="D128" s="8" t="s">
        <v>108</v>
      </c>
      <c r="E128" s="8" t="s">
        <v>109</v>
      </c>
      <c r="F128" s="8" t="s">
        <v>110</v>
      </c>
      <c r="G128" s="8" t="s">
        <v>84</v>
      </c>
      <c r="H128" s="8" t="s">
        <v>85</v>
      </c>
      <c r="I128" s="8" t="s">
        <v>86</v>
      </c>
      <c r="J128" s="28">
        <v>45695.431030092594</v>
      </c>
      <c r="K128" s="28">
        <v>45863.464583333334</v>
      </c>
      <c r="L128" s="8" t="s">
        <v>33</v>
      </c>
      <c r="M128" s="8" t="s">
        <v>34</v>
      </c>
      <c r="N128" s="29">
        <v>0</v>
      </c>
      <c r="O128" s="29">
        <v>1</v>
      </c>
      <c r="P128" s="8" t="s">
        <v>35</v>
      </c>
      <c r="Q128" s="8" t="s">
        <v>36</v>
      </c>
      <c r="R128" s="8" t="s">
        <v>111</v>
      </c>
      <c r="S128" s="8" t="s">
        <v>38</v>
      </c>
      <c r="V128" s="26" t="str">
        <f>VLOOKUP(MID(Table1[[#This Row],[Nodo]],1,12),Tabla2[#Data],2,FALSE)</f>
        <v>ESTACION DE FORMADO</v>
      </c>
      <c r="W128" s="26" t="str">
        <f t="shared" si="2"/>
        <v>ELE</v>
      </c>
      <c r="X128" s="26" t="e">
        <f>VLOOKUP(MID([1]!Table1[[#This Row],[Nodo]],1,7),[1]!Tabla5[#Data],2,FALSE)</f>
        <v>#N/A</v>
      </c>
    </row>
    <row r="129" spans="1:24" x14ac:dyDescent="0.3">
      <c r="A129" s="8" t="s">
        <v>24</v>
      </c>
      <c r="B129" s="8" t="s">
        <v>25</v>
      </c>
      <c r="C129" s="8" t="s">
        <v>26</v>
      </c>
      <c r="D129" s="8" t="s">
        <v>108</v>
      </c>
      <c r="E129" s="8" t="s">
        <v>109</v>
      </c>
      <c r="F129" s="8" t="s">
        <v>112</v>
      </c>
      <c r="G129" s="8" t="s">
        <v>84</v>
      </c>
      <c r="H129" s="8" t="s">
        <v>85</v>
      </c>
      <c r="I129" s="8" t="s">
        <v>86</v>
      </c>
      <c r="J129" s="28">
        <v>45695.431030092594</v>
      </c>
      <c r="K129" s="28">
        <v>45863.464583333334</v>
      </c>
      <c r="L129" s="8" t="s">
        <v>33</v>
      </c>
      <c r="M129" s="8" t="s">
        <v>34</v>
      </c>
      <c r="N129" s="29">
        <v>0</v>
      </c>
      <c r="O129" s="29">
        <v>1</v>
      </c>
      <c r="P129" s="8" t="s">
        <v>35</v>
      </c>
      <c r="Q129" s="8" t="s">
        <v>36</v>
      </c>
      <c r="R129" s="8" t="s">
        <v>111</v>
      </c>
      <c r="S129" s="8" t="s">
        <v>38</v>
      </c>
      <c r="V129" s="26" t="str">
        <f>VLOOKUP(MID(Table1[[#This Row],[Nodo]],1,12),Tabla2[#Data],2,FALSE)</f>
        <v>ESTACION DE FORMADO</v>
      </c>
      <c r="W129" s="26" t="str">
        <f t="shared" si="2"/>
        <v>ELE</v>
      </c>
      <c r="X129" s="26" t="e">
        <f>VLOOKUP(MID([1]!Table1[[#This Row],[Nodo]],1,7),[1]!Tabla5[#Data],2,FALSE)</f>
        <v>#N/A</v>
      </c>
    </row>
    <row r="130" spans="1:24" x14ac:dyDescent="0.3">
      <c r="A130" s="8" t="s">
        <v>24</v>
      </c>
      <c r="B130" s="8" t="s">
        <v>25</v>
      </c>
      <c r="C130" s="8" t="s">
        <v>26</v>
      </c>
      <c r="D130" s="8" t="s">
        <v>108</v>
      </c>
      <c r="E130" s="8" t="s">
        <v>109</v>
      </c>
      <c r="F130" s="8" t="s">
        <v>110</v>
      </c>
      <c r="G130" s="8" t="s">
        <v>87</v>
      </c>
      <c r="H130" s="8" t="s">
        <v>88</v>
      </c>
      <c r="I130" s="8" t="s">
        <v>89</v>
      </c>
      <c r="J130" s="28">
        <v>45695.431041666663</v>
      </c>
      <c r="K130" s="28">
        <v>45863.464583333334</v>
      </c>
      <c r="L130" s="8" t="s">
        <v>33</v>
      </c>
      <c r="M130" s="8" t="s">
        <v>34</v>
      </c>
      <c r="N130" s="29">
        <v>0</v>
      </c>
      <c r="O130" s="29">
        <v>1</v>
      </c>
      <c r="P130" s="8" t="s">
        <v>35</v>
      </c>
      <c r="Q130" s="8" t="s">
        <v>36</v>
      </c>
      <c r="R130" s="8" t="s">
        <v>111</v>
      </c>
      <c r="S130" s="8" t="s">
        <v>38</v>
      </c>
      <c r="V130" s="26" t="str">
        <f>VLOOKUP(MID(Table1[[#This Row],[Nodo]],1,12),Tabla2[#Data],2,FALSE)</f>
        <v>PRECALENTADOR</v>
      </c>
      <c r="W130" s="26" t="str">
        <f t="shared" si="2"/>
        <v>ELE</v>
      </c>
      <c r="X130" s="26" t="e">
        <f>VLOOKUP(MID([1]!Table1[[#This Row],[Nodo]],1,7),[1]!Tabla5[#Data],2,FALSE)</f>
        <v>#N/A</v>
      </c>
    </row>
    <row r="131" spans="1:24" x14ac:dyDescent="0.3">
      <c r="A131" s="8" t="s">
        <v>24</v>
      </c>
      <c r="B131" s="8" t="s">
        <v>25</v>
      </c>
      <c r="C131" s="8" t="s">
        <v>26</v>
      </c>
      <c r="D131" s="8" t="s">
        <v>108</v>
      </c>
      <c r="E131" s="8" t="s">
        <v>109</v>
      </c>
      <c r="F131" s="8" t="s">
        <v>112</v>
      </c>
      <c r="G131" s="8" t="s">
        <v>87</v>
      </c>
      <c r="H131" s="8" t="s">
        <v>88</v>
      </c>
      <c r="I131" s="8" t="s">
        <v>89</v>
      </c>
      <c r="J131" s="28">
        <v>45695.431041666663</v>
      </c>
      <c r="K131" s="28">
        <v>45863.464583333334</v>
      </c>
      <c r="L131" s="8" t="s">
        <v>33</v>
      </c>
      <c r="M131" s="8" t="s">
        <v>34</v>
      </c>
      <c r="N131" s="29">
        <v>0</v>
      </c>
      <c r="O131" s="29">
        <v>1</v>
      </c>
      <c r="P131" s="8" t="s">
        <v>35</v>
      </c>
      <c r="Q131" s="8" t="s">
        <v>36</v>
      </c>
      <c r="R131" s="8" t="s">
        <v>111</v>
      </c>
      <c r="S131" s="8" t="s">
        <v>38</v>
      </c>
      <c r="V131" s="26" t="str">
        <f>VLOOKUP(MID(Table1[[#This Row],[Nodo]],1,12),Tabla2[#Data],2,FALSE)</f>
        <v>PRECALENTADOR</v>
      </c>
      <c r="W131" s="26" t="str">
        <f t="shared" ref="W131:W194" si="3">IF(MID(E131,1,3)="ELE","ELE",IF(MID(E131,1,3)="INS","ELE",IF(MID(E131,1,3)="MEC","MEC",IF(MID(E131,1,3)="LUB","MEC",IF(MID(E131,1,3)="IST","ELE"," ")))))</f>
        <v>ELE</v>
      </c>
      <c r="X131" s="26" t="e">
        <f>VLOOKUP(MID([1]!Table1[[#This Row],[Nodo]],1,7),[1]!Tabla5[#Data],2,FALSE)</f>
        <v>#N/A</v>
      </c>
    </row>
    <row r="132" spans="1:24" x14ac:dyDescent="0.3">
      <c r="A132" s="8" t="s">
        <v>24</v>
      </c>
      <c r="B132" s="8" t="s">
        <v>25</v>
      </c>
      <c r="C132" s="8" t="s">
        <v>26</v>
      </c>
      <c r="D132" s="8" t="s">
        <v>108</v>
      </c>
      <c r="E132" s="8" t="s">
        <v>109</v>
      </c>
      <c r="F132" s="8" t="s">
        <v>110</v>
      </c>
      <c r="G132" s="8" t="s">
        <v>90</v>
      </c>
      <c r="H132" s="8" t="s">
        <v>91</v>
      </c>
      <c r="I132" s="8" t="s">
        <v>92</v>
      </c>
      <c r="J132" s="28">
        <v>45695.43105324074</v>
      </c>
      <c r="K132" s="28">
        <v>45863.464583333334</v>
      </c>
      <c r="L132" s="8" t="s">
        <v>33</v>
      </c>
      <c r="M132" s="8" t="s">
        <v>34</v>
      </c>
      <c r="N132" s="29">
        <v>0</v>
      </c>
      <c r="O132" s="29">
        <v>1</v>
      </c>
      <c r="P132" s="8" t="s">
        <v>35</v>
      </c>
      <c r="Q132" s="8" t="s">
        <v>36</v>
      </c>
      <c r="R132" s="8" t="s">
        <v>111</v>
      </c>
      <c r="S132" s="8" t="s">
        <v>38</v>
      </c>
      <c r="V132" s="26" t="str">
        <f>VLOOKUP(MID(Table1[[#This Row],[Nodo]],1,12),Tabla2[#Data],2,FALSE)</f>
        <v>PRECALENTADOR</v>
      </c>
      <c r="W132" s="26" t="str">
        <f t="shared" si="3"/>
        <v>ELE</v>
      </c>
      <c r="X132" s="26" t="e">
        <f>VLOOKUP(MID([1]!Table1[[#This Row],[Nodo]],1,7),[1]!Tabla5[#Data],2,FALSE)</f>
        <v>#N/A</v>
      </c>
    </row>
    <row r="133" spans="1:24" x14ac:dyDescent="0.3">
      <c r="A133" s="8" t="s">
        <v>24</v>
      </c>
      <c r="B133" s="8" t="s">
        <v>25</v>
      </c>
      <c r="C133" s="8" t="s">
        <v>26</v>
      </c>
      <c r="D133" s="8" t="s">
        <v>108</v>
      </c>
      <c r="E133" s="8" t="s">
        <v>109</v>
      </c>
      <c r="F133" s="8" t="s">
        <v>112</v>
      </c>
      <c r="G133" s="8" t="s">
        <v>90</v>
      </c>
      <c r="H133" s="8" t="s">
        <v>91</v>
      </c>
      <c r="I133" s="8" t="s">
        <v>92</v>
      </c>
      <c r="J133" s="28">
        <v>45695.43105324074</v>
      </c>
      <c r="K133" s="28">
        <v>45863.464583333334</v>
      </c>
      <c r="L133" s="8" t="s">
        <v>33</v>
      </c>
      <c r="M133" s="8" t="s">
        <v>34</v>
      </c>
      <c r="N133" s="29">
        <v>0</v>
      </c>
      <c r="O133" s="29">
        <v>1</v>
      </c>
      <c r="P133" s="8" t="s">
        <v>35</v>
      </c>
      <c r="Q133" s="8" t="s">
        <v>36</v>
      </c>
      <c r="R133" s="8" t="s">
        <v>111</v>
      </c>
      <c r="S133" s="8" t="s">
        <v>38</v>
      </c>
      <c r="V133" s="26" t="str">
        <f>VLOOKUP(MID(Table1[[#This Row],[Nodo]],1,12),Tabla2[#Data],2,FALSE)</f>
        <v>PRECALENTADOR</v>
      </c>
      <c r="W133" s="26" t="str">
        <f t="shared" si="3"/>
        <v>ELE</v>
      </c>
      <c r="X133" s="26" t="e">
        <f>VLOOKUP(MID([1]!Table1[[#This Row],[Nodo]],1,7),[1]!Tabla5[#Data],2,FALSE)</f>
        <v>#N/A</v>
      </c>
    </row>
    <row r="134" spans="1:24" x14ac:dyDescent="0.3">
      <c r="A134" s="8" t="s">
        <v>24</v>
      </c>
      <c r="B134" s="8" t="s">
        <v>25</v>
      </c>
      <c r="C134" s="8" t="s">
        <v>26</v>
      </c>
      <c r="D134" s="8" t="s">
        <v>108</v>
      </c>
      <c r="E134" s="8" t="s">
        <v>109</v>
      </c>
      <c r="F134" s="8" t="s">
        <v>110</v>
      </c>
      <c r="G134" s="8" t="s">
        <v>96</v>
      </c>
      <c r="H134" s="8" t="s">
        <v>97</v>
      </c>
      <c r="I134" s="8" t="s">
        <v>98</v>
      </c>
      <c r="J134" s="28">
        <v>45695.431064814817</v>
      </c>
      <c r="K134" s="28">
        <v>45863.464583333334</v>
      </c>
      <c r="L134" s="8" t="s">
        <v>33</v>
      </c>
      <c r="M134" s="8" t="s">
        <v>34</v>
      </c>
      <c r="N134" s="29">
        <v>0</v>
      </c>
      <c r="O134" s="29">
        <v>1</v>
      </c>
      <c r="P134" s="8" t="s">
        <v>35</v>
      </c>
      <c r="Q134" s="8" t="s">
        <v>36</v>
      </c>
      <c r="R134" s="8" t="s">
        <v>111</v>
      </c>
      <c r="S134" s="8" t="s">
        <v>38</v>
      </c>
      <c r="V134" s="26" t="str">
        <f>VLOOKUP(MID(Table1[[#This Row],[Nodo]],1,12),Tabla2[#Data],2,FALSE)</f>
        <v>TABLERO DE CONTROL PRINCIPAL</v>
      </c>
      <c r="W134" s="26" t="str">
        <f t="shared" si="3"/>
        <v>ELE</v>
      </c>
      <c r="X134" s="26" t="e">
        <f>VLOOKUP(MID([1]!Table1[[#This Row],[Nodo]],1,7),[1]!Tabla5[#Data],2,FALSE)</f>
        <v>#N/A</v>
      </c>
    </row>
    <row r="135" spans="1:24" x14ac:dyDescent="0.3">
      <c r="A135" s="8" t="s">
        <v>24</v>
      </c>
      <c r="B135" s="8" t="s">
        <v>25</v>
      </c>
      <c r="C135" s="8" t="s">
        <v>26</v>
      </c>
      <c r="D135" s="8" t="s">
        <v>108</v>
      </c>
      <c r="E135" s="8" t="s">
        <v>109</v>
      </c>
      <c r="F135" s="8" t="s">
        <v>112</v>
      </c>
      <c r="G135" s="8" t="s">
        <v>96</v>
      </c>
      <c r="H135" s="8" t="s">
        <v>97</v>
      </c>
      <c r="I135" s="8" t="s">
        <v>98</v>
      </c>
      <c r="J135" s="28">
        <v>45695.431064814817</v>
      </c>
      <c r="K135" s="28">
        <v>45863.464583333334</v>
      </c>
      <c r="L135" s="8" t="s">
        <v>33</v>
      </c>
      <c r="M135" s="8" t="s">
        <v>34</v>
      </c>
      <c r="N135" s="29">
        <v>0</v>
      </c>
      <c r="O135" s="29">
        <v>1</v>
      </c>
      <c r="P135" s="8" t="s">
        <v>35</v>
      </c>
      <c r="Q135" s="8" t="s">
        <v>36</v>
      </c>
      <c r="R135" s="8" t="s">
        <v>111</v>
      </c>
      <c r="S135" s="8" t="s">
        <v>38</v>
      </c>
      <c r="V135" s="26" t="str">
        <f>VLOOKUP(MID(Table1[[#This Row],[Nodo]],1,12),Tabla2[#Data],2,FALSE)</f>
        <v>TABLERO DE CONTROL PRINCIPAL</v>
      </c>
      <c r="W135" s="26" t="str">
        <f t="shared" si="3"/>
        <v>ELE</v>
      </c>
      <c r="X135" s="26" t="e">
        <f>VLOOKUP(MID([1]!Table1[[#This Row],[Nodo]],1,7),[1]!Tabla5[#Data],2,FALSE)</f>
        <v>#N/A</v>
      </c>
    </row>
    <row r="136" spans="1:24" x14ac:dyDescent="0.3">
      <c r="A136" s="8" t="s">
        <v>24</v>
      </c>
      <c r="B136" s="8" t="s">
        <v>25</v>
      </c>
      <c r="C136" s="8" t="s">
        <v>26</v>
      </c>
      <c r="D136" s="8" t="s">
        <v>113</v>
      </c>
      <c r="E136" s="8" t="s">
        <v>114</v>
      </c>
      <c r="F136" s="8" t="s">
        <v>67</v>
      </c>
      <c r="G136" s="8" t="s">
        <v>68</v>
      </c>
      <c r="H136" s="8" t="s">
        <v>69</v>
      </c>
      <c r="I136" s="8" t="s">
        <v>70</v>
      </c>
      <c r="J136" s="28">
        <v>45695.430960648147</v>
      </c>
      <c r="K136" s="28">
        <v>45863.464583333334</v>
      </c>
      <c r="L136" s="8" t="s">
        <v>33</v>
      </c>
      <c r="M136" s="8" t="s">
        <v>34</v>
      </c>
      <c r="N136" s="29">
        <v>0</v>
      </c>
      <c r="O136" s="29">
        <v>1</v>
      </c>
      <c r="P136" s="8" t="s">
        <v>35</v>
      </c>
      <c r="Q136" s="8" t="s">
        <v>36</v>
      </c>
      <c r="R136" s="8" t="s">
        <v>115</v>
      </c>
      <c r="S136" s="8" t="s">
        <v>38</v>
      </c>
      <c r="V136" s="26" t="str">
        <f>VLOOKUP(MID(Table1[[#This Row],[Nodo]],1,12),Tabla2[#Data],2,FALSE)</f>
        <v>APILADOR APILADOR SISTEMA DE A</v>
      </c>
      <c r="W136" s="26" t="str">
        <f t="shared" si="3"/>
        <v>ELE</v>
      </c>
      <c r="X136" s="26" t="e">
        <f>VLOOKUP(MID([1]!Table1[[#This Row],[Nodo]],1,7),[1]!Tabla5[#Data],2,FALSE)</f>
        <v>#N/A</v>
      </c>
    </row>
    <row r="137" spans="1:24" x14ac:dyDescent="0.3">
      <c r="A137" s="8" t="s">
        <v>24</v>
      </c>
      <c r="B137" s="8" t="s">
        <v>25</v>
      </c>
      <c r="C137" s="8" t="s">
        <v>26</v>
      </c>
      <c r="D137" s="8" t="s">
        <v>113</v>
      </c>
      <c r="E137" s="8" t="s">
        <v>114</v>
      </c>
      <c r="F137" s="8" t="s">
        <v>116</v>
      </c>
      <c r="G137" s="8" t="s">
        <v>68</v>
      </c>
      <c r="H137" s="8" t="s">
        <v>69</v>
      </c>
      <c r="I137" s="8" t="s">
        <v>70</v>
      </c>
      <c r="J137" s="28">
        <v>45695.430960648147</v>
      </c>
      <c r="K137" s="28">
        <v>45863.464583333334</v>
      </c>
      <c r="L137" s="8" t="s">
        <v>33</v>
      </c>
      <c r="M137" s="8" t="s">
        <v>34</v>
      </c>
      <c r="N137" s="29">
        <v>0</v>
      </c>
      <c r="O137" s="29">
        <v>1</v>
      </c>
      <c r="P137" s="8" t="s">
        <v>35</v>
      </c>
      <c r="Q137" s="8" t="s">
        <v>36</v>
      </c>
      <c r="R137" s="8" t="s">
        <v>115</v>
      </c>
      <c r="S137" s="8" t="s">
        <v>38</v>
      </c>
      <c r="V137" s="26" t="str">
        <f>VLOOKUP(MID(Table1[[#This Row],[Nodo]],1,12),Tabla2[#Data],2,FALSE)</f>
        <v>APILADOR APILADOR SISTEMA DE A</v>
      </c>
      <c r="W137" s="26" t="str">
        <f t="shared" si="3"/>
        <v>ELE</v>
      </c>
      <c r="X137" s="26" t="e">
        <f>VLOOKUP(MID([1]!Table1[[#This Row],[Nodo]],1,7),[1]!Tabla5[#Data],2,FALSE)</f>
        <v>#N/A</v>
      </c>
    </row>
    <row r="138" spans="1:24" x14ac:dyDescent="0.3">
      <c r="A138" s="8" t="s">
        <v>24</v>
      </c>
      <c r="B138" s="8" t="s">
        <v>25</v>
      </c>
      <c r="C138" s="8" t="s">
        <v>26</v>
      </c>
      <c r="D138" s="8" t="s">
        <v>113</v>
      </c>
      <c r="E138" s="8" t="s">
        <v>114</v>
      </c>
      <c r="F138" s="8" t="s">
        <v>67</v>
      </c>
      <c r="G138" s="8" t="s">
        <v>93</v>
      </c>
      <c r="H138" s="8" t="s">
        <v>94</v>
      </c>
      <c r="I138" s="8" t="s">
        <v>95</v>
      </c>
      <c r="J138" s="28">
        <v>45695.431064814817</v>
      </c>
      <c r="K138" s="28">
        <v>45863.464583333334</v>
      </c>
      <c r="L138" s="8" t="s">
        <v>33</v>
      </c>
      <c r="M138" s="8" t="s">
        <v>34</v>
      </c>
      <c r="N138" s="29">
        <v>0</v>
      </c>
      <c r="O138" s="29">
        <v>1</v>
      </c>
      <c r="P138" s="8" t="s">
        <v>35</v>
      </c>
      <c r="Q138" s="8" t="s">
        <v>36</v>
      </c>
      <c r="R138" s="8" t="s">
        <v>117</v>
      </c>
      <c r="S138" s="8" t="s">
        <v>38</v>
      </c>
      <c r="V138" s="26" t="str">
        <f>VLOOKUP(MID(Table1[[#This Row],[Nodo]],1,12),Tabla2[#Data],2,FALSE)</f>
        <v>HORNO</v>
      </c>
      <c r="W138" s="26" t="str">
        <f t="shared" si="3"/>
        <v>ELE</v>
      </c>
      <c r="X138" s="26" t="e">
        <f>VLOOKUP(MID([1]!Table1[[#This Row],[Nodo]],1,7),[1]!Tabla5[#Data],2,FALSE)</f>
        <v>#N/A</v>
      </c>
    </row>
    <row r="139" spans="1:24" x14ac:dyDescent="0.3">
      <c r="A139" s="8" t="s">
        <v>24</v>
      </c>
      <c r="B139" s="8" t="s">
        <v>25</v>
      </c>
      <c r="C139" s="8" t="s">
        <v>26</v>
      </c>
      <c r="D139" s="8" t="s">
        <v>113</v>
      </c>
      <c r="E139" s="8" t="s">
        <v>114</v>
      </c>
      <c r="F139" s="8" t="s">
        <v>116</v>
      </c>
      <c r="G139" s="8" t="s">
        <v>93</v>
      </c>
      <c r="H139" s="8" t="s">
        <v>94</v>
      </c>
      <c r="I139" s="8" t="s">
        <v>95</v>
      </c>
      <c r="J139" s="28">
        <v>45695.431064814817</v>
      </c>
      <c r="K139" s="28">
        <v>45863.464583333334</v>
      </c>
      <c r="L139" s="8" t="s">
        <v>33</v>
      </c>
      <c r="M139" s="8" t="s">
        <v>34</v>
      </c>
      <c r="N139" s="29">
        <v>0</v>
      </c>
      <c r="O139" s="29">
        <v>1</v>
      </c>
      <c r="P139" s="8" t="s">
        <v>35</v>
      </c>
      <c r="Q139" s="8" t="s">
        <v>36</v>
      </c>
      <c r="R139" s="8" t="s">
        <v>117</v>
      </c>
      <c r="S139" s="8" t="s">
        <v>38</v>
      </c>
      <c r="V139" s="26" t="str">
        <f>VLOOKUP(MID(Table1[[#This Row],[Nodo]],1,12),Tabla2[#Data],2,FALSE)</f>
        <v>HORNO</v>
      </c>
      <c r="W139" s="26" t="str">
        <f t="shared" si="3"/>
        <v>ELE</v>
      </c>
      <c r="X139" s="26" t="e">
        <f>VLOOKUP(MID([1]!Table1[[#This Row],[Nodo]],1,7),[1]!Tabla5[#Data],2,FALSE)</f>
        <v>#N/A</v>
      </c>
    </row>
    <row r="140" spans="1:24" x14ac:dyDescent="0.3">
      <c r="A140" s="8" t="s">
        <v>24</v>
      </c>
      <c r="B140" s="8" t="s">
        <v>25</v>
      </c>
      <c r="C140" s="8" t="s">
        <v>26</v>
      </c>
      <c r="D140" s="8" t="s">
        <v>113</v>
      </c>
      <c r="E140" s="8" t="s">
        <v>114</v>
      </c>
      <c r="F140" s="8" t="s">
        <v>67</v>
      </c>
      <c r="G140" s="8" t="s">
        <v>96</v>
      </c>
      <c r="H140" s="8" t="s">
        <v>97</v>
      </c>
      <c r="I140" s="8" t="s">
        <v>98</v>
      </c>
      <c r="J140" s="28">
        <v>45695.431064814817</v>
      </c>
      <c r="K140" s="28">
        <v>45863.464583333334</v>
      </c>
      <c r="L140" s="8" t="s">
        <v>33</v>
      </c>
      <c r="M140" s="8" t="s">
        <v>34</v>
      </c>
      <c r="N140" s="29">
        <v>0</v>
      </c>
      <c r="O140" s="29">
        <v>1</v>
      </c>
      <c r="P140" s="8" t="s">
        <v>35</v>
      </c>
      <c r="Q140" s="8" t="s">
        <v>36</v>
      </c>
      <c r="R140" s="8" t="s">
        <v>117</v>
      </c>
      <c r="S140" s="8" t="s">
        <v>38</v>
      </c>
      <c r="V140" s="26" t="str">
        <f>VLOOKUP(MID(Table1[[#This Row],[Nodo]],1,12),Tabla2[#Data],2,FALSE)</f>
        <v>TABLERO DE CONTROL PRINCIPAL</v>
      </c>
      <c r="W140" s="26" t="str">
        <f t="shared" si="3"/>
        <v>ELE</v>
      </c>
      <c r="X140" s="26" t="e">
        <f>VLOOKUP(MID([1]!Table1[[#This Row],[Nodo]],1,7),[1]!Tabla5[#Data],2,FALSE)</f>
        <v>#N/A</v>
      </c>
    </row>
    <row r="141" spans="1:24" x14ac:dyDescent="0.3">
      <c r="A141" s="8" t="s">
        <v>24</v>
      </c>
      <c r="B141" s="8" t="s">
        <v>25</v>
      </c>
      <c r="C141" s="8" t="s">
        <v>26</v>
      </c>
      <c r="D141" s="8" t="s">
        <v>113</v>
      </c>
      <c r="E141" s="8" t="s">
        <v>114</v>
      </c>
      <c r="F141" s="8" t="s">
        <v>116</v>
      </c>
      <c r="G141" s="8" t="s">
        <v>96</v>
      </c>
      <c r="H141" s="8" t="s">
        <v>97</v>
      </c>
      <c r="I141" s="8" t="s">
        <v>98</v>
      </c>
      <c r="J141" s="28">
        <v>45695.431064814817</v>
      </c>
      <c r="K141" s="28">
        <v>45863.464583333334</v>
      </c>
      <c r="L141" s="8" t="s">
        <v>33</v>
      </c>
      <c r="M141" s="8" t="s">
        <v>34</v>
      </c>
      <c r="N141" s="29">
        <v>0</v>
      </c>
      <c r="O141" s="29">
        <v>1</v>
      </c>
      <c r="P141" s="8" t="s">
        <v>35</v>
      </c>
      <c r="Q141" s="8" t="s">
        <v>36</v>
      </c>
      <c r="R141" s="8" t="s">
        <v>117</v>
      </c>
      <c r="S141" s="8" t="s">
        <v>38</v>
      </c>
      <c r="V141" s="26" t="str">
        <f>VLOOKUP(MID(Table1[[#This Row],[Nodo]],1,12),Tabla2[#Data],2,FALSE)</f>
        <v>TABLERO DE CONTROL PRINCIPAL</v>
      </c>
      <c r="W141" s="26" t="str">
        <f t="shared" si="3"/>
        <v>ELE</v>
      </c>
      <c r="X141" s="26" t="e">
        <f>VLOOKUP(MID([1]!Table1[[#This Row],[Nodo]],1,7),[1]!Tabla5[#Data],2,FALSE)</f>
        <v>#N/A</v>
      </c>
    </row>
    <row r="142" spans="1:24" x14ac:dyDescent="0.3">
      <c r="A142" s="8" t="s">
        <v>24</v>
      </c>
      <c r="B142" s="8" t="s">
        <v>25</v>
      </c>
      <c r="C142" s="8" t="s">
        <v>26</v>
      </c>
      <c r="D142" s="8" t="s">
        <v>118</v>
      </c>
      <c r="E142" s="8" t="s">
        <v>119</v>
      </c>
      <c r="F142" s="8" t="s">
        <v>67</v>
      </c>
      <c r="G142" s="8" t="s">
        <v>96</v>
      </c>
      <c r="H142" s="8" t="s">
        <v>97</v>
      </c>
      <c r="I142" s="8" t="s">
        <v>98</v>
      </c>
      <c r="J142" s="28">
        <v>45695.431064814817</v>
      </c>
      <c r="K142" s="28">
        <v>45863.464583333334</v>
      </c>
      <c r="L142" s="8" t="s">
        <v>33</v>
      </c>
      <c r="M142" s="8" t="s">
        <v>34</v>
      </c>
      <c r="N142" s="29">
        <v>0</v>
      </c>
      <c r="O142" s="29">
        <v>1</v>
      </c>
      <c r="P142" s="8" t="s">
        <v>35</v>
      </c>
      <c r="Q142" s="8" t="s">
        <v>36</v>
      </c>
      <c r="R142" s="8" t="s">
        <v>120</v>
      </c>
      <c r="S142" s="8" t="s">
        <v>38</v>
      </c>
      <c r="V142" s="26" t="str">
        <f>VLOOKUP(MID(Table1[[#This Row],[Nodo]],1,12),Tabla2[#Data],2,FALSE)</f>
        <v>TABLERO DE CONTROL PRINCIPAL</v>
      </c>
      <c r="W142" s="26" t="str">
        <f t="shared" si="3"/>
        <v>ELE</v>
      </c>
      <c r="X142" s="26" t="e">
        <f>VLOOKUP(MID([1]!Table1[[#This Row],[Nodo]],1,7),[1]!Tabla5[#Data],2,FALSE)</f>
        <v>#N/A</v>
      </c>
    </row>
    <row r="143" spans="1:24" x14ac:dyDescent="0.3">
      <c r="A143" s="8" t="s">
        <v>24</v>
      </c>
      <c r="B143" s="8" t="s">
        <v>25</v>
      </c>
      <c r="C143" s="8" t="s">
        <v>26</v>
      </c>
      <c r="D143" s="8" t="s">
        <v>118</v>
      </c>
      <c r="E143" s="8" t="s">
        <v>119</v>
      </c>
      <c r="F143" s="8" t="s">
        <v>121</v>
      </c>
      <c r="G143" s="8" t="s">
        <v>96</v>
      </c>
      <c r="H143" s="8" t="s">
        <v>97</v>
      </c>
      <c r="I143" s="8" t="s">
        <v>98</v>
      </c>
      <c r="J143" s="28">
        <v>45695.431064814817</v>
      </c>
      <c r="K143" s="28">
        <v>45863.464583333334</v>
      </c>
      <c r="L143" s="8" t="s">
        <v>33</v>
      </c>
      <c r="M143" s="8" t="s">
        <v>34</v>
      </c>
      <c r="N143" s="29">
        <v>0</v>
      </c>
      <c r="O143" s="29">
        <v>1</v>
      </c>
      <c r="P143" s="8" t="s">
        <v>35</v>
      </c>
      <c r="Q143" s="8" t="s">
        <v>36</v>
      </c>
      <c r="R143" s="8" t="s">
        <v>120</v>
      </c>
      <c r="S143" s="8" t="s">
        <v>38</v>
      </c>
      <c r="V143" s="26" t="str">
        <f>VLOOKUP(MID(Table1[[#This Row],[Nodo]],1,12),Tabla2[#Data],2,FALSE)</f>
        <v>TABLERO DE CONTROL PRINCIPAL</v>
      </c>
      <c r="W143" s="26" t="str">
        <f t="shared" si="3"/>
        <v>ELE</v>
      </c>
      <c r="X143" s="26" t="e">
        <f>VLOOKUP(MID([1]!Table1[[#This Row],[Nodo]],1,7),[1]!Tabla5[#Data],2,FALSE)</f>
        <v>#N/A</v>
      </c>
    </row>
    <row r="144" spans="1:24" x14ac:dyDescent="0.3">
      <c r="A144" s="8" t="s">
        <v>24</v>
      </c>
      <c r="B144" s="8" t="s">
        <v>25</v>
      </c>
      <c r="C144" s="8" t="s">
        <v>26</v>
      </c>
      <c r="D144" s="8" t="s">
        <v>118</v>
      </c>
      <c r="E144" s="8" t="s">
        <v>119</v>
      </c>
      <c r="F144" s="8" t="s">
        <v>122</v>
      </c>
      <c r="G144" s="8" t="s">
        <v>96</v>
      </c>
      <c r="H144" s="8" t="s">
        <v>97</v>
      </c>
      <c r="I144" s="8" t="s">
        <v>98</v>
      </c>
      <c r="J144" s="28">
        <v>45695.431064814817</v>
      </c>
      <c r="K144" s="28">
        <v>45863.464583333334</v>
      </c>
      <c r="L144" s="8" t="s">
        <v>33</v>
      </c>
      <c r="M144" s="8" t="s">
        <v>34</v>
      </c>
      <c r="N144" s="29">
        <v>0</v>
      </c>
      <c r="O144" s="29">
        <v>1</v>
      </c>
      <c r="P144" s="8" t="s">
        <v>35</v>
      </c>
      <c r="Q144" s="8" t="s">
        <v>36</v>
      </c>
      <c r="R144" s="8" t="s">
        <v>120</v>
      </c>
      <c r="S144" s="8" t="s">
        <v>38</v>
      </c>
      <c r="V144" s="26" t="str">
        <f>VLOOKUP(MID(Table1[[#This Row],[Nodo]],1,12),Tabla2[#Data],2,FALSE)</f>
        <v>TABLERO DE CONTROL PRINCIPAL</v>
      </c>
      <c r="W144" s="26" t="str">
        <f t="shared" si="3"/>
        <v>ELE</v>
      </c>
      <c r="X144" s="26" t="e">
        <f>VLOOKUP(MID([1]!Table1[[#This Row],[Nodo]],1,7),[1]!Tabla5[#Data],2,FALSE)</f>
        <v>#N/A</v>
      </c>
    </row>
    <row r="145" spans="1:24" x14ac:dyDescent="0.3">
      <c r="A145" s="8" t="s">
        <v>24</v>
      </c>
      <c r="B145" s="8" t="s">
        <v>25</v>
      </c>
      <c r="C145" s="8" t="s">
        <v>26</v>
      </c>
      <c r="D145" s="8" t="s">
        <v>123</v>
      </c>
      <c r="E145" s="8" t="s">
        <v>124</v>
      </c>
      <c r="F145" s="8" t="s">
        <v>125</v>
      </c>
      <c r="G145" s="8" t="s">
        <v>68</v>
      </c>
      <c r="H145" s="8" t="s">
        <v>69</v>
      </c>
      <c r="I145" s="8" t="s">
        <v>70</v>
      </c>
      <c r="J145" s="28">
        <v>45695.430960648147</v>
      </c>
      <c r="K145" s="28">
        <v>45863.464583333334</v>
      </c>
      <c r="L145" s="8" t="s">
        <v>33</v>
      </c>
      <c r="M145" s="8" t="s">
        <v>34</v>
      </c>
      <c r="N145" s="29">
        <v>0</v>
      </c>
      <c r="O145" s="29">
        <v>1</v>
      </c>
      <c r="P145" s="8" t="s">
        <v>35</v>
      </c>
      <c r="Q145" s="8" t="s">
        <v>36</v>
      </c>
      <c r="R145" s="8" t="s">
        <v>126</v>
      </c>
      <c r="S145" s="8" t="s">
        <v>38</v>
      </c>
      <c r="V145" s="26" t="str">
        <f>VLOOKUP(MID(Table1[[#This Row],[Nodo]],1,12),Tabla2[#Data],2,FALSE)</f>
        <v>APILADOR APILADOR SISTEMA DE A</v>
      </c>
      <c r="W145" s="26" t="str">
        <f t="shared" si="3"/>
        <v>ELE</v>
      </c>
      <c r="X145" s="26" t="e">
        <f>VLOOKUP(MID([1]!Table1[[#This Row],[Nodo]],1,7),[1]!Tabla5[#Data],2,FALSE)</f>
        <v>#N/A</v>
      </c>
    </row>
    <row r="146" spans="1:24" x14ac:dyDescent="0.3">
      <c r="A146" s="8" t="s">
        <v>24</v>
      </c>
      <c r="B146" s="8" t="s">
        <v>25</v>
      </c>
      <c r="C146" s="8" t="s">
        <v>26</v>
      </c>
      <c r="D146" s="8" t="s">
        <v>123</v>
      </c>
      <c r="E146" s="8" t="s">
        <v>124</v>
      </c>
      <c r="F146" s="8" t="s">
        <v>127</v>
      </c>
      <c r="G146" s="8" t="s">
        <v>68</v>
      </c>
      <c r="H146" s="8" t="s">
        <v>69</v>
      </c>
      <c r="I146" s="8" t="s">
        <v>70</v>
      </c>
      <c r="J146" s="28">
        <v>45695.430960648147</v>
      </c>
      <c r="K146" s="28">
        <v>45863.464583333334</v>
      </c>
      <c r="L146" s="8" t="s">
        <v>33</v>
      </c>
      <c r="M146" s="8" t="s">
        <v>34</v>
      </c>
      <c r="N146" s="29">
        <v>0</v>
      </c>
      <c r="O146" s="29">
        <v>1</v>
      </c>
      <c r="P146" s="8" t="s">
        <v>35</v>
      </c>
      <c r="Q146" s="8" t="s">
        <v>36</v>
      </c>
      <c r="R146" s="8" t="s">
        <v>126</v>
      </c>
      <c r="S146" s="8" t="s">
        <v>38</v>
      </c>
      <c r="V146" s="26" t="str">
        <f>VLOOKUP(MID(Table1[[#This Row],[Nodo]],1,12),Tabla2[#Data],2,FALSE)</f>
        <v>APILADOR APILADOR SISTEMA DE A</v>
      </c>
      <c r="W146" s="26" t="str">
        <f t="shared" si="3"/>
        <v>ELE</v>
      </c>
      <c r="X146" s="26" t="e">
        <f>VLOOKUP(MID([1]!Table1[[#This Row],[Nodo]],1,7),[1]!Tabla5[#Data],2,FALSE)</f>
        <v>#N/A</v>
      </c>
    </row>
    <row r="147" spans="1:24" x14ac:dyDescent="0.3">
      <c r="A147" s="8" t="s">
        <v>24</v>
      </c>
      <c r="B147" s="8" t="s">
        <v>25</v>
      </c>
      <c r="C147" s="8" t="s">
        <v>26</v>
      </c>
      <c r="D147" s="8" t="s">
        <v>123</v>
      </c>
      <c r="E147" s="8" t="s">
        <v>124</v>
      </c>
      <c r="F147" s="8" t="s">
        <v>128</v>
      </c>
      <c r="G147" s="8" t="s">
        <v>68</v>
      </c>
      <c r="H147" s="8" t="s">
        <v>69</v>
      </c>
      <c r="I147" s="8" t="s">
        <v>70</v>
      </c>
      <c r="J147" s="28">
        <v>45695.430960648147</v>
      </c>
      <c r="K147" s="28">
        <v>45863.464583333334</v>
      </c>
      <c r="L147" s="8" t="s">
        <v>33</v>
      </c>
      <c r="M147" s="8" t="s">
        <v>34</v>
      </c>
      <c r="N147" s="29">
        <v>0</v>
      </c>
      <c r="O147" s="29">
        <v>1</v>
      </c>
      <c r="P147" s="8" t="s">
        <v>35</v>
      </c>
      <c r="Q147" s="8" t="s">
        <v>36</v>
      </c>
      <c r="R147" s="8" t="s">
        <v>126</v>
      </c>
      <c r="S147" s="8" t="s">
        <v>38</v>
      </c>
      <c r="V147" s="26" t="str">
        <f>VLOOKUP(MID(Table1[[#This Row],[Nodo]],1,12),Tabla2[#Data],2,FALSE)</f>
        <v>APILADOR APILADOR SISTEMA DE A</v>
      </c>
      <c r="W147" s="26" t="str">
        <f t="shared" si="3"/>
        <v>ELE</v>
      </c>
      <c r="X147" s="26" t="e">
        <f>VLOOKUP(MID([1]!Table1[[#This Row],[Nodo]],1,7),[1]!Tabla5[#Data],2,FALSE)</f>
        <v>#N/A</v>
      </c>
    </row>
    <row r="148" spans="1:24" x14ac:dyDescent="0.3">
      <c r="A148" s="8" t="s">
        <v>24</v>
      </c>
      <c r="B148" s="8" t="s">
        <v>25</v>
      </c>
      <c r="C148" s="8" t="s">
        <v>26</v>
      </c>
      <c r="D148" s="8" t="s">
        <v>123</v>
      </c>
      <c r="E148" s="8" t="s">
        <v>124</v>
      </c>
      <c r="F148" s="8" t="s">
        <v>129</v>
      </c>
      <c r="G148" s="8" t="s">
        <v>68</v>
      </c>
      <c r="H148" s="8" t="s">
        <v>69</v>
      </c>
      <c r="I148" s="8" t="s">
        <v>70</v>
      </c>
      <c r="J148" s="28">
        <v>45695.430960648147</v>
      </c>
      <c r="K148" s="28">
        <v>45863.464583333334</v>
      </c>
      <c r="L148" s="8" t="s">
        <v>33</v>
      </c>
      <c r="M148" s="8" t="s">
        <v>34</v>
      </c>
      <c r="N148" s="29">
        <v>0</v>
      </c>
      <c r="O148" s="29">
        <v>1</v>
      </c>
      <c r="P148" s="8" t="s">
        <v>35</v>
      </c>
      <c r="Q148" s="8" t="s">
        <v>36</v>
      </c>
      <c r="R148" s="8" t="s">
        <v>126</v>
      </c>
      <c r="S148" s="8" t="s">
        <v>38</v>
      </c>
      <c r="V148" s="26" t="str">
        <f>VLOOKUP(MID(Table1[[#This Row],[Nodo]],1,12),Tabla2[#Data],2,FALSE)</f>
        <v>APILADOR APILADOR SISTEMA DE A</v>
      </c>
      <c r="W148" s="26" t="str">
        <f t="shared" si="3"/>
        <v>ELE</v>
      </c>
      <c r="X148" s="26" t="e">
        <f>VLOOKUP(MID([1]!Table1[[#This Row],[Nodo]],1,7),[1]!Tabla5[#Data],2,FALSE)</f>
        <v>#N/A</v>
      </c>
    </row>
    <row r="149" spans="1:24" x14ac:dyDescent="0.3">
      <c r="A149" s="8" t="s">
        <v>24</v>
      </c>
      <c r="B149" s="8" t="s">
        <v>25</v>
      </c>
      <c r="C149" s="8" t="s">
        <v>26</v>
      </c>
      <c r="D149" s="8" t="s">
        <v>123</v>
      </c>
      <c r="E149" s="8" t="s">
        <v>124</v>
      </c>
      <c r="F149" s="8" t="s">
        <v>130</v>
      </c>
      <c r="G149" s="8" t="s">
        <v>68</v>
      </c>
      <c r="H149" s="8" t="s">
        <v>69</v>
      </c>
      <c r="I149" s="8" t="s">
        <v>70</v>
      </c>
      <c r="J149" s="28">
        <v>45695.430960648147</v>
      </c>
      <c r="K149" s="28">
        <v>45863.464583333334</v>
      </c>
      <c r="L149" s="8" t="s">
        <v>33</v>
      </c>
      <c r="M149" s="8" t="s">
        <v>34</v>
      </c>
      <c r="N149" s="29">
        <v>0</v>
      </c>
      <c r="O149" s="29">
        <v>1</v>
      </c>
      <c r="P149" s="8" t="s">
        <v>35</v>
      </c>
      <c r="Q149" s="8" t="s">
        <v>36</v>
      </c>
      <c r="R149" s="8" t="s">
        <v>126</v>
      </c>
      <c r="S149" s="8" t="s">
        <v>38</v>
      </c>
      <c r="V149" s="26" t="str">
        <f>VLOOKUP(MID(Table1[[#This Row],[Nodo]],1,12),Tabla2[#Data],2,FALSE)</f>
        <v>APILADOR APILADOR SISTEMA DE A</v>
      </c>
      <c r="W149" s="26" t="str">
        <f t="shared" si="3"/>
        <v>ELE</v>
      </c>
      <c r="X149" s="26" t="e">
        <f>VLOOKUP(MID([1]!Table1[[#This Row],[Nodo]],1,7),[1]!Tabla5[#Data],2,FALSE)</f>
        <v>#N/A</v>
      </c>
    </row>
    <row r="150" spans="1:24" x14ac:dyDescent="0.3">
      <c r="A150" s="8" t="s">
        <v>24</v>
      </c>
      <c r="B150" s="8" t="s">
        <v>25</v>
      </c>
      <c r="C150" s="8" t="s">
        <v>26</v>
      </c>
      <c r="D150" s="8" t="s">
        <v>123</v>
      </c>
      <c r="E150" s="8" t="s">
        <v>124</v>
      </c>
      <c r="F150" s="8" t="s">
        <v>131</v>
      </c>
      <c r="G150" s="8" t="s">
        <v>68</v>
      </c>
      <c r="H150" s="8" t="s">
        <v>69</v>
      </c>
      <c r="I150" s="8" t="s">
        <v>70</v>
      </c>
      <c r="J150" s="28">
        <v>45695.430960648147</v>
      </c>
      <c r="K150" s="28">
        <v>45863.464583333334</v>
      </c>
      <c r="L150" s="8" t="s">
        <v>33</v>
      </c>
      <c r="M150" s="8" t="s">
        <v>34</v>
      </c>
      <c r="N150" s="29">
        <v>0</v>
      </c>
      <c r="O150" s="29">
        <v>1</v>
      </c>
      <c r="P150" s="8" t="s">
        <v>35</v>
      </c>
      <c r="Q150" s="8" t="s">
        <v>36</v>
      </c>
      <c r="R150" s="8" t="s">
        <v>126</v>
      </c>
      <c r="S150" s="8" t="s">
        <v>38</v>
      </c>
      <c r="V150" s="26" t="str">
        <f>VLOOKUP(MID(Table1[[#This Row],[Nodo]],1,12),Tabla2[#Data],2,FALSE)</f>
        <v>APILADOR APILADOR SISTEMA DE A</v>
      </c>
      <c r="W150" s="26" t="str">
        <f t="shared" si="3"/>
        <v>ELE</v>
      </c>
      <c r="X150" s="26" t="e">
        <f>VLOOKUP(MID([1]!Table1[[#This Row],[Nodo]],1,7),[1]!Tabla5[#Data],2,FALSE)</f>
        <v>#N/A</v>
      </c>
    </row>
    <row r="151" spans="1:24" x14ac:dyDescent="0.3">
      <c r="A151" s="8" t="s">
        <v>24</v>
      </c>
      <c r="B151" s="8" t="s">
        <v>25</v>
      </c>
      <c r="C151" s="8" t="s">
        <v>26</v>
      </c>
      <c r="D151" s="8" t="s">
        <v>123</v>
      </c>
      <c r="E151" s="8" t="s">
        <v>124</v>
      </c>
      <c r="F151" s="8" t="s">
        <v>125</v>
      </c>
      <c r="G151" s="8" t="s">
        <v>87</v>
      </c>
      <c r="H151" s="8" t="s">
        <v>88</v>
      </c>
      <c r="I151" s="8" t="s">
        <v>89</v>
      </c>
      <c r="J151" s="28">
        <v>45695.431041666663</v>
      </c>
      <c r="K151" s="28">
        <v>45863.464583333334</v>
      </c>
      <c r="L151" s="8" t="s">
        <v>33</v>
      </c>
      <c r="M151" s="8" t="s">
        <v>34</v>
      </c>
      <c r="N151" s="29">
        <v>0</v>
      </c>
      <c r="O151" s="29">
        <v>1</v>
      </c>
      <c r="P151" s="8" t="s">
        <v>35</v>
      </c>
      <c r="Q151" s="8" t="s">
        <v>36</v>
      </c>
      <c r="R151" s="8" t="s">
        <v>126</v>
      </c>
      <c r="S151" s="8" t="s">
        <v>38</v>
      </c>
      <c r="V151" s="26" t="str">
        <f>VLOOKUP(MID(Table1[[#This Row],[Nodo]],1,12),Tabla2[#Data],2,FALSE)</f>
        <v>PRECALENTADOR</v>
      </c>
      <c r="W151" s="26" t="str">
        <f t="shared" si="3"/>
        <v>ELE</v>
      </c>
      <c r="X151" s="26" t="e">
        <f>VLOOKUP(MID([1]!Table1[[#This Row],[Nodo]],1,7),[1]!Tabla5[#Data],2,FALSE)</f>
        <v>#N/A</v>
      </c>
    </row>
    <row r="152" spans="1:24" x14ac:dyDescent="0.3">
      <c r="A152" s="8" t="s">
        <v>24</v>
      </c>
      <c r="B152" s="8" t="s">
        <v>25</v>
      </c>
      <c r="C152" s="8" t="s">
        <v>26</v>
      </c>
      <c r="D152" s="8" t="s">
        <v>123</v>
      </c>
      <c r="E152" s="8" t="s">
        <v>124</v>
      </c>
      <c r="F152" s="8" t="s">
        <v>127</v>
      </c>
      <c r="G152" s="8" t="s">
        <v>87</v>
      </c>
      <c r="H152" s="8" t="s">
        <v>88</v>
      </c>
      <c r="I152" s="8" t="s">
        <v>89</v>
      </c>
      <c r="J152" s="28">
        <v>45695.431041666663</v>
      </c>
      <c r="K152" s="28">
        <v>45863.464583333334</v>
      </c>
      <c r="L152" s="8" t="s">
        <v>33</v>
      </c>
      <c r="M152" s="8" t="s">
        <v>34</v>
      </c>
      <c r="N152" s="29">
        <v>0</v>
      </c>
      <c r="O152" s="29">
        <v>1</v>
      </c>
      <c r="P152" s="8" t="s">
        <v>35</v>
      </c>
      <c r="Q152" s="8" t="s">
        <v>36</v>
      </c>
      <c r="R152" s="8" t="s">
        <v>126</v>
      </c>
      <c r="S152" s="8" t="s">
        <v>38</v>
      </c>
      <c r="V152" s="26" t="str">
        <f>VLOOKUP(MID(Table1[[#This Row],[Nodo]],1,12),Tabla2[#Data],2,FALSE)</f>
        <v>PRECALENTADOR</v>
      </c>
      <c r="W152" s="26" t="str">
        <f t="shared" si="3"/>
        <v>ELE</v>
      </c>
      <c r="X152" s="26" t="e">
        <f>VLOOKUP(MID([1]!Table1[[#This Row],[Nodo]],1,7),[1]!Tabla5[#Data],2,FALSE)</f>
        <v>#N/A</v>
      </c>
    </row>
    <row r="153" spans="1:24" x14ac:dyDescent="0.3">
      <c r="A153" s="8" t="s">
        <v>24</v>
      </c>
      <c r="B153" s="8" t="s">
        <v>25</v>
      </c>
      <c r="C153" s="8" t="s">
        <v>26</v>
      </c>
      <c r="D153" s="8" t="s">
        <v>123</v>
      </c>
      <c r="E153" s="8" t="s">
        <v>124</v>
      </c>
      <c r="F153" s="8" t="s">
        <v>128</v>
      </c>
      <c r="G153" s="8" t="s">
        <v>87</v>
      </c>
      <c r="H153" s="8" t="s">
        <v>88</v>
      </c>
      <c r="I153" s="8" t="s">
        <v>89</v>
      </c>
      <c r="J153" s="28">
        <v>45695.431041666663</v>
      </c>
      <c r="K153" s="28">
        <v>45863.464583333334</v>
      </c>
      <c r="L153" s="8" t="s">
        <v>33</v>
      </c>
      <c r="M153" s="8" t="s">
        <v>34</v>
      </c>
      <c r="N153" s="29">
        <v>0</v>
      </c>
      <c r="O153" s="29">
        <v>1</v>
      </c>
      <c r="P153" s="8" t="s">
        <v>35</v>
      </c>
      <c r="Q153" s="8" t="s">
        <v>36</v>
      </c>
      <c r="R153" s="8" t="s">
        <v>126</v>
      </c>
      <c r="S153" s="8" t="s">
        <v>38</v>
      </c>
      <c r="V153" s="26" t="str">
        <f>VLOOKUP(MID(Table1[[#This Row],[Nodo]],1,12),Tabla2[#Data],2,FALSE)</f>
        <v>PRECALENTADOR</v>
      </c>
      <c r="W153" s="26" t="str">
        <f t="shared" si="3"/>
        <v>ELE</v>
      </c>
      <c r="X153" s="26" t="e">
        <f>VLOOKUP(MID([1]!Table1[[#This Row],[Nodo]],1,7),[1]!Tabla5[#Data],2,FALSE)</f>
        <v>#N/A</v>
      </c>
    </row>
    <row r="154" spans="1:24" x14ac:dyDescent="0.3">
      <c r="A154" s="8" t="s">
        <v>24</v>
      </c>
      <c r="B154" s="8" t="s">
        <v>25</v>
      </c>
      <c r="C154" s="8" t="s">
        <v>26</v>
      </c>
      <c r="D154" s="8" t="s">
        <v>123</v>
      </c>
      <c r="E154" s="8" t="s">
        <v>124</v>
      </c>
      <c r="F154" s="8" t="s">
        <v>129</v>
      </c>
      <c r="G154" s="8" t="s">
        <v>87</v>
      </c>
      <c r="H154" s="8" t="s">
        <v>88</v>
      </c>
      <c r="I154" s="8" t="s">
        <v>89</v>
      </c>
      <c r="J154" s="28">
        <v>45695.431041666663</v>
      </c>
      <c r="K154" s="28">
        <v>45863.464583333334</v>
      </c>
      <c r="L154" s="8" t="s">
        <v>33</v>
      </c>
      <c r="M154" s="8" t="s">
        <v>34</v>
      </c>
      <c r="N154" s="29">
        <v>0</v>
      </c>
      <c r="O154" s="29">
        <v>1</v>
      </c>
      <c r="P154" s="8" t="s">
        <v>35</v>
      </c>
      <c r="Q154" s="8" t="s">
        <v>36</v>
      </c>
      <c r="R154" s="8" t="s">
        <v>126</v>
      </c>
      <c r="S154" s="8" t="s">
        <v>38</v>
      </c>
      <c r="V154" s="26" t="str">
        <f>VLOOKUP(MID(Table1[[#This Row],[Nodo]],1,12),Tabla2[#Data],2,FALSE)</f>
        <v>PRECALENTADOR</v>
      </c>
      <c r="W154" s="26" t="str">
        <f t="shared" si="3"/>
        <v>ELE</v>
      </c>
      <c r="X154" s="26" t="e">
        <f>VLOOKUP(MID([1]!Table1[[#This Row],[Nodo]],1,7),[1]!Tabla5[#Data],2,FALSE)</f>
        <v>#N/A</v>
      </c>
    </row>
    <row r="155" spans="1:24" x14ac:dyDescent="0.3">
      <c r="A155" s="8" t="s">
        <v>24</v>
      </c>
      <c r="B155" s="8" t="s">
        <v>25</v>
      </c>
      <c r="C155" s="8" t="s">
        <v>26</v>
      </c>
      <c r="D155" s="8" t="s">
        <v>123</v>
      </c>
      <c r="E155" s="8" t="s">
        <v>124</v>
      </c>
      <c r="F155" s="8" t="s">
        <v>130</v>
      </c>
      <c r="G155" s="8" t="s">
        <v>87</v>
      </c>
      <c r="H155" s="8" t="s">
        <v>88</v>
      </c>
      <c r="I155" s="8" t="s">
        <v>89</v>
      </c>
      <c r="J155" s="28">
        <v>45695.431041666663</v>
      </c>
      <c r="K155" s="28">
        <v>45863.464583333334</v>
      </c>
      <c r="L155" s="8" t="s">
        <v>33</v>
      </c>
      <c r="M155" s="8" t="s">
        <v>34</v>
      </c>
      <c r="N155" s="29">
        <v>0</v>
      </c>
      <c r="O155" s="29">
        <v>1</v>
      </c>
      <c r="P155" s="8" t="s">
        <v>35</v>
      </c>
      <c r="Q155" s="8" t="s">
        <v>36</v>
      </c>
      <c r="R155" s="8" t="s">
        <v>126</v>
      </c>
      <c r="S155" s="8" t="s">
        <v>38</v>
      </c>
      <c r="V155" s="26" t="str">
        <f>VLOOKUP(MID(Table1[[#This Row],[Nodo]],1,12),Tabla2[#Data],2,FALSE)</f>
        <v>PRECALENTADOR</v>
      </c>
      <c r="W155" s="26" t="str">
        <f t="shared" si="3"/>
        <v>ELE</v>
      </c>
      <c r="X155" s="26" t="e">
        <f>VLOOKUP(MID([1]!Table1[[#This Row],[Nodo]],1,7),[1]!Tabla5[#Data],2,FALSE)</f>
        <v>#N/A</v>
      </c>
    </row>
    <row r="156" spans="1:24" x14ac:dyDescent="0.3">
      <c r="A156" s="8" t="s">
        <v>24</v>
      </c>
      <c r="B156" s="8" t="s">
        <v>25</v>
      </c>
      <c r="C156" s="8" t="s">
        <v>26</v>
      </c>
      <c r="D156" s="8" t="s">
        <v>123</v>
      </c>
      <c r="E156" s="8" t="s">
        <v>124</v>
      </c>
      <c r="F156" s="8" t="s">
        <v>131</v>
      </c>
      <c r="G156" s="8" t="s">
        <v>87</v>
      </c>
      <c r="H156" s="8" t="s">
        <v>88</v>
      </c>
      <c r="I156" s="8" t="s">
        <v>89</v>
      </c>
      <c r="J156" s="28">
        <v>45695.431041666663</v>
      </c>
      <c r="K156" s="28">
        <v>45863.464583333334</v>
      </c>
      <c r="L156" s="8" t="s">
        <v>33</v>
      </c>
      <c r="M156" s="8" t="s">
        <v>34</v>
      </c>
      <c r="N156" s="29">
        <v>0</v>
      </c>
      <c r="O156" s="29">
        <v>1</v>
      </c>
      <c r="P156" s="8" t="s">
        <v>35</v>
      </c>
      <c r="Q156" s="8" t="s">
        <v>36</v>
      </c>
      <c r="R156" s="8" t="s">
        <v>126</v>
      </c>
      <c r="S156" s="8" t="s">
        <v>38</v>
      </c>
      <c r="V156" s="26" t="str">
        <f>VLOOKUP(MID(Table1[[#This Row],[Nodo]],1,12),Tabla2[#Data],2,FALSE)</f>
        <v>PRECALENTADOR</v>
      </c>
      <c r="W156" s="26" t="str">
        <f t="shared" si="3"/>
        <v>ELE</v>
      </c>
      <c r="X156" s="26" t="e">
        <f>VLOOKUP(MID([1]!Table1[[#This Row],[Nodo]],1,7),[1]!Tabla5[#Data],2,FALSE)</f>
        <v>#N/A</v>
      </c>
    </row>
    <row r="157" spans="1:24" x14ac:dyDescent="0.3">
      <c r="A157" s="8" t="s">
        <v>24</v>
      </c>
      <c r="B157" s="8" t="s">
        <v>25</v>
      </c>
      <c r="C157" s="8" t="s">
        <v>26</v>
      </c>
      <c r="D157" s="8" t="s">
        <v>123</v>
      </c>
      <c r="E157" s="8" t="s">
        <v>124</v>
      </c>
      <c r="F157" s="8" t="s">
        <v>125</v>
      </c>
      <c r="G157" s="8" t="s">
        <v>96</v>
      </c>
      <c r="H157" s="8" t="s">
        <v>97</v>
      </c>
      <c r="I157" s="8" t="s">
        <v>98</v>
      </c>
      <c r="J157" s="28">
        <v>45695.431076388886</v>
      </c>
      <c r="K157" s="28">
        <v>45863.464583333334</v>
      </c>
      <c r="L157" s="8" t="s">
        <v>33</v>
      </c>
      <c r="M157" s="8" t="s">
        <v>34</v>
      </c>
      <c r="N157" s="29">
        <v>0</v>
      </c>
      <c r="O157" s="29">
        <v>1</v>
      </c>
      <c r="P157" s="8" t="s">
        <v>35</v>
      </c>
      <c r="Q157" s="8" t="s">
        <v>36</v>
      </c>
      <c r="R157" s="8" t="s">
        <v>126</v>
      </c>
      <c r="S157" s="8" t="s">
        <v>38</v>
      </c>
      <c r="V157" s="26" t="str">
        <f>VLOOKUP(MID(Table1[[#This Row],[Nodo]],1,12),Tabla2[#Data],2,FALSE)</f>
        <v>TABLERO DE CONTROL PRINCIPAL</v>
      </c>
      <c r="W157" s="26" t="str">
        <f t="shared" si="3"/>
        <v>ELE</v>
      </c>
      <c r="X157" s="26" t="e">
        <f>VLOOKUP(MID([1]!Table1[[#This Row],[Nodo]],1,7),[1]!Tabla5[#Data],2,FALSE)</f>
        <v>#N/A</v>
      </c>
    </row>
    <row r="158" spans="1:24" x14ac:dyDescent="0.3">
      <c r="A158" s="8" t="s">
        <v>24</v>
      </c>
      <c r="B158" s="8" t="s">
        <v>25</v>
      </c>
      <c r="C158" s="8" t="s">
        <v>26</v>
      </c>
      <c r="D158" s="8" t="s">
        <v>123</v>
      </c>
      <c r="E158" s="8" t="s">
        <v>124</v>
      </c>
      <c r="F158" s="8" t="s">
        <v>127</v>
      </c>
      <c r="G158" s="8" t="s">
        <v>96</v>
      </c>
      <c r="H158" s="8" t="s">
        <v>97</v>
      </c>
      <c r="I158" s="8" t="s">
        <v>98</v>
      </c>
      <c r="J158" s="28">
        <v>45695.431076388886</v>
      </c>
      <c r="K158" s="28">
        <v>45863.464583333334</v>
      </c>
      <c r="L158" s="8" t="s">
        <v>33</v>
      </c>
      <c r="M158" s="8" t="s">
        <v>34</v>
      </c>
      <c r="N158" s="29">
        <v>0</v>
      </c>
      <c r="O158" s="29">
        <v>1</v>
      </c>
      <c r="P158" s="8" t="s">
        <v>35</v>
      </c>
      <c r="Q158" s="8" t="s">
        <v>36</v>
      </c>
      <c r="R158" s="8" t="s">
        <v>126</v>
      </c>
      <c r="S158" s="8" t="s">
        <v>38</v>
      </c>
      <c r="V158" s="26" t="str">
        <f>VLOOKUP(MID(Table1[[#This Row],[Nodo]],1,12),Tabla2[#Data],2,FALSE)</f>
        <v>TABLERO DE CONTROL PRINCIPAL</v>
      </c>
      <c r="W158" s="26" t="str">
        <f t="shared" si="3"/>
        <v>ELE</v>
      </c>
      <c r="X158" s="26" t="e">
        <f>VLOOKUP(MID([1]!Table1[[#This Row],[Nodo]],1,7),[1]!Tabla5[#Data],2,FALSE)</f>
        <v>#N/A</v>
      </c>
    </row>
    <row r="159" spans="1:24" x14ac:dyDescent="0.3">
      <c r="A159" s="8" t="s">
        <v>24</v>
      </c>
      <c r="B159" s="8" t="s">
        <v>25</v>
      </c>
      <c r="C159" s="8" t="s">
        <v>26</v>
      </c>
      <c r="D159" s="8" t="s">
        <v>123</v>
      </c>
      <c r="E159" s="8" t="s">
        <v>124</v>
      </c>
      <c r="F159" s="8" t="s">
        <v>128</v>
      </c>
      <c r="G159" s="8" t="s">
        <v>96</v>
      </c>
      <c r="H159" s="8" t="s">
        <v>97</v>
      </c>
      <c r="I159" s="8" t="s">
        <v>98</v>
      </c>
      <c r="J159" s="28">
        <v>45695.431076388886</v>
      </c>
      <c r="K159" s="28">
        <v>45863.464583333334</v>
      </c>
      <c r="L159" s="8" t="s">
        <v>33</v>
      </c>
      <c r="M159" s="8" t="s">
        <v>34</v>
      </c>
      <c r="N159" s="29">
        <v>0</v>
      </c>
      <c r="O159" s="29">
        <v>1</v>
      </c>
      <c r="P159" s="8" t="s">
        <v>35</v>
      </c>
      <c r="Q159" s="8" t="s">
        <v>36</v>
      </c>
      <c r="R159" s="8" t="s">
        <v>126</v>
      </c>
      <c r="S159" s="8" t="s">
        <v>38</v>
      </c>
      <c r="V159" s="26" t="str">
        <f>VLOOKUP(MID(Table1[[#This Row],[Nodo]],1,12),Tabla2[#Data],2,FALSE)</f>
        <v>TABLERO DE CONTROL PRINCIPAL</v>
      </c>
      <c r="W159" s="26" t="str">
        <f t="shared" si="3"/>
        <v>ELE</v>
      </c>
      <c r="X159" s="26" t="e">
        <f>VLOOKUP(MID([1]!Table1[[#This Row],[Nodo]],1,7),[1]!Tabla5[#Data],2,FALSE)</f>
        <v>#N/A</v>
      </c>
    </row>
    <row r="160" spans="1:24" x14ac:dyDescent="0.3">
      <c r="A160" s="8" t="s">
        <v>24</v>
      </c>
      <c r="B160" s="8" t="s">
        <v>25</v>
      </c>
      <c r="C160" s="8" t="s">
        <v>26</v>
      </c>
      <c r="D160" s="8" t="s">
        <v>123</v>
      </c>
      <c r="E160" s="8" t="s">
        <v>124</v>
      </c>
      <c r="F160" s="8" t="s">
        <v>129</v>
      </c>
      <c r="G160" s="8" t="s">
        <v>96</v>
      </c>
      <c r="H160" s="8" t="s">
        <v>97</v>
      </c>
      <c r="I160" s="8" t="s">
        <v>98</v>
      </c>
      <c r="J160" s="28">
        <v>45695.431076388886</v>
      </c>
      <c r="K160" s="28">
        <v>45863.464583333334</v>
      </c>
      <c r="L160" s="8" t="s">
        <v>33</v>
      </c>
      <c r="M160" s="8" t="s">
        <v>34</v>
      </c>
      <c r="N160" s="29">
        <v>0</v>
      </c>
      <c r="O160" s="29">
        <v>1</v>
      </c>
      <c r="P160" s="8" t="s">
        <v>35</v>
      </c>
      <c r="Q160" s="8" t="s">
        <v>36</v>
      </c>
      <c r="R160" s="8" t="s">
        <v>126</v>
      </c>
      <c r="S160" s="8" t="s">
        <v>38</v>
      </c>
      <c r="V160" s="26" t="str">
        <f>VLOOKUP(MID(Table1[[#This Row],[Nodo]],1,12),Tabla2[#Data],2,FALSE)</f>
        <v>TABLERO DE CONTROL PRINCIPAL</v>
      </c>
      <c r="W160" s="26" t="str">
        <f t="shared" si="3"/>
        <v>ELE</v>
      </c>
      <c r="X160" s="26" t="e">
        <f>VLOOKUP(MID([1]!Table1[[#This Row],[Nodo]],1,7),[1]!Tabla5[#Data],2,FALSE)</f>
        <v>#N/A</v>
      </c>
    </row>
    <row r="161" spans="1:24" x14ac:dyDescent="0.3">
      <c r="A161" s="8" t="s">
        <v>24</v>
      </c>
      <c r="B161" s="8" t="s">
        <v>25</v>
      </c>
      <c r="C161" s="8" t="s">
        <v>26</v>
      </c>
      <c r="D161" s="8" t="s">
        <v>123</v>
      </c>
      <c r="E161" s="8" t="s">
        <v>124</v>
      </c>
      <c r="F161" s="8" t="s">
        <v>130</v>
      </c>
      <c r="G161" s="8" t="s">
        <v>96</v>
      </c>
      <c r="H161" s="8" t="s">
        <v>97</v>
      </c>
      <c r="I161" s="8" t="s">
        <v>98</v>
      </c>
      <c r="J161" s="28">
        <v>45695.431076388886</v>
      </c>
      <c r="K161" s="28">
        <v>45863.464583333334</v>
      </c>
      <c r="L161" s="8" t="s">
        <v>33</v>
      </c>
      <c r="M161" s="8" t="s">
        <v>34</v>
      </c>
      <c r="N161" s="29">
        <v>0</v>
      </c>
      <c r="O161" s="29">
        <v>1</v>
      </c>
      <c r="P161" s="8" t="s">
        <v>35</v>
      </c>
      <c r="Q161" s="8" t="s">
        <v>36</v>
      </c>
      <c r="R161" s="8" t="s">
        <v>126</v>
      </c>
      <c r="S161" s="8" t="s">
        <v>38</v>
      </c>
      <c r="V161" s="26" t="str">
        <f>VLOOKUP(MID(Table1[[#This Row],[Nodo]],1,12),Tabla2[#Data],2,FALSE)</f>
        <v>TABLERO DE CONTROL PRINCIPAL</v>
      </c>
      <c r="W161" s="26" t="str">
        <f t="shared" si="3"/>
        <v>ELE</v>
      </c>
      <c r="X161" s="26" t="e">
        <f>VLOOKUP(MID([1]!Table1[[#This Row],[Nodo]],1,7),[1]!Tabla5[#Data],2,FALSE)</f>
        <v>#N/A</v>
      </c>
    </row>
    <row r="162" spans="1:24" x14ac:dyDescent="0.3">
      <c r="A162" s="8" t="s">
        <v>24</v>
      </c>
      <c r="B162" s="8" t="s">
        <v>25</v>
      </c>
      <c r="C162" s="8" t="s">
        <v>26</v>
      </c>
      <c r="D162" s="8" t="s">
        <v>123</v>
      </c>
      <c r="E162" s="8" t="s">
        <v>124</v>
      </c>
      <c r="F162" s="8" t="s">
        <v>131</v>
      </c>
      <c r="G162" s="8" t="s">
        <v>96</v>
      </c>
      <c r="H162" s="8" t="s">
        <v>97</v>
      </c>
      <c r="I162" s="8" t="s">
        <v>98</v>
      </c>
      <c r="J162" s="28">
        <v>45695.431076388886</v>
      </c>
      <c r="K162" s="28">
        <v>45863.464583333334</v>
      </c>
      <c r="L162" s="8" t="s">
        <v>33</v>
      </c>
      <c r="M162" s="8" t="s">
        <v>34</v>
      </c>
      <c r="N162" s="29">
        <v>0</v>
      </c>
      <c r="O162" s="29">
        <v>1</v>
      </c>
      <c r="P162" s="8" t="s">
        <v>35</v>
      </c>
      <c r="Q162" s="8" t="s">
        <v>36</v>
      </c>
      <c r="R162" s="8" t="s">
        <v>126</v>
      </c>
      <c r="S162" s="8" t="s">
        <v>38</v>
      </c>
      <c r="V162" s="26" t="str">
        <f>VLOOKUP(MID(Table1[[#This Row],[Nodo]],1,12),Tabla2[#Data],2,FALSE)</f>
        <v>TABLERO DE CONTROL PRINCIPAL</v>
      </c>
      <c r="W162" s="26" t="str">
        <f t="shared" si="3"/>
        <v>ELE</v>
      </c>
      <c r="X162" s="26" t="e">
        <f>VLOOKUP(MID([1]!Table1[[#This Row],[Nodo]],1,7),[1]!Tabla5[#Data],2,FALSE)</f>
        <v>#N/A</v>
      </c>
    </row>
    <row r="163" spans="1:24" x14ac:dyDescent="0.3">
      <c r="A163" s="8" t="s">
        <v>24</v>
      </c>
      <c r="B163" s="8" t="s">
        <v>25</v>
      </c>
      <c r="C163" s="8" t="s">
        <v>26</v>
      </c>
      <c r="D163" s="8" t="s">
        <v>132</v>
      </c>
      <c r="E163" s="8" t="s">
        <v>133</v>
      </c>
      <c r="F163" s="8" t="s">
        <v>134</v>
      </c>
      <c r="G163" s="8" t="s">
        <v>68</v>
      </c>
      <c r="H163" s="8" t="s">
        <v>69</v>
      </c>
      <c r="I163" s="8" t="s">
        <v>70</v>
      </c>
      <c r="J163" s="28">
        <v>45695.430960648147</v>
      </c>
      <c r="K163" s="28">
        <v>45863.464583333334</v>
      </c>
      <c r="L163" s="8" t="s">
        <v>33</v>
      </c>
      <c r="M163" s="8" t="s">
        <v>34</v>
      </c>
      <c r="N163" s="29">
        <v>0</v>
      </c>
      <c r="O163" s="29">
        <v>1</v>
      </c>
      <c r="P163" s="8" t="s">
        <v>35</v>
      </c>
      <c r="Q163" s="8" t="s">
        <v>36</v>
      </c>
      <c r="R163" s="8" t="s">
        <v>135</v>
      </c>
      <c r="S163" s="8" t="s">
        <v>38</v>
      </c>
      <c r="V163" s="26" t="str">
        <f>VLOOKUP(MID(Table1[[#This Row],[Nodo]],1,12),Tabla2[#Data],2,FALSE)</f>
        <v>APILADOR APILADOR SISTEMA DE A</v>
      </c>
      <c r="W163" s="26" t="str">
        <f t="shared" si="3"/>
        <v>ELE</v>
      </c>
      <c r="X163" s="26" t="e">
        <f>VLOOKUP(MID([1]!Table1[[#This Row],[Nodo]],1,7),[1]!Tabla5[#Data],2,FALSE)</f>
        <v>#N/A</v>
      </c>
    </row>
    <row r="164" spans="1:24" x14ac:dyDescent="0.3">
      <c r="A164" s="8" t="s">
        <v>24</v>
      </c>
      <c r="B164" s="8" t="s">
        <v>25</v>
      </c>
      <c r="C164" s="8" t="s">
        <v>26</v>
      </c>
      <c r="D164" s="8" t="s">
        <v>132</v>
      </c>
      <c r="E164" s="8" t="s">
        <v>133</v>
      </c>
      <c r="F164" s="8" t="s">
        <v>136</v>
      </c>
      <c r="G164" s="8" t="s">
        <v>68</v>
      </c>
      <c r="H164" s="8" t="s">
        <v>69</v>
      </c>
      <c r="I164" s="8" t="s">
        <v>70</v>
      </c>
      <c r="J164" s="28">
        <v>45695.430960648147</v>
      </c>
      <c r="K164" s="28">
        <v>45863.464583333334</v>
      </c>
      <c r="L164" s="8" t="s">
        <v>33</v>
      </c>
      <c r="M164" s="8" t="s">
        <v>34</v>
      </c>
      <c r="N164" s="29">
        <v>0</v>
      </c>
      <c r="O164" s="29">
        <v>1</v>
      </c>
      <c r="P164" s="8" t="s">
        <v>35</v>
      </c>
      <c r="Q164" s="8" t="s">
        <v>36</v>
      </c>
      <c r="R164" s="8" t="s">
        <v>135</v>
      </c>
      <c r="S164" s="8" t="s">
        <v>38</v>
      </c>
      <c r="V164" s="26" t="str">
        <f>VLOOKUP(MID(Table1[[#This Row],[Nodo]],1,12),Tabla2[#Data],2,FALSE)</f>
        <v>APILADOR APILADOR SISTEMA DE A</v>
      </c>
      <c r="W164" s="26" t="str">
        <f t="shared" si="3"/>
        <v>ELE</v>
      </c>
      <c r="X164" s="26" t="e">
        <f>VLOOKUP(MID([1]!Table1[[#This Row],[Nodo]],1,7),[1]!Tabla5[#Data],2,FALSE)</f>
        <v>#N/A</v>
      </c>
    </row>
    <row r="165" spans="1:24" x14ac:dyDescent="0.3">
      <c r="A165" s="8" t="s">
        <v>24</v>
      </c>
      <c r="B165" s="8" t="s">
        <v>25</v>
      </c>
      <c r="C165" s="8" t="s">
        <v>26</v>
      </c>
      <c r="D165" s="8" t="s">
        <v>137</v>
      </c>
      <c r="E165" s="8" t="s">
        <v>138</v>
      </c>
      <c r="F165" s="8" t="s">
        <v>139</v>
      </c>
      <c r="G165" s="8" t="s">
        <v>68</v>
      </c>
      <c r="H165" s="8" t="s">
        <v>69</v>
      </c>
      <c r="I165" s="8" t="s">
        <v>70</v>
      </c>
      <c r="J165" s="28">
        <v>45695.430960648147</v>
      </c>
      <c r="K165" s="28">
        <v>45863.464583333334</v>
      </c>
      <c r="L165" s="8" t="s">
        <v>33</v>
      </c>
      <c r="M165" s="8" t="s">
        <v>34</v>
      </c>
      <c r="N165" s="29">
        <v>0</v>
      </c>
      <c r="O165" s="29">
        <v>1</v>
      </c>
      <c r="P165" s="8" t="s">
        <v>35</v>
      </c>
      <c r="Q165" s="8" t="s">
        <v>36</v>
      </c>
      <c r="R165" s="8" t="s">
        <v>140</v>
      </c>
      <c r="S165" s="8" t="s">
        <v>38</v>
      </c>
      <c r="V165" s="26" t="str">
        <f>VLOOKUP(MID(Table1[[#This Row],[Nodo]],1,12),Tabla2[#Data],2,FALSE)</f>
        <v>APILADOR APILADOR SISTEMA DE A</v>
      </c>
      <c r="W165" s="26" t="str">
        <f t="shared" si="3"/>
        <v>ELE</v>
      </c>
      <c r="X165" s="26" t="e">
        <f>VLOOKUP(MID([1]!Table1[[#This Row],[Nodo]],1,7),[1]!Tabla5[#Data],2,FALSE)</f>
        <v>#N/A</v>
      </c>
    </row>
    <row r="166" spans="1:24" x14ac:dyDescent="0.3">
      <c r="A166" s="8" t="s">
        <v>24</v>
      </c>
      <c r="B166" s="8" t="s">
        <v>25</v>
      </c>
      <c r="C166" s="8" t="s">
        <v>26</v>
      </c>
      <c r="D166" s="8" t="s">
        <v>137</v>
      </c>
      <c r="E166" s="8" t="s">
        <v>138</v>
      </c>
      <c r="F166" s="8" t="s">
        <v>141</v>
      </c>
      <c r="G166" s="8" t="s">
        <v>68</v>
      </c>
      <c r="H166" s="8" t="s">
        <v>69</v>
      </c>
      <c r="I166" s="8" t="s">
        <v>70</v>
      </c>
      <c r="J166" s="28">
        <v>45695.430960648147</v>
      </c>
      <c r="K166" s="28">
        <v>45863.464583333334</v>
      </c>
      <c r="L166" s="8" t="s">
        <v>33</v>
      </c>
      <c r="M166" s="8" t="s">
        <v>34</v>
      </c>
      <c r="N166" s="29">
        <v>0</v>
      </c>
      <c r="O166" s="29">
        <v>1</v>
      </c>
      <c r="P166" s="8" t="s">
        <v>35</v>
      </c>
      <c r="Q166" s="8" t="s">
        <v>36</v>
      </c>
      <c r="R166" s="8" t="s">
        <v>140</v>
      </c>
      <c r="S166" s="8" t="s">
        <v>38</v>
      </c>
      <c r="V166" s="26" t="str">
        <f>VLOOKUP(MID(Table1[[#This Row],[Nodo]],1,12),Tabla2[#Data],2,FALSE)</f>
        <v>APILADOR APILADOR SISTEMA DE A</v>
      </c>
      <c r="W166" s="26" t="str">
        <f t="shared" si="3"/>
        <v>ELE</v>
      </c>
      <c r="X166" s="26" t="e">
        <f>VLOOKUP(MID([1]!Table1[[#This Row],[Nodo]],1,7),[1]!Tabla5[#Data],2,FALSE)</f>
        <v>#N/A</v>
      </c>
    </row>
    <row r="167" spans="1:24" x14ac:dyDescent="0.3">
      <c r="A167" s="8" t="s">
        <v>24</v>
      </c>
      <c r="B167" s="8" t="s">
        <v>25</v>
      </c>
      <c r="C167" s="8" t="s">
        <v>26</v>
      </c>
      <c r="D167" s="8" t="s">
        <v>137</v>
      </c>
      <c r="E167" s="8" t="s">
        <v>138</v>
      </c>
      <c r="F167" s="8" t="s">
        <v>139</v>
      </c>
      <c r="G167" s="8" t="s">
        <v>87</v>
      </c>
      <c r="H167" s="8" t="s">
        <v>88</v>
      </c>
      <c r="I167" s="8" t="s">
        <v>89</v>
      </c>
      <c r="J167" s="28">
        <v>45695.431041666663</v>
      </c>
      <c r="K167" s="28">
        <v>45863.464583333334</v>
      </c>
      <c r="L167" s="8" t="s">
        <v>33</v>
      </c>
      <c r="M167" s="8" t="s">
        <v>34</v>
      </c>
      <c r="N167" s="29">
        <v>0</v>
      </c>
      <c r="O167" s="29">
        <v>1</v>
      </c>
      <c r="P167" s="8" t="s">
        <v>35</v>
      </c>
      <c r="Q167" s="8" t="s">
        <v>36</v>
      </c>
      <c r="R167" s="8" t="s">
        <v>140</v>
      </c>
      <c r="S167" s="8" t="s">
        <v>38</v>
      </c>
      <c r="V167" s="26" t="str">
        <f>VLOOKUP(MID(Table1[[#This Row],[Nodo]],1,12),Tabla2[#Data],2,FALSE)</f>
        <v>PRECALENTADOR</v>
      </c>
      <c r="W167" s="26" t="str">
        <f t="shared" si="3"/>
        <v>ELE</v>
      </c>
      <c r="X167" s="26" t="e">
        <f>VLOOKUP(MID([1]!Table1[[#This Row],[Nodo]],1,7),[1]!Tabla5[#Data],2,FALSE)</f>
        <v>#N/A</v>
      </c>
    </row>
    <row r="168" spans="1:24" x14ac:dyDescent="0.3">
      <c r="A168" s="8" t="s">
        <v>24</v>
      </c>
      <c r="B168" s="8" t="s">
        <v>25</v>
      </c>
      <c r="C168" s="8" t="s">
        <v>26</v>
      </c>
      <c r="D168" s="8" t="s">
        <v>137</v>
      </c>
      <c r="E168" s="8" t="s">
        <v>138</v>
      </c>
      <c r="F168" s="8" t="s">
        <v>141</v>
      </c>
      <c r="G168" s="8" t="s">
        <v>87</v>
      </c>
      <c r="H168" s="8" t="s">
        <v>88</v>
      </c>
      <c r="I168" s="8" t="s">
        <v>89</v>
      </c>
      <c r="J168" s="28">
        <v>45695.431041666663</v>
      </c>
      <c r="K168" s="28">
        <v>45863.464583333334</v>
      </c>
      <c r="L168" s="8" t="s">
        <v>33</v>
      </c>
      <c r="M168" s="8" t="s">
        <v>34</v>
      </c>
      <c r="N168" s="29">
        <v>0</v>
      </c>
      <c r="O168" s="29">
        <v>1</v>
      </c>
      <c r="P168" s="8" t="s">
        <v>35</v>
      </c>
      <c r="Q168" s="8" t="s">
        <v>36</v>
      </c>
      <c r="R168" s="8" t="s">
        <v>140</v>
      </c>
      <c r="S168" s="8" t="s">
        <v>38</v>
      </c>
      <c r="V168" s="26" t="str">
        <f>VLOOKUP(MID(Table1[[#This Row],[Nodo]],1,12),Tabla2[#Data],2,FALSE)</f>
        <v>PRECALENTADOR</v>
      </c>
      <c r="W168" s="26" t="str">
        <f t="shared" si="3"/>
        <v>ELE</v>
      </c>
      <c r="X168" s="26" t="e">
        <f>VLOOKUP(MID([1]!Table1[[#This Row],[Nodo]],1,7),[1]!Tabla5[#Data],2,FALSE)</f>
        <v>#N/A</v>
      </c>
    </row>
    <row r="169" spans="1:24" x14ac:dyDescent="0.3">
      <c r="A169" s="8" t="s">
        <v>24</v>
      </c>
      <c r="B169" s="8" t="s">
        <v>25</v>
      </c>
      <c r="C169" s="8" t="s">
        <v>26</v>
      </c>
      <c r="D169" s="8" t="s">
        <v>137</v>
      </c>
      <c r="E169" s="8" t="s">
        <v>138</v>
      </c>
      <c r="F169" s="8" t="s">
        <v>139</v>
      </c>
      <c r="G169" s="8" t="s">
        <v>93</v>
      </c>
      <c r="H169" s="8" t="s">
        <v>94</v>
      </c>
      <c r="I169" s="8" t="s">
        <v>95</v>
      </c>
      <c r="J169" s="28">
        <v>45695.431064814817</v>
      </c>
      <c r="K169" s="28">
        <v>45863.464583333334</v>
      </c>
      <c r="L169" s="8" t="s">
        <v>33</v>
      </c>
      <c r="M169" s="8" t="s">
        <v>34</v>
      </c>
      <c r="N169" s="29">
        <v>0</v>
      </c>
      <c r="O169" s="29">
        <v>1</v>
      </c>
      <c r="P169" s="8" t="s">
        <v>35</v>
      </c>
      <c r="Q169" s="8" t="s">
        <v>36</v>
      </c>
      <c r="R169" s="8" t="s">
        <v>140</v>
      </c>
      <c r="S169" s="8" t="s">
        <v>38</v>
      </c>
      <c r="V169" s="26" t="str">
        <f>VLOOKUP(MID(Table1[[#This Row],[Nodo]],1,12),Tabla2[#Data],2,FALSE)</f>
        <v>HORNO</v>
      </c>
      <c r="W169" s="26" t="str">
        <f t="shared" si="3"/>
        <v>ELE</v>
      </c>
      <c r="X169" s="26" t="e">
        <f>VLOOKUP(MID([1]!Table1[[#This Row],[Nodo]],1,7),[1]!Tabla5[#Data],2,FALSE)</f>
        <v>#N/A</v>
      </c>
    </row>
    <row r="170" spans="1:24" x14ac:dyDescent="0.3">
      <c r="A170" s="8" t="s">
        <v>24</v>
      </c>
      <c r="B170" s="8" t="s">
        <v>25</v>
      </c>
      <c r="C170" s="8" t="s">
        <v>26</v>
      </c>
      <c r="D170" s="8" t="s">
        <v>137</v>
      </c>
      <c r="E170" s="8" t="s">
        <v>138</v>
      </c>
      <c r="F170" s="8" t="s">
        <v>141</v>
      </c>
      <c r="G170" s="8" t="s">
        <v>93</v>
      </c>
      <c r="H170" s="8" t="s">
        <v>94</v>
      </c>
      <c r="I170" s="8" t="s">
        <v>95</v>
      </c>
      <c r="J170" s="28">
        <v>45695.431064814817</v>
      </c>
      <c r="K170" s="28">
        <v>45863.464583333334</v>
      </c>
      <c r="L170" s="8" t="s">
        <v>33</v>
      </c>
      <c r="M170" s="8" t="s">
        <v>34</v>
      </c>
      <c r="N170" s="29">
        <v>0</v>
      </c>
      <c r="O170" s="29">
        <v>1</v>
      </c>
      <c r="P170" s="8" t="s">
        <v>35</v>
      </c>
      <c r="Q170" s="8" t="s">
        <v>36</v>
      </c>
      <c r="R170" s="8" t="s">
        <v>140</v>
      </c>
      <c r="S170" s="8" t="s">
        <v>38</v>
      </c>
      <c r="V170" s="26" t="str">
        <f>VLOOKUP(MID(Table1[[#This Row],[Nodo]],1,12),Tabla2[#Data],2,FALSE)</f>
        <v>HORNO</v>
      </c>
      <c r="W170" s="26" t="str">
        <f t="shared" si="3"/>
        <v>ELE</v>
      </c>
      <c r="X170" s="26" t="e">
        <f>VLOOKUP(MID([1]!Table1[[#This Row],[Nodo]],1,7),[1]!Tabla5[#Data],2,FALSE)</f>
        <v>#N/A</v>
      </c>
    </row>
    <row r="171" spans="1:24" x14ac:dyDescent="0.3">
      <c r="A171" s="8" t="s">
        <v>24</v>
      </c>
      <c r="B171" s="8" t="s">
        <v>25</v>
      </c>
      <c r="C171" s="8" t="s">
        <v>26</v>
      </c>
      <c r="D171" s="8" t="s">
        <v>137</v>
      </c>
      <c r="E171" s="8" t="s">
        <v>138</v>
      </c>
      <c r="F171" s="8" t="s">
        <v>139</v>
      </c>
      <c r="G171" s="8" t="s">
        <v>96</v>
      </c>
      <c r="H171" s="8" t="s">
        <v>97</v>
      </c>
      <c r="I171" s="8" t="s">
        <v>98</v>
      </c>
      <c r="J171" s="28">
        <v>45695.431076388886</v>
      </c>
      <c r="K171" s="28">
        <v>45863.464583333334</v>
      </c>
      <c r="L171" s="8" t="s">
        <v>33</v>
      </c>
      <c r="M171" s="8" t="s">
        <v>34</v>
      </c>
      <c r="N171" s="29">
        <v>0</v>
      </c>
      <c r="O171" s="29">
        <v>1</v>
      </c>
      <c r="P171" s="8" t="s">
        <v>35</v>
      </c>
      <c r="Q171" s="8" t="s">
        <v>36</v>
      </c>
      <c r="R171" s="8" t="s">
        <v>140</v>
      </c>
      <c r="S171" s="8" t="s">
        <v>38</v>
      </c>
      <c r="V171" s="26" t="str">
        <f>VLOOKUP(MID(Table1[[#This Row],[Nodo]],1,12),Tabla2[#Data],2,FALSE)</f>
        <v>TABLERO DE CONTROL PRINCIPAL</v>
      </c>
      <c r="W171" s="26" t="str">
        <f t="shared" si="3"/>
        <v>ELE</v>
      </c>
      <c r="X171" s="26" t="e">
        <f>VLOOKUP(MID([1]!Table1[[#This Row],[Nodo]],1,7),[1]!Tabla5[#Data],2,FALSE)</f>
        <v>#N/A</v>
      </c>
    </row>
    <row r="172" spans="1:24" x14ac:dyDescent="0.3">
      <c r="A172" s="8" t="s">
        <v>24</v>
      </c>
      <c r="B172" s="8" t="s">
        <v>25</v>
      </c>
      <c r="C172" s="8" t="s">
        <v>26</v>
      </c>
      <c r="D172" s="8" t="s">
        <v>137</v>
      </c>
      <c r="E172" s="8" t="s">
        <v>138</v>
      </c>
      <c r="F172" s="8" t="s">
        <v>141</v>
      </c>
      <c r="G172" s="8" t="s">
        <v>96</v>
      </c>
      <c r="H172" s="8" t="s">
        <v>97</v>
      </c>
      <c r="I172" s="8" t="s">
        <v>98</v>
      </c>
      <c r="J172" s="28">
        <v>45695.431076388886</v>
      </c>
      <c r="K172" s="28">
        <v>45863.464583333334</v>
      </c>
      <c r="L172" s="8" t="s">
        <v>33</v>
      </c>
      <c r="M172" s="8" t="s">
        <v>34</v>
      </c>
      <c r="N172" s="29">
        <v>0</v>
      </c>
      <c r="O172" s="29">
        <v>1</v>
      </c>
      <c r="P172" s="8" t="s">
        <v>35</v>
      </c>
      <c r="Q172" s="8" t="s">
        <v>36</v>
      </c>
      <c r="R172" s="8" t="s">
        <v>140</v>
      </c>
      <c r="S172" s="8" t="s">
        <v>38</v>
      </c>
      <c r="V172" s="26" t="str">
        <f>VLOOKUP(MID(Table1[[#This Row],[Nodo]],1,12),Tabla2[#Data],2,FALSE)</f>
        <v>TABLERO DE CONTROL PRINCIPAL</v>
      </c>
      <c r="W172" s="26" t="str">
        <f t="shared" si="3"/>
        <v>ELE</v>
      </c>
      <c r="X172" s="26" t="e">
        <f>VLOOKUP(MID([1]!Table1[[#This Row],[Nodo]],1,7),[1]!Tabla5[#Data],2,FALSE)</f>
        <v>#N/A</v>
      </c>
    </row>
    <row r="173" spans="1:24" x14ac:dyDescent="0.3">
      <c r="A173" s="8" t="s">
        <v>24</v>
      </c>
      <c r="B173" s="8" t="s">
        <v>25</v>
      </c>
      <c r="C173" s="8" t="s">
        <v>26</v>
      </c>
      <c r="D173" s="8" t="s">
        <v>142</v>
      </c>
      <c r="E173" s="8" t="s">
        <v>143</v>
      </c>
      <c r="F173" s="8" t="s">
        <v>144</v>
      </c>
      <c r="G173" s="8" t="s">
        <v>68</v>
      </c>
      <c r="H173" s="8" t="s">
        <v>69</v>
      </c>
      <c r="I173" s="8" t="s">
        <v>70</v>
      </c>
      <c r="J173" s="28">
        <v>45695.430960648147</v>
      </c>
      <c r="K173" s="28">
        <v>45863.464583333334</v>
      </c>
      <c r="L173" s="8" t="s">
        <v>33</v>
      </c>
      <c r="M173" s="8" t="s">
        <v>34</v>
      </c>
      <c r="N173" s="29">
        <v>0</v>
      </c>
      <c r="O173" s="29">
        <v>1</v>
      </c>
      <c r="P173" s="8" t="s">
        <v>35</v>
      </c>
      <c r="Q173" s="8" t="s">
        <v>36</v>
      </c>
      <c r="R173" s="8" t="s">
        <v>145</v>
      </c>
      <c r="S173" s="8" t="s">
        <v>38</v>
      </c>
      <c r="V173" s="26" t="str">
        <f>VLOOKUP(MID(Table1[[#This Row],[Nodo]],1,12),Tabla2[#Data],2,FALSE)</f>
        <v>APILADOR APILADOR SISTEMA DE A</v>
      </c>
      <c r="W173" s="26" t="str">
        <f t="shared" si="3"/>
        <v>ELE</v>
      </c>
      <c r="X173" s="26" t="e">
        <f>VLOOKUP(MID([1]!Table1[[#This Row],[Nodo]],1,7),[1]!Tabla5[#Data],2,FALSE)</f>
        <v>#N/A</v>
      </c>
    </row>
    <row r="174" spans="1:24" x14ac:dyDescent="0.3">
      <c r="A174" s="8" t="s">
        <v>24</v>
      </c>
      <c r="B174" s="8" t="s">
        <v>25</v>
      </c>
      <c r="C174" s="8" t="s">
        <v>26</v>
      </c>
      <c r="D174" s="8" t="s">
        <v>142</v>
      </c>
      <c r="E174" s="8" t="s">
        <v>143</v>
      </c>
      <c r="F174" s="8" t="s">
        <v>146</v>
      </c>
      <c r="G174" s="8" t="s">
        <v>68</v>
      </c>
      <c r="H174" s="8" t="s">
        <v>69</v>
      </c>
      <c r="I174" s="8" t="s">
        <v>70</v>
      </c>
      <c r="J174" s="28">
        <v>45695.430960648147</v>
      </c>
      <c r="K174" s="28">
        <v>45863.464583333334</v>
      </c>
      <c r="L174" s="8" t="s">
        <v>33</v>
      </c>
      <c r="M174" s="8" t="s">
        <v>34</v>
      </c>
      <c r="N174" s="29">
        <v>0</v>
      </c>
      <c r="O174" s="29">
        <v>1</v>
      </c>
      <c r="P174" s="8" t="s">
        <v>35</v>
      </c>
      <c r="Q174" s="8" t="s">
        <v>36</v>
      </c>
      <c r="R174" s="8" t="s">
        <v>145</v>
      </c>
      <c r="S174" s="8" t="s">
        <v>38</v>
      </c>
      <c r="V174" s="26" t="str">
        <f>VLOOKUP(MID(Table1[[#This Row],[Nodo]],1,12),Tabla2[#Data],2,FALSE)</f>
        <v>APILADOR APILADOR SISTEMA DE A</v>
      </c>
      <c r="W174" s="26" t="str">
        <f t="shared" si="3"/>
        <v>ELE</v>
      </c>
      <c r="X174" s="26" t="e">
        <f>VLOOKUP(MID([1]!Table1[[#This Row],[Nodo]],1,7),[1]!Tabla5[#Data],2,FALSE)</f>
        <v>#N/A</v>
      </c>
    </row>
    <row r="175" spans="1:24" x14ac:dyDescent="0.3">
      <c r="A175" s="8" t="s">
        <v>24</v>
      </c>
      <c r="B175" s="8" t="s">
        <v>25</v>
      </c>
      <c r="C175" s="8" t="s">
        <v>26</v>
      </c>
      <c r="D175" s="8" t="s">
        <v>147</v>
      </c>
      <c r="E175" s="8" t="s">
        <v>148</v>
      </c>
      <c r="F175" s="8" t="s">
        <v>149</v>
      </c>
      <c r="G175" s="8" t="s">
        <v>150</v>
      </c>
      <c r="H175" s="8" t="s">
        <v>151</v>
      </c>
      <c r="I175" s="8" t="s">
        <v>152</v>
      </c>
      <c r="J175" s="28">
        <v>45695.431064814817</v>
      </c>
      <c r="K175" s="28">
        <v>45863.464583333334</v>
      </c>
      <c r="L175" s="8" t="s">
        <v>33</v>
      </c>
      <c r="M175" s="8" t="s">
        <v>34</v>
      </c>
      <c r="N175" s="29">
        <v>0</v>
      </c>
      <c r="O175" s="29">
        <v>1</v>
      </c>
      <c r="P175" s="8" t="s">
        <v>35</v>
      </c>
      <c r="Q175" s="8" t="s">
        <v>36</v>
      </c>
      <c r="R175" s="8" t="s">
        <v>153</v>
      </c>
      <c r="S175" s="8" t="s">
        <v>38</v>
      </c>
      <c r="V175" s="26" t="str">
        <f>VLOOKUP(MID(Table1[[#This Row],[Nodo]],1,12),Tabla2[#Data],2,FALSE)</f>
        <v>REFRIGERACION</v>
      </c>
      <c r="W175" s="26" t="str">
        <f t="shared" si="3"/>
        <v>ELE</v>
      </c>
      <c r="X175" s="26" t="e">
        <f>VLOOKUP(MID([1]!Table1[[#This Row],[Nodo]],1,7),[1]!Tabla5[#Data],2,FALSE)</f>
        <v>#N/A</v>
      </c>
    </row>
    <row r="176" spans="1:24" x14ac:dyDescent="0.3">
      <c r="A176" s="8" t="s">
        <v>24</v>
      </c>
      <c r="B176" s="8" t="s">
        <v>25</v>
      </c>
      <c r="C176" s="8" t="s">
        <v>26</v>
      </c>
      <c r="D176" s="8" t="s">
        <v>154</v>
      </c>
      <c r="E176" s="8" t="s">
        <v>155</v>
      </c>
      <c r="F176" s="8" t="s">
        <v>67</v>
      </c>
      <c r="G176" s="8" t="s">
        <v>156</v>
      </c>
      <c r="H176" s="8" t="s">
        <v>157</v>
      </c>
      <c r="I176" s="8" t="s">
        <v>158</v>
      </c>
      <c r="J176" s="28">
        <v>45695.431076388886</v>
      </c>
      <c r="K176" s="28">
        <v>45863.464583333334</v>
      </c>
      <c r="L176" s="8" t="s">
        <v>33</v>
      </c>
      <c r="M176" s="8" t="s">
        <v>34</v>
      </c>
      <c r="N176" s="29">
        <v>0</v>
      </c>
      <c r="O176" s="29">
        <v>1</v>
      </c>
      <c r="P176" s="8" t="s">
        <v>35</v>
      </c>
      <c r="Q176" s="8" t="s">
        <v>36</v>
      </c>
      <c r="R176" s="8" t="s">
        <v>159</v>
      </c>
      <c r="S176" s="8" t="s">
        <v>38</v>
      </c>
      <c r="V176" s="26" t="str">
        <f>VLOOKUP(MID(Table1[[#This Row],[Nodo]],1,12),Tabla2[#Data],2,FALSE)</f>
        <v>TRANSFORMADOR</v>
      </c>
      <c r="W176" s="26" t="str">
        <f t="shared" si="3"/>
        <v>ELE</v>
      </c>
      <c r="X176" s="26" t="e">
        <f>VLOOKUP(MID([1]!Table1[[#This Row],[Nodo]],1,7),[1]!Tabla5[#Data],2,FALSE)</f>
        <v>#N/A</v>
      </c>
    </row>
    <row r="177" spans="1:24" x14ac:dyDescent="0.3">
      <c r="A177" s="8" t="s">
        <v>24</v>
      </c>
      <c r="B177" s="8" t="s">
        <v>25</v>
      </c>
      <c r="C177" s="8" t="s">
        <v>26</v>
      </c>
      <c r="D177" s="8" t="s">
        <v>154</v>
      </c>
      <c r="E177" s="8" t="s">
        <v>155</v>
      </c>
      <c r="F177" s="8" t="s">
        <v>116</v>
      </c>
      <c r="G177" s="8" t="s">
        <v>156</v>
      </c>
      <c r="H177" s="8" t="s">
        <v>157</v>
      </c>
      <c r="I177" s="8" t="s">
        <v>158</v>
      </c>
      <c r="J177" s="28">
        <v>45695.431076388886</v>
      </c>
      <c r="K177" s="28">
        <v>45863.464583333334</v>
      </c>
      <c r="L177" s="8" t="s">
        <v>33</v>
      </c>
      <c r="M177" s="8" t="s">
        <v>34</v>
      </c>
      <c r="N177" s="29">
        <v>0</v>
      </c>
      <c r="O177" s="29">
        <v>1</v>
      </c>
      <c r="P177" s="8" t="s">
        <v>35</v>
      </c>
      <c r="Q177" s="8" t="s">
        <v>36</v>
      </c>
      <c r="R177" s="8" t="s">
        <v>159</v>
      </c>
      <c r="S177" s="8" t="s">
        <v>38</v>
      </c>
      <c r="V177" s="26" t="str">
        <f>VLOOKUP(MID(Table1[[#This Row],[Nodo]],1,12),Tabla2[#Data],2,FALSE)</f>
        <v>TRANSFORMADOR</v>
      </c>
      <c r="W177" s="26" t="str">
        <f t="shared" si="3"/>
        <v>ELE</v>
      </c>
      <c r="X177" s="26" t="e">
        <f>VLOOKUP(MID([1]!Table1[[#This Row],[Nodo]],1,7),[1]!Tabla5[#Data],2,FALSE)</f>
        <v>#N/A</v>
      </c>
    </row>
    <row r="178" spans="1:24" x14ac:dyDescent="0.3">
      <c r="A178" s="8" t="s">
        <v>24</v>
      </c>
      <c r="B178" s="8" t="s">
        <v>25</v>
      </c>
      <c r="C178" s="8" t="s">
        <v>26</v>
      </c>
      <c r="D178" s="8" t="s">
        <v>154</v>
      </c>
      <c r="E178" s="8" t="s">
        <v>155</v>
      </c>
      <c r="F178" s="8" t="s">
        <v>160</v>
      </c>
      <c r="G178" s="8" t="s">
        <v>156</v>
      </c>
      <c r="H178" s="8" t="s">
        <v>157</v>
      </c>
      <c r="I178" s="8" t="s">
        <v>158</v>
      </c>
      <c r="J178" s="28">
        <v>45695.431076388886</v>
      </c>
      <c r="K178" s="28">
        <v>45863.464583333334</v>
      </c>
      <c r="L178" s="8" t="s">
        <v>33</v>
      </c>
      <c r="M178" s="8" t="s">
        <v>34</v>
      </c>
      <c r="N178" s="29">
        <v>0</v>
      </c>
      <c r="O178" s="29">
        <v>1</v>
      </c>
      <c r="P178" s="8" t="s">
        <v>35</v>
      </c>
      <c r="Q178" s="8" t="s">
        <v>36</v>
      </c>
      <c r="R178" s="8" t="s">
        <v>159</v>
      </c>
      <c r="S178" s="8" t="s">
        <v>38</v>
      </c>
      <c r="V178" s="26" t="str">
        <f>VLOOKUP(MID(Table1[[#This Row],[Nodo]],1,12),Tabla2[#Data],2,FALSE)</f>
        <v>TRANSFORMADOR</v>
      </c>
      <c r="W178" s="26" t="str">
        <f t="shared" si="3"/>
        <v>ELE</v>
      </c>
      <c r="X178" s="26" t="e">
        <f>VLOOKUP(MID([1]!Table1[[#This Row],[Nodo]],1,7),[1]!Tabla5[#Data],2,FALSE)</f>
        <v>#N/A</v>
      </c>
    </row>
    <row r="179" spans="1:24" x14ac:dyDescent="0.3">
      <c r="A179" s="8" t="s">
        <v>24</v>
      </c>
      <c r="B179" s="8" t="s">
        <v>25</v>
      </c>
      <c r="C179" s="8" t="s">
        <v>26</v>
      </c>
      <c r="D179" s="8" t="s">
        <v>154</v>
      </c>
      <c r="E179" s="8" t="s">
        <v>155</v>
      </c>
      <c r="F179" s="8" t="s">
        <v>161</v>
      </c>
      <c r="G179" s="8" t="s">
        <v>156</v>
      </c>
      <c r="H179" s="8" t="s">
        <v>157</v>
      </c>
      <c r="I179" s="8" t="s">
        <v>158</v>
      </c>
      <c r="J179" s="28">
        <v>45695.431076388886</v>
      </c>
      <c r="K179" s="28">
        <v>45863.464583333334</v>
      </c>
      <c r="L179" s="8" t="s">
        <v>33</v>
      </c>
      <c r="M179" s="8" t="s">
        <v>34</v>
      </c>
      <c r="N179" s="29">
        <v>0</v>
      </c>
      <c r="O179" s="29">
        <v>1</v>
      </c>
      <c r="P179" s="8" t="s">
        <v>35</v>
      </c>
      <c r="Q179" s="8" t="s">
        <v>36</v>
      </c>
      <c r="R179" s="8" t="s">
        <v>159</v>
      </c>
      <c r="S179" s="8" t="s">
        <v>38</v>
      </c>
      <c r="V179" s="26" t="str">
        <f>VLOOKUP(MID(Table1[[#This Row],[Nodo]],1,12),Tabla2[#Data],2,FALSE)</f>
        <v>TRANSFORMADOR</v>
      </c>
      <c r="W179" s="26" t="str">
        <f t="shared" si="3"/>
        <v>ELE</v>
      </c>
      <c r="X179" s="26" t="e">
        <f>VLOOKUP(MID([1]!Table1[[#This Row],[Nodo]],1,7),[1]!Tabla5[#Data],2,FALSE)</f>
        <v>#N/A</v>
      </c>
    </row>
    <row r="180" spans="1:24" x14ac:dyDescent="0.3">
      <c r="A180" s="8" t="s">
        <v>24</v>
      </c>
      <c r="B180" s="8" t="s">
        <v>25</v>
      </c>
      <c r="C180" s="8" t="s">
        <v>26</v>
      </c>
      <c r="D180" s="8" t="s">
        <v>154</v>
      </c>
      <c r="E180" s="8" t="s">
        <v>155</v>
      </c>
      <c r="F180" s="8" t="s">
        <v>162</v>
      </c>
      <c r="G180" s="8" t="s">
        <v>156</v>
      </c>
      <c r="H180" s="8" t="s">
        <v>157</v>
      </c>
      <c r="I180" s="8" t="s">
        <v>158</v>
      </c>
      <c r="J180" s="28">
        <v>45695.431076388886</v>
      </c>
      <c r="K180" s="28">
        <v>45863.464583333334</v>
      </c>
      <c r="L180" s="8" t="s">
        <v>33</v>
      </c>
      <c r="M180" s="8" t="s">
        <v>34</v>
      </c>
      <c r="N180" s="29">
        <v>0</v>
      </c>
      <c r="O180" s="29">
        <v>1</v>
      </c>
      <c r="P180" s="8" t="s">
        <v>35</v>
      </c>
      <c r="Q180" s="8" t="s">
        <v>36</v>
      </c>
      <c r="R180" s="8" t="s">
        <v>159</v>
      </c>
      <c r="S180" s="8" t="s">
        <v>38</v>
      </c>
      <c r="V180" s="26" t="str">
        <f>VLOOKUP(MID(Table1[[#This Row],[Nodo]],1,12),Tabla2[#Data],2,FALSE)</f>
        <v>TRANSFORMADOR</v>
      </c>
      <c r="W180" s="26" t="str">
        <f t="shared" si="3"/>
        <v>ELE</v>
      </c>
      <c r="X180" s="26" t="e">
        <f>VLOOKUP(MID([1]!Table1[[#This Row],[Nodo]],1,7),[1]!Tabla5[#Data],2,FALSE)</f>
        <v>#N/A</v>
      </c>
    </row>
    <row r="181" spans="1:24" x14ac:dyDescent="0.3">
      <c r="A181" s="8" t="s">
        <v>24</v>
      </c>
      <c r="B181" s="8" t="s">
        <v>25</v>
      </c>
      <c r="C181" s="8" t="s">
        <v>26</v>
      </c>
      <c r="D181" s="8" t="s">
        <v>163</v>
      </c>
      <c r="E181" s="8" t="s">
        <v>164</v>
      </c>
      <c r="F181" s="8" t="s">
        <v>165</v>
      </c>
      <c r="G181" s="8" t="s">
        <v>166</v>
      </c>
      <c r="H181" s="8" t="s">
        <v>167</v>
      </c>
      <c r="I181" s="8" t="s">
        <v>168</v>
      </c>
      <c r="J181" s="28">
        <v>45695.431064814817</v>
      </c>
      <c r="K181" s="28">
        <v>45863.464583333334</v>
      </c>
      <c r="L181" s="8" t="s">
        <v>33</v>
      </c>
      <c r="M181" s="8" t="s">
        <v>34</v>
      </c>
      <c r="N181" s="29">
        <v>0</v>
      </c>
      <c r="O181" s="29">
        <v>1</v>
      </c>
      <c r="P181" s="8" t="s">
        <v>35</v>
      </c>
      <c r="Q181" s="8" t="s">
        <v>36</v>
      </c>
      <c r="R181" s="8" t="s">
        <v>169</v>
      </c>
      <c r="S181" s="8" t="s">
        <v>38</v>
      </c>
      <c r="V181" s="26" t="str">
        <f>VLOOKUP(MID(Table1[[#This Row],[Nodo]],1,12),Tabla2[#Data],2,FALSE)</f>
        <v>TABLET</v>
      </c>
      <c r="W181" s="26" t="str">
        <f t="shared" si="3"/>
        <v>ELE</v>
      </c>
      <c r="X181" s="26" t="e">
        <f>VLOOKUP(MID([1]!Table1[[#This Row],[Nodo]],1,7),[1]!Tabla5[#Data],2,FALSE)</f>
        <v>#N/A</v>
      </c>
    </row>
    <row r="182" spans="1:24" x14ac:dyDescent="0.3">
      <c r="A182" s="8" t="s">
        <v>24</v>
      </c>
      <c r="B182" s="8" t="s">
        <v>25</v>
      </c>
      <c r="C182" s="8" t="s">
        <v>26</v>
      </c>
      <c r="D182" s="8" t="s">
        <v>163</v>
      </c>
      <c r="E182" s="8" t="s">
        <v>164</v>
      </c>
      <c r="F182" s="8" t="s">
        <v>170</v>
      </c>
      <c r="G182" s="8" t="s">
        <v>166</v>
      </c>
      <c r="H182" s="8" t="s">
        <v>167</v>
      </c>
      <c r="I182" s="8" t="s">
        <v>168</v>
      </c>
      <c r="J182" s="28">
        <v>45695.431064814817</v>
      </c>
      <c r="K182" s="28">
        <v>45863.464583333334</v>
      </c>
      <c r="L182" s="8" t="s">
        <v>33</v>
      </c>
      <c r="M182" s="8" t="s">
        <v>34</v>
      </c>
      <c r="N182" s="29">
        <v>0</v>
      </c>
      <c r="O182" s="29">
        <v>1</v>
      </c>
      <c r="P182" s="8" t="s">
        <v>35</v>
      </c>
      <c r="Q182" s="8" t="s">
        <v>36</v>
      </c>
      <c r="R182" s="8" t="s">
        <v>169</v>
      </c>
      <c r="S182" s="8" t="s">
        <v>38</v>
      </c>
      <c r="V182" s="26" t="str">
        <f>VLOOKUP(MID(Table1[[#This Row],[Nodo]],1,12),Tabla2[#Data],2,FALSE)</f>
        <v>TABLET</v>
      </c>
      <c r="W182" s="26" t="str">
        <f t="shared" si="3"/>
        <v>ELE</v>
      </c>
      <c r="X182" s="26" t="e">
        <f>VLOOKUP(MID([1]!Table1[[#This Row],[Nodo]],1,7),[1]!Tabla5[#Data],2,FALSE)</f>
        <v>#N/A</v>
      </c>
    </row>
    <row r="183" spans="1:24" x14ac:dyDescent="0.3">
      <c r="A183" s="8" t="s">
        <v>24</v>
      </c>
      <c r="B183" s="8" t="s">
        <v>25</v>
      </c>
      <c r="C183" s="8" t="s">
        <v>26</v>
      </c>
      <c r="D183" s="8" t="s">
        <v>163</v>
      </c>
      <c r="E183" s="8" t="s">
        <v>164</v>
      </c>
      <c r="F183" s="8" t="s">
        <v>171</v>
      </c>
      <c r="G183" s="8" t="s">
        <v>166</v>
      </c>
      <c r="H183" s="8" t="s">
        <v>167</v>
      </c>
      <c r="I183" s="8" t="s">
        <v>168</v>
      </c>
      <c r="J183" s="28">
        <v>45695.431064814817</v>
      </c>
      <c r="K183" s="28">
        <v>45863.464583333334</v>
      </c>
      <c r="L183" s="8" t="s">
        <v>33</v>
      </c>
      <c r="M183" s="8" t="s">
        <v>34</v>
      </c>
      <c r="N183" s="29">
        <v>0</v>
      </c>
      <c r="O183" s="29">
        <v>1</v>
      </c>
      <c r="P183" s="8" t="s">
        <v>35</v>
      </c>
      <c r="Q183" s="8" t="s">
        <v>36</v>
      </c>
      <c r="R183" s="8" t="s">
        <v>169</v>
      </c>
      <c r="S183" s="8" t="s">
        <v>38</v>
      </c>
      <c r="V183" s="26" t="str">
        <f>VLOOKUP(MID(Table1[[#This Row],[Nodo]],1,12),Tabla2[#Data],2,FALSE)</f>
        <v>TABLET</v>
      </c>
      <c r="W183" s="26" t="str">
        <f t="shared" si="3"/>
        <v>ELE</v>
      </c>
      <c r="X183" s="26" t="e">
        <f>VLOOKUP(MID([1]!Table1[[#This Row],[Nodo]],1,7),[1]!Tabla5[#Data],2,FALSE)</f>
        <v>#N/A</v>
      </c>
    </row>
    <row r="184" spans="1:24" x14ac:dyDescent="0.3">
      <c r="A184" s="8" t="s">
        <v>24</v>
      </c>
      <c r="B184" s="8" t="s">
        <v>25</v>
      </c>
      <c r="C184" s="8" t="s">
        <v>26</v>
      </c>
      <c r="D184" s="8" t="s">
        <v>163</v>
      </c>
      <c r="E184" s="8" t="s">
        <v>164</v>
      </c>
      <c r="F184" s="8" t="s">
        <v>172</v>
      </c>
      <c r="G184" s="8" t="s">
        <v>166</v>
      </c>
      <c r="H184" s="8" t="s">
        <v>167</v>
      </c>
      <c r="I184" s="8" t="s">
        <v>168</v>
      </c>
      <c r="J184" s="28">
        <v>45695.431064814817</v>
      </c>
      <c r="K184" s="28">
        <v>45863.464583333334</v>
      </c>
      <c r="L184" s="8" t="s">
        <v>33</v>
      </c>
      <c r="M184" s="8" t="s">
        <v>34</v>
      </c>
      <c r="N184" s="29">
        <v>0</v>
      </c>
      <c r="O184" s="29">
        <v>1</v>
      </c>
      <c r="P184" s="8" t="s">
        <v>35</v>
      </c>
      <c r="Q184" s="8" t="s">
        <v>36</v>
      </c>
      <c r="R184" s="8" t="s">
        <v>169</v>
      </c>
      <c r="S184" s="8" t="s">
        <v>38</v>
      </c>
      <c r="V184" s="26" t="str">
        <f>VLOOKUP(MID(Table1[[#This Row],[Nodo]],1,12),Tabla2[#Data],2,FALSE)</f>
        <v>TABLET</v>
      </c>
      <c r="W184" s="26" t="str">
        <f t="shared" si="3"/>
        <v>ELE</v>
      </c>
      <c r="X184" s="26" t="e">
        <f>VLOOKUP(MID([1]!Table1[[#This Row],[Nodo]],1,7),[1]!Tabla5[#Data],2,FALSE)</f>
        <v>#N/A</v>
      </c>
    </row>
    <row r="185" spans="1:24" x14ac:dyDescent="0.3">
      <c r="A185" s="8" t="s">
        <v>24</v>
      </c>
      <c r="B185" s="8" t="s">
        <v>25</v>
      </c>
      <c r="C185" s="8" t="s">
        <v>26</v>
      </c>
      <c r="D185" s="8" t="s">
        <v>173</v>
      </c>
      <c r="E185" s="8" t="s">
        <v>174</v>
      </c>
      <c r="F185" s="8" t="s">
        <v>67</v>
      </c>
      <c r="G185" s="8" t="s">
        <v>175</v>
      </c>
      <c r="H185" s="8" t="s">
        <v>176</v>
      </c>
      <c r="I185" s="8" t="s">
        <v>177</v>
      </c>
      <c r="J185" s="28">
        <v>45695.43105324074</v>
      </c>
      <c r="K185" s="28">
        <v>45863.464583333334</v>
      </c>
      <c r="L185" s="8" t="s">
        <v>33</v>
      </c>
      <c r="M185" s="8" t="s">
        <v>34</v>
      </c>
      <c r="N185" s="29">
        <v>0</v>
      </c>
      <c r="O185" s="29">
        <v>1</v>
      </c>
      <c r="P185" s="8" t="s">
        <v>35</v>
      </c>
      <c r="Q185" s="8" t="s">
        <v>36</v>
      </c>
      <c r="R185" s="8" t="s">
        <v>178</v>
      </c>
      <c r="S185" s="8" t="s">
        <v>38</v>
      </c>
      <c r="V185" s="26" t="str">
        <f>VLOOKUP(MID(Table1[[#This Row],[Nodo]],1,12),Tabla2[#Data],2,FALSE)</f>
        <v>PRECALENTADOR</v>
      </c>
      <c r="W185" s="26" t="str">
        <f t="shared" si="3"/>
        <v>ELE</v>
      </c>
      <c r="X185" s="26" t="e">
        <f>VLOOKUP(MID([1]!Table1[[#This Row],[Nodo]],1,7),[1]!Tabla5[#Data],2,FALSE)</f>
        <v>#N/A</v>
      </c>
    </row>
    <row r="186" spans="1:24" x14ac:dyDescent="0.3">
      <c r="A186" s="8" t="s">
        <v>24</v>
      </c>
      <c r="B186" s="8" t="s">
        <v>25</v>
      </c>
      <c r="C186" s="8" t="s">
        <v>26</v>
      </c>
      <c r="D186" s="8" t="s">
        <v>173</v>
      </c>
      <c r="E186" s="8" t="s">
        <v>174</v>
      </c>
      <c r="F186" s="8" t="s">
        <v>179</v>
      </c>
      <c r="G186" s="8" t="s">
        <v>175</v>
      </c>
      <c r="H186" s="8" t="s">
        <v>176</v>
      </c>
      <c r="I186" s="8" t="s">
        <v>177</v>
      </c>
      <c r="J186" s="28">
        <v>45695.43105324074</v>
      </c>
      <c r="K186" s="28">
        <v>45863.464583333334</v>
      </c>
      <c r="L186" s="8" t="s">
        <v>33</v>
      </c>
      <c r="M186" s="8" t="s">
        <v>34</v>
      </c>
      <c r="N186" s="29">
        <v>0</v>
      </c>
      <c r="O186" s="29">
        <v>1</v>
      </c>
      <c r="P186" s="8" t="s">
        <v>35</v>
      </c>
      <c r="Q186" s="8" t="s">
        <v>36</v>
      </c>
      <c r="R186" s="8" t="s">
        <v>178</v>
      </c>
      <c r="S186" s="8" t="s">
        <v>38</v>
      </c>
      <c r="V186" s="26" t="str">
        <f>VLOOKUP(MID(Table1[[#This Row],[Nodo]],1,12),Tabla2[#Data],2,FALSE)</f>
        <v>PRECALENTADOR</v>
      </c>
      <c r="W186" s="26" t="str">
        <f t="shared" si="3"/>
        <v>ELE</v>
      </c>
      <c r="X186" s="26" t="e">
        <f>VLOOKUP(MID([1]!Table1[[#This Row],[Nodo]],1,7),[1]!Tabla5[#Data],2,FALSE)</f>
        <v>#N/A</v>
      </c>
    </row>
    <row r="187" spans="1:24" x14ac:dyDescent="0.3">
      <c r="A187" s="8" t="s">
        <v>24</v>
      </c>
      <c r="B187" s="8" t="s">
        <v>25</v>
      </c>
      <c r="C187" s="8" t="s">
        <v>26</v>
      </c>
      <c r="D187" s="8" t="s">
        <v>173</v>
      </c>
      <c r="E187" s="8" t="s">
        <v>174</v>
      </c>
      <c r="F187" s="8" t="s">
        <v>121</v>
      </c>
      <c r="G187" s="8" t="s">
        <v>175</v>
      </c>
      <c r="H187" s="8" t="s">
        <v>176</v>
      </c>
      <c r="I187" s="8" t="s">
        <v>177</v>
      </c>
      <c r="J187" s="28">
        <v>45695.43105324074</v>
      </c>
      <c r="K187" s="28">
        <v>45863.464583333334</v>
      </c>
      <c r="L187" s="8" t="s">
        <v>33</v>
      </c>
      <c r="M187" s="8" t="s">
        <v>34</v>
      </c>
      <c r="N187" s="29">
        <v>0</v>
      </c>
      <c r="O187" s="29">
        <v>1</v>
      </c>
      <c r="P187" s="8" t="s">
        <v>35</v>
      </c>
      <c r="Q187" s="8" t="s">
        <v>36</v>
      </c>
      <c r="R187" s="8" t="s">
        <v>178</v>
      </c>
      <c r="S187" s="8" t="s">
        <v>38</v>
      </c>
      <c r="V187" s="26" t="str">
        <f>VLOOKUP(MID(Table1[[#This Row],[Nodo]],1,12),Tabla2[#Data],2,FALSE)</f>
        <v>PRECALENTADOR</v>
      </c>
      <c r="W187" s="26" t="str">
        <f t="shared" si="3"/>
        <v>ELE</v>
      </c>
      <c r="X187" s="26" t="e">
        <f>VLOOKUP(MID([1]!Table1[[#This Row],[Nodo]],1,7),[1]!Tabla5[#Data],2,FALSE)</f>
        <v>#N/A</v>
      </c>
    </row>
    <row r="188" spans="1:24" x14ac:dyDescent="0.3">
      <c r="A188" s="8" t="s">
        <v>24</v>
      </c>
      <c r="B188" s="8" t="s">
        <v>25</v>
      </c>
      <c r="C188" s="8" t="s">
        <v>26</v>
      </c>
      <c r="D188" s="8" t="s">
        <v>173</v>
      </c>
      <c r="E188" s="8" t="s">
        <v>174</v>
      </c>
      <c r="F188" s="8" t="s">
        <v>180</v>
      </c>
      <c r="G188" s="8" t="s">
        <v>175</v>
      </c>
      <c r="H188" s="8" t="s">
        <v>176</v>
      </c>
      <c r="I188" s="8" t="s">
        <v>177</v>
      </c>
      <c r="J188" s="28">
        <v>45695.43105324074</v>
      </c>
      <c r="K188" s="28">
        <v>45863.464583333334</v>
      </c>
      <c r="L188" s="8" t="s">
        <v>33</v>
      </c>
      <c r="M188" s="8" t="s">
        <v>34</v>
      </c>
      <c r="N188" s="29">
        <v>0</v>
      </c>
      <c r="O188" s="29">
        <v>1</v>
      </c>
      <c r="P188" s="8" t="s">
        <v>35</v>
      </c>
      <c r="Q188" s="8" t="s">
        <v>36</v>
      </c>
      <c r="R188" s="8" t="s">
        <v>178</v>
      </c>
      <c r="S188" s="8" t="s">
        <v>38</v>
      </c>
      <c r="V188" s="26" t="str">
        <f>VLOOKUP(MID(Table1[[#This Row],[Nodo]],1,12),Tabla2[#Data],2,FALSE)</f>
        <v>PRECALENTADOR</v>
      </c>
      <c r="W188" s="26" t="str">
        <f t="shared" si="3"/>
        <v>ELE</v>
      </c>
      <c r="X188" s="26" t="e">
        <f>VLOOKUP(MID([1]!Table1[[#This Row],[Nodo]],1,7),[1]!Tabla5[#Data],2,FALSE)</f>
        <v>#N/A</v>
      </c>
    </row>
    <row r="189" spans="1:24" x14ac:dyDescent="0.3">
      <c r="A189" s="8" t="s">
        <v>24</v>
      </c>
      <c r="B189" s="8" t="s">
        <v>25</v>
      </c>
      <c r="C189" s="8" t="s">
        <v>26</v>
      </c>
      <c r="D189" s="8" t="s">
        <v>173</v>
      </c>
      <c r="E189" s="8" t="s">
        <v>174</v>
      </c>
      <c r="F189" s="8" t="s">
        <v>181</v>
      </c>
      <c r="G189" s="8" t="s">
        <v>175</v>
      </c>
      <c r="H189" s="8" t="s">
        <v>176</v>
      </c>
      <c r="I189" s="8" t="s">
        <v>177</v>
      </c>
      <c r="J189" s="28">
        <v>45695.43105324074</v>
      </c>
      <c r="K189" s="28">
        <v>45863.464583333334</v>
      </c>
      <c r="L189" s="8" t="s">
        <v>33</v>
      </c>
      <c r="M189" s="8" t="s">
        <v>34</v>
      </c>
      <c r="N189" s="29">
        <v>0</v>
      </c>
      <c r="O189" s="29">
        <v>1</v>
      </c>
      <c r="P189" s="8" t="s">
        <v>35</v>
      </c>
      <c r="Q189" s="8" t="s">
        <v>36</v>
      </c>
      <c r="R189" s="8" t="s">
        <v>178</v>
      </c>
      <c r="S189" s="8" t="s">
        <v>38</v>
      </c>
      <c r="V189" s="26" t="str">
        <f>VLOOKUP(MID(Table1[[#This Row],[Nodo]],1,12),Tabla2[#Data],2,FALSE)</f>
        <v>PRECALENTADOR</v>
      </c>
      <c r="W189" s="26" t="str">
        <f t="shared" si="3"/>
        <v>ELE</v>
      </c>
      <c r="X189" s="26" t="e">
        <f>VLOOKUP(MID([1]!Table1[[#This Row],[Nodo]],1,7),[1]!Tabla5[#Data],2,FALSE)</f>
        <v>#N/A</v>
      </c>
    </row>
    <row r="190" spans="1:24" x14ac:dyDescent="0.3">
      <c r="A190" s="8" t="s">
        <v>24</v>
      </c>
      <c r="B190" s="8" t="s">
        <v>25</v>
      </c>
      <c r="C190" s="8" t="s">
        <v>26</v>
      </c>
      <c r="D190" s="8" t="s">
        <v>173</v>
      </c>
      <c r="E190" s="8" t="s">
        <v>174</v>
      </c>
      <c r="F190" s="8" t="s">
        <v>67</v>
      </c>
      <c r="G190" s="8" t="s">
        <v>182</v>
      </c>
      <c r="H190" s="8" t="s">
        <v>183</v>
      </c>
      <c r="I190" s="8" t="s">
        <v>184</v>
      </c>
      <c r="J190" s="28">
        <v>45695.431076388886</v>
      </c>
      <c r="K190" s="28">
        <v>45863.464583333334</v>
      </c>
      <c r="L190" s="8" t="s">
        <v>33</v>
      </c>
      <c r="M190" s="8" t="s">
        <v>34</v>
      </c>
      <c r="N190" s="29">
        <v>0</v>
      </c>
      <c r="O190" s="29">
        <v>1</v>
      </c>
      <c r="P190" s="8" t="s">
        <v>35</v>
      </c>
      <c r="Q190" s="8" t="s">
        <v>36</v>
      </c>
      <c r="R190" s="8" t="s">
        <v>178</v>
      </c>
      <c r="S190" s="8" t="s">
        <v>38</v>
      </c>
      <c r="V190" s="26" t="str">
        <f>VLOOKUP(MID(Table1[[#This Row],[Nodo]],1,12),Tabla2[#Data],2,FALSE)</f>
        <v>TABLERO DE CONTROL PRINCIPAL</v>
      </c>
      <c r="W190" s="26" t="str">
        <f t="shared" si="3"/>
        <v>ELE</v>
      </c>
      <c r="X190" s="26" t="e">
        <f>VLOOKUP(MID([1]!Table1[[#This Row],[Nodo]],1,7),[1]!Tabla5[#Data],2,FALSE)</f>
        <v>#N/A</v>
      </c>
    </row>
    <row r="191" spans="1:24" x14ac:dyDescent="0.3">
      <c r="A191" s="8" t="s">
        <v>24</v>
      </c>
      <c r="B191" s="8" t="s">
        <v>25</v>
      </c>
      <c r="C191" s="8" t="s">
        <v>26</v>
      </c>
      <c r="D191" s="8" t="s">
        <v>173</v>
      </c>
      <c r="E191" s="8" t="s">
        <v>174</v>
      </c>
      <c r="F191" s="8" t="s">
        <v>179</v>
      </c>
      <c r="G191" s="8" t="s">
        <v>182</v>
      </c>
      <c r="H191" s="8" t="s">
        <v>183</v>
      </c>
      <c r="I191" s="8" t="s">
        <v>184</v>
      </c>
      <c r="J191" s="28">
        <v>45695.431076388886</v>
      </c>
      <c r="K191" s="28">
        <v>45863.464583333334</v>
      </c>
      <c r="L191" s="8" t="s">
        <v>33</v>
      </c>
      <c r="M191" s="8" t="s">
        <v>34</v>
      </c>
      <c r="N191" s="29">
        <v>0</v>
      </c>
      <c r="O191" s="29">
        <v>1</v>
      </c>
      <c r="P191" s="8" t="s">
        <v>35</v>
      </c>
      <c r="Q191" s="8" t="s">
        <v>36</v>
      </c>
      <c r="R191" s="8" t="s">
        <v>178</v>
      </c>
      <c r="S191" s="8" t="s">
        <v>38</v>
      </c>
      <c r="V191" s="26" t="str">
        <f>VLOOKUP(MID(Table1[[#This Row],[Nodo]],1,12),Tabla2[#Data],2,FALSE)</f>
        <v>TABLERO DE CONTROL PRINCIPAL</v>
      </c>
      <c r="W191" s="26" t="str">
        <f t="shared" si="3"/>
        <v>ELE</v>
      </c>
      <c r="X191" s="26" t="e">
        <f>VLOOKUP(MID([1]!Table1[[#This Row],[Nodo]],1,7),[1]!Tabla5[#Data],2,FALSE)</f>
        <v>#N/A</v>
      </c>
    </row>
    <row r="192" spans="1:24" x14ac:dyDescent="0.3">
      <c r="A192" s="8" t="s">
        <v>24</v>
      </c>
      <c r="B192" s="8" t="s">
        <v>25</v>
      </c>
      <c r="C192" s="8" t="s">
        <v>26</v>
      </c>
      <c r="D192" s="8" t="s">
        <v>173</v>
      </c>
      <c r="E192" s="8" t="s">
        <v>174</v>
      </c>
      <c r="F192" s="8" t="s">
        <v>121</v>
      </c>
      <c r="G192" s="8" t="s">
        <v>182</v>
      </c>
      <c r="H192" s="8" t="s">
        <v>183</v>
      </c>
      <c r="I192" s="8" t="s">
        <v>184</v>
      </c>
      <c r="J192" s="28">
        <v>45695.431076388886</v>
      </c>
      <c r="K192" s="28">
        <v>45863.464583333334</v>
      </c>
      <c r="L192" s="8" t="s">
        <v>33</v>
      </c>
      <c r="M192" s="8" t="s">
        <v>34</v>
      </c>
      <c r="N192" s="29">
        <v>0</v>
      </c>
      <c r="O192" s="29">
        <v>1</v>
      </c>
      <c r="P192" s="8" t="s">
        <v>35</v>
      </c>
      <c r="Q192" s="8" t="s">
        <v>36</v>
      </c>
      <c r="R192" s="8" t="s">
        <v>178</v>
      </c>
      <c r="S192" s="8" t="s">
        <v>38</v>
      </c>
      <c r="V192" s="26" t="str">
        <f>VLOOKUP(MID(Table1[[#This Row],[Nodo]],1,12),Tabla2[#Data],2,FALSE)</f>
        <v>TABLERO DE CONTROL PRINCIPAL</v>
      </c>
      <c r="W192" s="26" t="str">
        <f t="shared" si="3"/>
        <v>ELE</v>
      </c>
      <c r="X192" s="26" t="e">
        <f>VLOOKUP(MID([1]!Table1[[#This Row],[Nodo]],1,7),[1]!Tabla5[#Data],2,FALSE)</f>
        <v>#N/A</v>
      </c>
    </row>
    <row r="193" spans="1:24" x14ac:dyDescent="0.3">
      <c r="A193" s="8" t="s">
        <v>24</v>
      </c>
      <c r="B193" s="8" t="s">
        <v>25</v>
      </c>
      <c r="C193" s="8" t="s">
        <v>26</v>
      </c>
      <c r="D193" s="8" t="s">
        <v>173</v>
      </c>
      <c r="E193" s="8" t="s">
        <v>174</v>
      </c>
      <c r="F193" s="8" t="s">
        <v>180</v>
      </c>
      <c r="G193" s="8" t="s">
        <v>182</v>
      </c>
      <c r="H193" s="8" t="s">
        <v>183</v>
      </c>
      <c r="I193" s="8" t="s">
        <v>184</v>
      </c>
      <c r="J193" s="28">
        <v>45695.431076388886</v>
      </c>
      <c r="K193" s="28">
        <v>45863.464583333334</v>
      </c>
      <c r="L193" s="8" t="s">
        <v>33</v>
      </c>
      <c r="M193" s="8" t="s">
        <v>34</v>
      </c>
      <c r="N193" s="29">
        <v>0</v>
      </c>
      <c r="O193" s="29">
        <v>1</v>
      </c>
      <c r="P193" s="8" t="s">
        <v>35</v>
      </c>
      <c r="Q193" s="8" t="s">
        <v>36</v>
      </c>
      <c r="R193" s="8" t="s">
        <v>178</v>
      </c>
      <c r="S193" s="8" t="s">
        <v>38</v>
      </c>
      <c r="V193" s="26" t="str">
        <f>VLOOKUP(MID(Table1[[#This Row],[Nodo]],1,12),Tabla2[#Data],2,FALSE)</f>
        <v>TABLERO DE CONTROL PRINCIPAL</v>
      </c>
      <c r="W193" s="26" t="str">
        <f t="shared" si="3"/>
        <v>ELE</v>
      </c>
      <c r="X193" s="26" t="e">
        <f>VLOOKUP(MID([1]!Table1[[#This Row],[Nodo]],1,7),[1]!Tabla5[#Data],2,FALSE)</f>
        <v>#N/A</v>
      </c>
    </row>
    <row r="194" spans="1:24" x14ac:dyDescent="0.3">
      <c r="A194" s="8" t="s">
        <v>24</v>
      </c>
      <c r="B194" s="8" t="s">
        <v>25</v>
      </c>
      <c r="C194" s="8" t="s">
        <v>26</v>
      </c>
      <c r="D194" s="8" t="s">
        <v>173</v>
      </c>
      <c r="E194" s="8" t="s">
        <v>174</v>
      </c>
      <c r="F194" s="8" t="s">
        <v>181</v>
      </c>
      <c r="G194" s="8" t="s">
        <v>182</v>
      </c>
      <c r="H194" s="8" t="s">
        <v>183</v>
      </c>
      <c r="I194" s="8" t="s">
        <v>184</v>
      </c>
      <c r="J194" s="28">
        <v>45695.431076388886</v>
      </c>
      <c r="K194" s="28">
        <v>45863.464583333334</v>
      </c>
      <c r="L194" s="8" t="s">
        <v>33</v>
      </c>
      <c r="M194" s="8" t="s">
        <v>34</v>
      </c>
      <c r="N194" s="29">
        <v>0</v>
      </c>
      <c r="O194" s="29">
        <v>1</v>
      </c>
      <c r="P194" s="8" t="s">
        <v>35</v>
      </c>
      <c r="Q194" s="8" t="s">
        <v>36</v>
      </c>
      <c r="R194" s="8" t="s">
        <v>178</v>
      </c>
      <c r="S194" s="8" t="s">
        <v>38</v>
      </c>
      <c r="V194" s="26" t="str">
        <f>VLOOKUP(MID(Table1[[#This Row],[Nodo]],1,12),Tabla2[#Data],2,FALSE)</f>
        <v>TABLERO DE CONTROL PRINCIPAL</v>
      </c>
      <c r="W194" s="26" t="str">
        <f t="shared" si="3"/>
        <v>ELE</v>
      </c>
      <c r="X194" s="26" t="e">
        <f>VLOOKUP(MID([1]!Table1[[#This Row],[Nodo]],1,7),[1]!Tabla5[#Data],2,FALSE)</f>
        <v>#N/A</v>
      </c>
    </row>
    <row r="195" spans="1:24" x14ac:dyDescent="0.3">
      <c r="A195" s="8" t="s">
        <v>24</v>
      </c>
      <c r="B195" s="8" t="s">
        <v>25</v>
      </c>
      <c r="C195" s="8" t="s">
        <v>26</v>
      </c>
      <c r="D195" s="8" t="s">
        <v>185</v>
      </c>
      <c r="E195" s="8" t="s">
        <v>186</v>
      </c>
      <c r="F195" s="8" t="s">
        <v>67</v>
      </c>
      <c r="G195" s="8" t="s">
        <v>187</v>
      </c>
      <c r="H195" s="8" t="s">
        <v>188</v>
      </c>
      <c r="I195" s="8" t="s">
        <v>189</v>
      </c>
      <c r="J195" s="28">
        <v>45695.43105324074</v>
      </c>
      <c r="K195" s="28">
        <v>45863.464583333334</v>
      </c>
      <c r="L195" s="8" t="s">
        <v>33</v>
      </c>
      <c r="M195" s="8" t="s">
        <v>34</v>
      </c>
      <c r="N195" s="29">
        <v>0</v>
      </c>
      <c r="O195" s="29">
        <v>1</v>
      </c>
      <c r="P195" s="8" t="s">
        <v>35</v>
      </c>
      <c r="Q195" s="8" t="s">
        <v>36</v>
      </c>
      <c r="R195" s="8" t="s">
        <v>190</v>
      </c>
      <c r="S195" s="8" t="s">
        <v>38</v>
      </c>
      <c r="V195" s="26" t="str">
        <f>VLOOKUP(MID(Table1[[#This Row],[Nodo]],1,12),Tabla2[#Data],2,FALSE)</f>
        <v>HORNO</v>
      </c>
      <c r="W195" s="26" t="str">
        <f t="shared" ref="W195:W258" si="4">IF(MID(E195,1,3)="ELE","ELE",IF(MID(E195,1,3)="INS","ELE",IF(MID(E195,1,3)="MEC","MEC",IF(MID(E195,1,3)="LUB","MEC",IF(MID(E195,1,3)="IST","ELE"," ")))))</f>
        <v>ELE</v>
      </c>
      <c r="X195" s="26" t="e">
        <f>VLOOKUP(MID([1]!Table1[[#This Row],[Nodo]],1,7),[1]!Tabla5[#Data],2,FALSE)</f>
        <v>#N/A</v>
      </c>
    </row>
    <row r="196" spans="1:24" x14ac:dyDescent="0.3">
      <c r="A196" s="8" t="s">
        <v>24</v>
      </c>
      <c r="B196" s="8" t="s">
        <v>25</v>
      </c>
      <c r="C196" s="8" t="s">
        <v>26</v>
      </c>
      <c r="D196" s="8" t="s">
        <v>185</v>
      </c>
      <c r="E196" s="8" t="s">
        <v>186</v>
      </c>
      <c r="F196" s="8" t="s">
        <v>191</v>
      </c>
      <c r="G196" s="8" t="s">
        <v>187</v>
      </c>
      <c r="H196" s="8" t="s">
        <v>188</v>
      </c>
      <c r="I196" s="8" t="s">
        <v>189</v>
      </c>
      <c r="J196" s="28">
        <v>45695.43105324074</v>
      </c>
      <c r="K196" s="28">
        <v>45863.464583333334</v>
      </c>
      <c r="L196" s="8" t="s">
        <v>33</v>
      </c>
      <c r="M196" s="8" t="s">
        <v>34</v>
      </c>
      <c r="N196" s="29">
        <v>0</v>
      </c>
      <c r="O196" s="29">
        <v>1</v>
      </c>
      <c r="P196" s="8" t="s">
        <v>35</v>
      </c>
      <c r="Q196" s="8" t="s">
        <v>36</v>
      </c>
      <c r="R196" s="8" t="s">
        <v>190</v>
      </c>
      <c r="S196" s="8" t="s">
        <v>38</v>
      </c>
      <c r="V196" s="26" t="str">
        <f>VLOOKUP(MID(Table1[[#This Row],[Nodo]],1,12),Tabla2[#Data],2,FALSE)</f>
        <v>HORNO</v>
      </c>
      <c r="W196" s="26" t="str">
        <f t="shared" si="4"/>
        <v>ELE</v>
      </c>
      <c r="X196" s="26" t="e">
        <f>VLOOKUP(MID([1]!Table1[[#This Row],[Nodo]],1,7),[1]!Tabla5[#Data],2,FALSE)</f>
        <v>#N/A</v>
      </c>
    </row>
    <row r="197" spans="1:24" x14ac:dyDescent="0.3">
      <c r="A197" s="8" t="s">
        <v>24</v>
      </c>
      <c r="B197" s="8" t="s">
        <v>25</v>
      </c>
      <c r="C197" s="8" t="s">
        <v>26</v>
      </c>
      <c r="D197" s="8" t="s">
        <v>185</v>
      </c>
      <c r="E197" s="8" t="s">
        <v>186</v>
      </c>
      <c r="F197" s="8" t="s">
        <v>192</v>
      </c>
      <c r="G197" s="8" t="s">
        <v>187</v>
      </c>
      <c r="H197" s="8" t="s">
        <v>188</v>
      </c>
      <c r="I197" s="8" t="s">
        <v>189</v>
      </c>
      <c r="J197" s="28">
        <v>45695.43105324074</v>
      </c>
      <c r="K197" s="28">
        <v>45863.464583333334</v>
      </c>
      <c r="L197" s="8" t="s">
        <v>33</v>
      </c>
      <c r="M197" s="8" t="s">
        <v>34</v>
      </c>
      <c r="N197" s="29">
        <v>0</v>
      </c>
      <c r="O197" s="29">
        <v>1</v>
      </c>
      <c r="P197" s="8" t="s">
        <v>35</v>
      </c>
      <c r="Q197" s="8" t="s">
        <v>36</v>
      </c>
      <c r="R197" s="8" t="s">
        <v>190</v>
      </c>
      <c r="S197" s="8" t="s">
        <v>38</v>
      </c>
      <c r="V197" s="26" t="str">
        <f>VLOOKUP(MID(Table1[[#This Row],[Nodo]],1,12),Tabla2[#Data],2,FALSE)</f>
        <v>HORNO</v>
      </c>
      <c r="W197" s="26" t="str">
        <f t="shared" si="4"/>
        <v>ELE</v>
      </c>
      <c r="X197" s="26" t="e">
        <f>VLOOKUP(MID([1]!Table1[[#This Row],[Nodo]],1,7),[1]!Tabla5[#Data],2,FALSE)</f>
        <v>#N/A</v>
      </c>
    </row>
    <row r="198" spans="1:24" x14ac:dyDescent="0.3">
      <c r="A198" s="8" t="s">
        <v>24</v>
      </c>
      <c r="B198" s="8" t="s">
        <v>25</v>
      </c>
      <c r="C198" s="8" t="s">
        <v>26</v>
      </c>
      <c r="D198" s="8" t="s">
        <v>185</v>
      </c>
      <c r="E198" s="8" t="s">
        <v>186</v>
      </c>
      <c r="F198" s="8" t="s">
        <v>193</v>
      </c>
      <c r="G198" s="8" t="s">
        <v>187</v>
      </c>
      <c r="H198" s="8" t="s">
        <v>188</v>
      </c>
      <c r="I198" s="8" t="s">
        <v>189</v>
      </c>
      <c r="J198" s="28">
        <v>45695.43105324074</v>
      </c>
      <c r="K198" s="28">
        <v>45863.464583333334</v>
      </c>
      <c r="L198" s="8" t="s">
        <v>33</v>
      </c>
      <c r="M198" s="8" t="s">
        <v>34</v>
      </c>
      <c r="N198" s="29">
        <v>0</v>
      </c>
      <c r="O198" s="29">
        <v>1</v>
      </c>
      <c r="P198" s="8" t="s">
        <v>35</v>
      </c>
      <c r="Q198" s="8" t="s">
        <v>36</v>
      </c>
      <c r="R198" s="8" t="s">
        <v>190</v>
      </c>
      <c r="S198" s="8" t="s">
        <v>38</v>
      </c>
      <c r="V198" s="26" t="str">
        <f>VLOOKUP(MID(Table1[[#This Row],[Nodo]],1,12),Tabla2[#Data],2,FALSE)</f>
        <v>HORNO</v>
      </c>
      <c r="W198" s="26" t="str">
        <f t="shared" si="4"/>
        <v>ELE</v>
      </c>
      <c r="X198" s="26" t="e">
        <f>VLOOKUP(MID([1]!Table1[[#This Row],[Nodo]],1,7),[1]!Tabla5[#Data],2,FALSE)</f>
        <v>#N/A</v>
      </c>
    </row>
    <row r="199" spans="1:24" x14ac:dyDescent="0.3">
      <c r="A199" s="8" t="s">
        <v>24</v>
      </c>
      <c r="B199" s="8" t="s">
        <v>25</v>
      </c>
      <c r="C199" s="8" t="s">
        <v>26</v>
      </c>
      <c r="D199" s="8" t="s">
        <v>185</v>
      </c>
      <c r="E199" s="8" t="s">
        <v>186</v>
      </c>
      <c r="F199" s="8" t="s">
        <v>194</v>
      </c>
      <c r="G199" s="8" t="s">
        <v>187</v>
      </c>
      <c r="H199" s="8" t="s">
        <v>188</v>
      </c>
      <c r="I199" s="8" t="s">
        <v>189</v>
      </c>
      <c r="J199" s="28">
        <v>45695.43105324074</v>
      </c>
      <c r="K199" s="28">
        <v>45863.464583333334</v>
      </c>
      <c r="L199" s="8" t="s">
        <v>33</v>
      </c>
      <c r="M199" s="8" t="s">
        <v>34</v>
      </c>
      <c r="N199" s="29">
        <v>0</v>
      </c>
      <c r="O199" s="29">
        <v>1</v>
      </c>
      <c r="P199" s="8" t="s">
        <v>35</v>
      </c>
      <c r="Q199" s="8" t="s">
        <v>36</v>
      </c>
      <c r="R199" s="8" t="s">
        <v>190</v>
      </c>
      <c r="S199" s="8" t="s">
        <v>38</v>
      </c>
      <c r="V199" s="26" t="str">
        <f>VLOOKUP(MID(Table1[[#This Row],[Nodo]],1,12),Tabla2[#Data],2,FALSE)</f>
        <v>HORNO</v>
      </c>
      <c r="W199" s="26" t="str">
        <f t="shared" si="4"/>
        <v>ELE</v>
      </c>
      <c r="X199" s="26" t="e">
        <f>VLOOKUP(MID([1]!Table1[[#This Row],[Nodo]],1,7),[1]!Tabla5[#Data],2,FALSE)</f>
        <v>#N/A</v>
      </c>
    </row>
    <row r="200" spans="1:24" x14ac:dyDescent="0.3">
      <c r="A200" s="8" t="s">
        <v>24</v>
      </c>
      <c r="B200" s="8" t="s">
        <v>25</v>
      </c>
      <c r="C200" s="8" t="s">
        <v>26</v>
      </c>
      <c r="D200" s="8" t="s">
        <v>185</v>
      </c>
      <c r="E200" s="8" t="s">
        <v>186</v>
      </c>
      <c r="F200" s="8" t="s">
        <v>195</v>
      </c>
      <c r="G200" s="8" t="s">
        <v>187</v>
      </c>
      <c r="H200" s="8" t="s">
        <v>188</v>
      </c>
      <c r="I200" s="8" t="s">
        <v>189</v>
      </c>
      <c r="J200" s="28">
        <v>45695.43105324074</v>
      </c>
      <c r="K200" s="28">
        <v>45863.464583333334</v>
      </c>
      <c r="L200" s="8" t="s">
        <v>33</v>
      </c>
      <c r="M200" s="8" t="s">
        <v>34</v>
      </c>
      <c r="N200" s="29">
        <v>0</v>
      </c>
      <c r="O200" s="29">
        <v>1</v>
      </c>
      <c r="P200" s="8" t="s">
        <v>35</v>
      </c>
      <c r="Q200" s="8" t="s">
        <v>36</v>
      </c>
      <c r="R200" s="8" t="s">
        <v>190</v>
      </c>
      <c r="S200" s="8" t="s">
        <v>38</v>
      </c>
      <c r="V200" s="26" t="str">
        <f>VLOOKUP(MID(Table1[[#This Row],[Nodo]],1,12),Tabla2[#Data],2,FALSE)</f>
        <v>HORNO</v>
      </c>
      <c r="W200" s="26" t="str">
        <f t="shared" si="4"/>
        <v>ELE</v>
      </c>
      <c r="X200" s="26" t="e">
        <f>VLOOKUP(MID([1]!Table1[[#This Row],[Nodo]],1,7),[1]!Tabla5[#Data],2,FALSE)</f>
        <v>#N/A</v>
      </c>
    </row>
    <row r="201" spans="1:24" x14ac:dyDescent="0.3">
      <c r="A201" s="8" t="s">
        <v>24</v>
      </c>
      <c r="B201" s="8" t="s">
        <v>25</v>
      </c>
      <c r="C201" s="8" t="s">
        <v>26</v>
      </c>
      <c r="D201" s="8" t="s">
        <v>185</v>
      </c>
      <c r="E201" s="8" t="s">
        <v>186</v>
      </c>
      <c r="F201" s="8" t="s">
        <v>196</v>
      </c>
      <c r="G201" s="8" t="s">
        <v>187</v>
      </c>
      <c r="H201" s="8" t="s">
        <v>188</v>
      </c>
      <c r="I201" s="8" t="s">
        <v>189</v>
      </c>
      <c r="J201" s="28">
        <v>45695.43105324074</v>
      </c>
      <c r="K201" s="28">
        <v>45863.464583333334</v>
      </c>
      <c r="L201" s="8" t="s">
        <v>33</v>
      </c>
      <c r="M201" s="8" t="s">
        <v>34</v>
      </c>
      <c r="N201" s="29">
        <v>0</v>
      </c>
      <c r="O201" s="29">
        <v>1</v>
      </c>
      <c r="P201" s="8" t="s">
        <v>35</v>
      </c>
      <c r="Q201" s="8" t="s">
        <v>36</v>
      </c>
      <c r="R201" s="8" t="s">
        <v>190</v>
      </c>
      <c r="S201" s="8" t="s">
        <v>38</v>
      </c>
      <c r="V201" s="26" t="str">
        <f>VLOOKUP(MID(Table1[[#This Row],[Nodo]],1,12),Tabla2[#Data],2,FALSE)</f>
        <v>HORNO</v>
      </c>
      <c r="W201" s="26" t="str">
        <f t="shared" si="4"/>
        <v>ELE</v>
      </c>
      <c r="X201" s="26" t="e">
        <f>VLOOKUP(MID([1]!Table1[[#This Row],[Nodo]],1,7),[1]!Tabla5[#Data],2,FALSE)</f>
        <v>#N/A</v>
      </c>
    </row>
    <row r="202" spans="1:24" x14ac:dyDescent="0.3">
      <c r="A202" s="8" t="s">
        <v>24</v>
      </c>
      <c r="B202" s="8" t="s">
        <v>25</v>
      </c>
      <c r="C202" s="8" t="s">
        <v>26</v>
      </c>
      <c r="D202" s="8" t="s">
        <v>185</v>
      </c>
      <c r="E202" s="8" t="s">
        <v>186</v>
      </c>
      <c r="F202" s="8" t="s">
        <v>197</v>
      </c>
      <c r="G202" s="8" t="s">
        <v>187</v>
      </c>
      <c r="H202" s="8" t="s">
        <v>188</v>
      </c>
      <c r="I202" s="8" t="s">
        <v>189</v>
      </c>
      <c r="J202" s="28">
        <v>45695.43105324074</v>
      </c>
      <c r="K202" s="28">
        <v>45863.464583333334</v>
      </c>
      <c r="L202" s="8" t="s">
        <v>33</v>
      </c>
      <c r="M202" s="8" t="s">
        <v>34</v>
      </c>
      <c r="N202" s="29">
        <v>0</v>
      </c>
      <c r="O202" s="29">
        <v>1</v>
      </c>
      <c r="P202" s="8" t="s">
        <v>35</v>
      </c>
      <c r="Q202" s="8" t="s">
        <v>36</v>
      </c>
      <c r="R202" s="8" t="s">
        <v>190</v>
      </c>
      <c r="S202" s="8" t="s">
        <v>38</v>
      </c>
      <c r="V202" s="26" t="str">
        <f>VLOOKUP(MID(Table1[[#This Row],[Nodo]],1,12),Tabla2[#Data],2,FALSE)</f>
        <v>HORNO</v>
      </c>
      <c r="W202" s="26" t="str">
        <f t="shared" si="4"/>
        <v>ELE</v>
      </c>
      <c r="X202" s="26" t="e">
        <f>VLOOKUP(MID([1]!Table1[[#This Row],[Nodo]],1,7),[1]!Tabla5[#Data],2,FALSE)</f>
        <v>#N/A</v>
      </c>
    </row>
    <row r="203" spans="1:24" x14ac:dyDescent="0.3">
      <c r="A203" s="8" t="s">
        <v>24</v>
      </c>
      <c r="B203" s="8" t="s">
        <v>25</v>
      </c>
      <c r="C203" s="8" t="s">
        <v>26</v>
      </c>
      <c r="D203" s="8" t="s">
        <v>185</v>
      </c>
      <c r="E203" s="8" t="s">
        <v>186</v>
      </c>
      <c r="F203" s="8" t="s">
        <v>198</v>
      </c>
      <c r="G203" s="8" t="s">
        <v>187</v>
      </c>
      <c r="H203" s="8" t="s">
        <v>188</v>
      </c>
      <c r="I203" s="8" t="s">
        <v>189</v>
      </c>
      <c r="J203" s="28">
        <v>45695.43105324074</v>
      </c>
      <c r="K203" s="28">
        <v>45863.464583333334</v>
      </c>
      <c r="L203" s="8" t="s">
        <v>33</v>
      </c>
      <c r="M203" s="8" t="s">
        <v>34</v>
      </c>
      <c r="N203" s="29">
        <v>0</v>
      </c>
      <c r="O203" s="29">
        <v>1</v>
      </c>
      <c r="P203" s="8" t="s">
        <v>35</v>
      </c>
      <c r="Q203" s="8" t="s">
        <v>36</v>
      </c>
      <c r="R203" s="8" t="s">
        <v>190</v>
      </c>
      <c r="S203" s="8" t="s">
        <v>38</v>
      </c>
      <c r="V203" s="26" t="str">
        <f>VLOOKUP(MID(Table1[[#This Row],[Nodo]],1,12),Tabla2[#Data],2,FALSE)</f>
        <v>HORNO</v>
      </c>
      <c r="W203" s="26" t="str">
        <f t="shared" si="4"/>
        <v>ELE</v>
      </c>
      <c r="X203" s="26" t="e">
        <f>VLOOKUP(MID([1]!Table1[[#This Row],[Nodo]],1,7),[1]!Tabla5[#Data],2,FALSE)</f>
        <v>#N/A</v>
      </c>
    </row>
    <row r="204" spans="1:24" x14ac:dyDescent="0.3">
      <c r="A204" s="8" t="s">
        <v>24</v>
      </c>
      <c r="B204" s="8" t="s">
        <v>25</v>
      </c>
      <c r="C204" s="8" t="s">
        <v>26</v>
      </c>
      <c r="D204" s="8" t="s">
        <v>185</v>
      </c>
      <c r="E204" s="8" t="s">
        <v>186</v>
      </c>
      <c r="F204" s="8" t="s">
        <v>199</v>
      </c>
      <c r="G204" s="8" t="s">
        <v>187</v>
      </c>
      <c r="H204" s="8" t="s">
        <v>188</v>
      </c>
      <c r="I204" s="8" t="s">
        <v>189</v>
      </c>
      <c r="J204" s="28">
        <v>45695.43105324074</v>
      </c>
      <c r="K204" s="28">
        <v>45863.464583333334</v>
      </c>
      <c r="L204" s="8" t="s">
        <v>33</v>
      </c>
      <c r="M204" s="8" t="s">
        <v>34</v>
      </c>
      <c r="N204" s="29">
        <v>0</v>
      </c>
      <c r="O204" s="29">
        <v>1</v>
      </c>
      <c r="P204" s="8" t="s">
        <v>35</v>
      </c>
      <c r="Q204" s="8" t="s">
        <v>36</v>
      </c>
      <c r="R204" s="8" t="s">
        <v>190</v>
      </c>
      <c r="S204" s="8" t="s">
        <v>38</v>
      </c>
      <c r="V204" s="26" t="str">
        <f>VLOOKUP(MID(Table1[[#This Row],[Nodo]],1,12),Tabla2[#Data],2,FALSE)</f>
        <v>HORNO</v>
      </c>
      <c r="W204" s="26" t="str">
        <f t="shared" si="4"/>
        <v>ELE</v>
      </c>
      <c r="X204" s="26" t="e">
        <f>VLOOKUP(MID([1]!Table1[[#This Row],[Nodo]],1,7),[1]!Tabla5[#Data],2,FALSE)</f>
        <v>#N/A</v>
      </c>
    </row>
    <row r="205" spans="1:24" x14ac:dyDescent="0.3">
      <c r="A205" s="8" t="s">
        <v>24</v>
      </c>
      <c r="B205" s="8" t="s">
        <v>25</v>
      </c>
      <c r="C205" s="8" t="s">
        <v>26</v>
      </c>
      <c r="D205" s="8" t="s">
        <v>185</v>
      </c>
      <c r="E205" s="8" t="s">
        <v>186</v>
      </c>
      <c r="F205" s="8" t="s">
        <v>200</v>
      </c>
      <c r="G205" s="8" t="s">
        <v>187</v>
      </c>
      <c r="H205" s="8" t="s">
        <v>188</v>
      </c>
      <c r="I205" s="8" t="s">
        <v>189</v>
      </c>
      <c r="J205" s="28">
        <v>45695.43105324074</v>
      </c>
      <c r="K205" s="28">
        <v>45863.464583333334</v>
      </c>
      <c r="L205" s="8" t="s">
        <v>33</v>
      </c>
      <c r="M205" s="8" t="s">
        <v>34</v>
      </c>
      <c r="N205" s="29">
        <v>0</v>
      </c>
      <c r="O205" s="29">
        <v>1</v>
      </c>
      <c r="P205" s="8" t="s">
        <v>35</v>
      </c>
      <c r="Q205" s="8" t="s">
        <v>36</v>
      </c>
      <c r="R205" s="8" t="s">
        <v>190</v>
      </c>
      <c r="S205" s="8" t="s">
        <v>38</v>
      </c>
      <c r="V205" s="26" t="str">
        <f>VLOOKUP(MID(Table1[[#This Row],[Nodo]],1,12),Tabla2[#Data],2,FALSE)</f>
        <v>HORNO</v>
      </c>
      <c r="W205" s="26" t="str">
        <f t="shared" si="4"/>
        <v>ELE</v>
      </c>
      <c r="X205" s="26" t="e">
        <f>VLOOKUP(MID([1]!Table1[[#This Row],[Nodo]],1,7),[1]!Tabla5[#Data],2,FALSE)</f>
        <v>#N/A</v>
      </c>
    </row>
    <row r="206" spans="1:24" x14ac:dyDescent="0.3">
      <c r="A206" s="8" t="s">
        <v>24</v>
      </c>
      <c r="B206" s="8" t="s">
        <v>25</v>
      </c>
      <c r="C206" s="8" t="s">
        <v>26</v>
      </c>
      <c r="D206" s="8" t="s">
        <v>185</v>
      </c>
      <c r="E206" s="8" t="s">
        <v>186</v>
      </c>
      <c r="F206" s="8" t="s">
        <v>201</v>
      </c>
      <c r="G206" s="8" t="s">
        <v>187</v>
      </c>
      <c r="H206" s="8" t="s">
        <v>188</v>
      </c>
      <c r="I206" s="8" t="s">
        <v>189</v>
      </c>
      <c r="J206" s="28">
        <v>45695.43105324074</v>
      </c>
      <c r="K206" s="28">
        <v>45863.464583333334</v>
      </c>
      <c r="L206" s="8" t="s">
        <v>33</v>
      </c>
      <c r="M206" s="8" t="s">
        <v>34</v>
      </c>
      <c r="N206" s="29">
        <v>0</v>
      </c>
      <c r="O206" s="29">
        <v>1</v>
      </c>
      <c r="P206" s="8" t="s">
        <v>35</v>
      </c>
      <c r="Q206" s="8" t="s">
        <v>36</v>
      </c>
      <c r="R206" s="8" t="s">
        <v>190</v>
      </c>
      <c r="S206" s="8" t="s">
        <v>38</v>
      </c>
      <c r="V206" s="26" t="str">
        <f>VLOOKUP(MID(Table1[[#This Row],[Nodo]],1,12),Tabla2[#Data],2,FALSE)</f>
        <v>HORNO</v>
      </c>
      <c r="W206" s="26" t="str">
        <f t="shared" si="4"/>
        <v>ELE</v>
      </c>
      <c r="X206" s="26" t="e">
        <f>VLOOKUP(MID([1]!Table1[[#This Row],[Nodo]],1,7),[1]!Tabla5[#Data],2,FALSE)</f>
        <v>#N/A</v>
      </c>
    </row>
    <row r="207" spans="1:24" x14ac:dyDescent="0.3">
      <c r="A207" s="8" t="s">
        <v>24</v>
      </c>
      <c r="B207" s="8" t="s">
        <v>25</v>
      </c>
      <c r="C207" s="8" t="s">
        <v>26</v>
      </c>
      <c r="D207" s="8" t="s">
        <v>185</v>
      </c>
      <c r="E207" s="8" t="s">
        <v>186</v>
      </c>
      <c r="F207" s="8" t="s">
        <v>202</v>
      </c>
      <c r="G207" s="8" t="s">
        <v>187</v>
      </c>
      <c r="H207" s="8" t="s">
        <v>188</v>
      </c>
      <c r="I207" s="8" t="s">
        <v>189</v>
      </c>
      <c r="J207" s="28">
        <v>45695.43105324074</v>
      </c>
      <c r="K207" s="28">
        <v>45863.464583333334</v>
      </c>
      <c r="L207" s="8" t="s">
        <v>33</v>
      </c>
      <c r="M207" s="8" t="s">
        <v>34</v>
      </c>
      <c r="N207" s="29">
        <v>0</v>
      </c>
      <c r="O207" s="29">
        <v>1</v>
      </c>
      <c r="P207" s="8" t="s">
        <v>35</v>
      </c>
      <c r="Q207" s="8" t="s">
        <v>36</v>
      </c>
      <c r="R207" s="8" t="s">
        <v>190</v>
      </c>
      <c r="S207" s="8" t="s">
        <v>38</v>
      </c>
      <c r="V207" s="26" t="str">
        <f>VLOOKUP(MID(Table1[[#This Row],[Nodo]],1,12),Tabla2[#Data],2,FALSE)</f>
        <v>HORNO</v>
      </c>
      <c r="W207" s="26" t="str">
        <f t="shared" si="4"/>
        <v>ELE</v>
      </c>
      <c r="X207" s="26" t="e">
        <f>VLOOKUP(MID([1]!Table1[[#This Row],[Nodo]],1,7),[1]!Tabla5[#Data],2,FALSE)</f>
        <v>#N/A</v>
      </c>
    </row>
    <row r="208" spans="1:24" x14ac:dyDescent="0.3">
      <c r="A208" s="8" t="s">
        <v>24</v>
      </c>
      <c r="B208" s="8" t="s">
        <v>25</v>
      </c>
      <c r="C208" s="8" t="s">
        <v>26</v>
      </c>
      <c r="D208" s="8" t="s">
        <v>185</v>
      </c>
      <c r="E208" s="8" t="s">
        <v>186</v>
      </c>
      <c r="F208" s="8" t="s">
        <v>203</v>
      </c>
      <c r="G208" s="8" t="s">
        <v>187</v>
      </c>
      <c r="H208" s="8" t="s">
        <v>188</v>
      </c>
      <c r="I208" s="8" t="s">
        <v>189</v>
      </c>
      <c r="J208" s="28">
        <v>45695.43105324074</v>
      </c>
      <c r="K208" s="28">
        <v>45863.464583333334</v>
      </c>
      <c r="L208" s="8" t="s">
        <v>33</v>
      </c>
      <c r="M208" s="8" t="s">
        <v>34</v>
      </c>
      <c r="N208" s="29">
        <v>0</v>
      </c>
      <c r="O208" s="29">
        <v>1</v>
      </c>
      <c r="P208" s="8" t="s">
        <v>35</v>
      </c>
      <c r="Q208" s="8" t="s">
        <v>36</v>
      </c>
      <c r="R208" s="8" t="s">
        <v>190</v>
      </c>
      <c r="S208" s="8" t="s">
        <v>38</v>
      </c>
      <c r="V208" s="26" t="str">
        <f>VLOOKUP(MID(Table1[[#This Row],[Nodo]],1,12),Tabla2[#Data],2,FALSE)</f>
        <v>HORNO</v>
      </c>
      <c r="W208" s="26" t="str">
        <f t="shared" si="4"/>
        <v>ELE</v>
      </c>
      <c r="X208" s="26" t="e">
        <f>VLOOKUP(MID([1]!Table1[[#This Row],[Nodo]],1,7),[1]!Tabla5[#Data],2,FALSE)</f>
        <v>#N/A</v>
      </c>
    </row>
    <row r="209" spans="1:24" x14ac:dyDescent="0.3">
      <c r="A209" s="8" t="s">
        <v>24</v>
      </c>
      <c r="B209" s="8" t="s">
        <v>25</v>
      </c>
      <c r="C209" s="8" t="s">
        <v>26</v>
      </c>
      <c r="D209" s="8" t="s">
        <v>204</v>
      </c>
      <c r="E209" s="8" t="s">
        <v>205</v>
      </c>
      <c r="F209" s="8" t="s">
        <v>206</v>
      </c>
      <c r="G209" s="8" t="s">
        <v>207</v>
      </c>
      <c r="H209" s="8" t="s">
        <v>208</v>
      </c>
      <c r="I209" s="8" t="s">
        <v>209</v>
      </c>
      <c r="J209" s="28">
        <v>45695.431064814817</v>
      </c>
      <c r="K209" s="28">
        <v>45863.464583333334</v>
      </c>
      <c r="L209" s="8" t="s">
        <v>33</v>
      </c>
      <c r="M209" s="8" t="s">
        <v>34</v>
      </c>
      <c r="N209" s="29">
        <v>0</v>
      </c>
      <c r="O209" s="29">
        <v>1</v>
      </c>
      <c r="P209" s="8" t="s">
        <v>35</v>
      </c>
      <c r="Q209" s="8" t="s">
        <v>36</v>
      </c>
      <c r="R209" s="8" t="s">
        <v>210</v>
      </c>
      <c r="S209" s="8" t="s">
        <v>38</v>
      </c>
      <c r="V209" s="26" t="str">
        <f>VLOOKUP(MID(Table1[[#This Row],[Nodo]],1,12),Tabla2[#Data],2,FALSE)</f>
        <v>SELLADORA PEDAL MECÁNICA</v>
      </c>
      <c r="W209" s="26" t="str">
        <f t="shared" si="4"/>
        <v>ELE</v>
      </c>
      <c r="X209" s="26" t="e">
        <f>VLOOKUP(MID([1]!Table1[[#This Row],[Nodo]],1,7),[1]!Tabla5[#Data],2,FALSE)</f>
        <v>#N/A</v>
      </c>
    </row>
    <row r="210" spans="1:24" x14ac:dyDescent="0.3">
      <c r="A210" s="8" t="s">
        <v>24</v>
      </c>
      <c r="B210" s="8" t="s">
        <v>25</v>
      </c>
      <c r="C210" s="8" t="s">
        <v>26</v>
      </c>
      <c r="D210" s="8" t="s">
        <v>204</v>
      </c>
      <c r="E210" s="8" t="s">
        <v>205</v>
      </c>
      <c r="F210" s="8" t="s">
        <v>211</v>
      </c>
      <c r="G210" s="8" t="s">
        <v>207</v>
      </c>
      <c r="H210" s="8" t="s">
        <v>208</v>
      </c>
      <c r="I210" s="8" t="s">
        <v>209</v>
      </c>
      <c r="J210" s="28">
        <v>45695.431064814817</v>
      </c>
      <c r="K210" s="28">
        <v>45863.464583333334</v>
      </c>
      <c r="L210" s="8" t="s">
        <v>33</v>
      </c>
      <c r="M210" s="8" t="s">
        <v>34</v>
      </c>
      <c r="N210" s="29">
        <v>0</v>
      </c>
      <c r="O210" s="29">
        <v>1</v>
      </c>
      <c r="P210" s="8" t="s">
        <v>35</v>
      </c>
      <c r="Q210" s="8" t="s">
        <v>36</v>
      </c>
      <c r="R210" s="8" t="s">
        <v>210</v>
      </c>
      <c r="S210" s="8" t="s">
        <v>38</v>
      </c>
      <c r="V210" s="26" t="str">
        <f>VLOOKUP(MID(Table1[[#This Row],[Nodo]],1,12),Tabla2[#Data],2,FALSE)</f>
        <v>SELLADORA PEDAL MECÁNICA</v>
      </c>
      <c r="W210" s="26" t="str">
        <f t="shared" si="4"/>
        <v>ELE</v>
      </c>
      <c r="X210" s="26" t="e">
        <f>VLOOKUP(MID([1]!Table1[[#This Row],[Nodo]],1,7),[1]!Tabla5[#Data],2,FALSE)</f>
        <v>#N/A</v>
      </c>
    </row>
    <row r="211" spans="1:24" x14ac:dyDescent="0.3">
      <c r="A211" s="8" t="s">
        <v>24</v>
      </c>
      <c r="B211" s="8" t="s">
        <v>25</v>
      </c>
      <c r="C211" s="8" t="s">
        <v>26</v>
      </c>
      <c r="D211" s="8" t="s">
        <v>204</v>
      </c>
      <c r="E211" s="8" t="s">
        <v>205</v>
      </c>
      <c r="F211" s="8" t="s">
        <v>212</v>
      </c>
      <c r="G211" s="8" t="s">
        <v>207</v>
      </c>
      <c r="H211" s="8" t="s">
        <v>208</v>
      </c>
      <c r="I211" s="8" t="s">
        <v>209</v>
      </c>
      <c r="J211" s="28">
        <v>45695.431064814817</v>
      </c>
      <c r="K211" s="28">
        <v>45863.464583333334</v>
      </c>
      <c r="L211" s="8" t="s">
        <v>33</v>
      </c>
      <c r="M211" s="8" t="s">
        <v>34</v>
      </c>
      <c r="N211" s="29">
        <v>0</v>
      </c>
      <c r="O211" s="29">
        <v>1</v>
      </c>
      <c r="P211" s="8" t="s">
        <v>35</v>
      </c>
      <c r="Q211" s="8" t="s">
        <v>36</v>
      </c>
      <c r="R211" s="8" t="s">
        <v>210</v>
      </c>
      <c r="S211" s="8" t="s">
        <v>38</v>
      </c>
      <c r="V211" s="26" t="str">
        <f>VLOOKUP(MID(Table1[[#This Row],[Nodo]],1,12),Tabla2[#Data],2,FALSE)</f>
        <v>SELLADORA PEDAL MECÁNICA</v>
      </c>
      <c r="W211" s="26" t="str">
        <f t="shared" si="4"/>
        <v>ELE</v>
      </c>
      <c r="X211" s="26" t="e">
        <f>VLOOKUP(MID([1]!Table1[[#This Row],[Nodo]],1,7),[1]!Tabla5[#Data],2,FALSE)</f>
        <v>#N/A</v>
      </c>
    </row>
    <row r="212" spans="1:24" x14ac:dyDescent="0.3">
      <c r="A212" s="8" t="s">
        <v>24</v>
      </c>
      <c r="B212" s="8" t="s">
        <v>25</v>
      </c>
      <c r="C212" s="8" t="s">
        <v>26</v>
      </c>
      <c r="D212" s="8" t="s">
        <v>204</v>
      </c>
      <c r="E212" s="8" t="s">
        <v>205</v>
      </c>
      <c r="F212" s="8" t="s">
        <v>213</v>
      </c>
      <c r="G212" s="8" t="s">
        <v>207</v>
      </c>
      <c r="H212" s="8" t="s">
        <v>208</v>
      </c>
      <c r="I212" s="8" t="s">
        <v>209</v>
      </c>
      <c r="J212" s="28">
        <v>45695.431064814817</v>
      </c>
      <c r="K212" s="28">
        <v>45863.464583333334</v>
      </c>
      <c r="L212" s="8" t="s">
        <v>33</v>
      </c>
      <c r="M212" s="8" t="s">
        <v>34</v>
      </c>
      <c r="N212" s="29">
        <v>0</v>
      </c>
      <c r="O212" s="29">
        <v>1</v>
      </c>
      <c r="P212" s="8" t="s">
        <v>35</v>
      </c>
      <c r="Q212" s="8" t="s">
        <v>36</v>
      </c>
      <c r="R212" s="8" t="s">
        <v>210</v>
      </c>
      <c r="S212" s="8" t="s">
        <v>38</v>
      </c>
      <c r="V212" s="26" t="str">
        <f>VLOOKUP(MID(Table1[[#This Row],[Nodo]],1,12),Tabla2[#Data],2,FALSE)</f>
        <v>SELLADORA PEDAL MECÁNICA</v>
      </c>
      <c r="W212" s="26" t="str">
        <f t="shared" si="4"/>
        <v>ELE</v>
      </c>
      <c r="X212" s="26" t="e">
        <f>VLOOKUP(MID([1]!Table1[[#This Row],[Nodo]],1,7),[1]!Tabla5[#Data],2,FALSE)</f>
        <v>#N/A</v>
      </c>
    </row>
    <row r="213" spans="1:24" x14ac:dyDescent="0.3">
      <c r="A213" s="8" t="s">
        <v>24</v>
      </c>
      <c r="B213" s="8" t="s">
        <v>25</v>
      </c>
      <c r="C213" s="8" t="s">
        <v>26</v>
      </c>
      <c r="D213" s="8" t="s">
        <v>204</v>
      </c>
      <c r="E213" s="8" t="s">
        <v>205</v>
      </c>
      <c r="F213" s="8" t="s">
        <v>214</v>
      </c>
      <c r="G213" s="8" t="s">
        <v>207</v>
      </c>
      <c r="H213" s="8" t="s">
        <v>208</v>
      </c>
      <c r="I213" s="8" t="s">
        <v>209</v>
      </c>
      <c r="J213" s="28">
        <v>45695.431064814817</v>
      </c>
      <c r="K213" s="28">
        <v>45863.464583333334</v>
      </c>
      <c r="L213" s="8" t="s">
        <v>33</v>
      </c>
      <c r="M213" s="8" t="s">
        <v>34</v>
      </c>
      <c r="N213" s="29">
        <v>0</v>
      </c>
      <c r="O213" s="29">
        <v>1</v>
      </c>
      <c r="P213" s="8" t="s">
        <v>35</v>
      </c>
      <c r="Q213" s="8" t="s">
        <v>36</v>
      </c>
      <c r="R213" s="8" t="s">
        <v>210</v>
      </c>
      <c r="S213" s="8" t="s">
        <v>38</v>
      </c>
      <c r="V213" s="26" t="str">
        <f>VLOOKUP(MID(Table1[[#This Row],[Nodo]],1,12),Tabla2[#Data],2,FALSE)</f>
        <v>SELLADORA PEDAL MECÁNICA</v>
      </c>
      <c r="W213" s="26" t="str">
        <f t="shared" si="4"/>
        <v>ELE</v>
      </c>
      <c r="X213" s="26" t="e">
        <f>VLOOKUP(MID([1]!Table1[[#This Row],[Nodo]],1,7),[1]!Tabla5[#Data],2,FALSE)</f>
        <v>#N/A</v>
      </c>
    </row>
    <row r="214" spans="1:24" x14ac:dyDescent="0.3">
      <c r="A214" s="8" t="s">
        <v>24</v>
      </c>
      <c r="B214" s="8" t="s">
        <v>25</v>
      </c>
      <c r="C214" s="8" t="s">
        <v>26</v>
      </c>
      <c r="D214" s="8" t="s">
        <v>204</v>
      </c>
      <c r="E214" s="8" t="s">
        <v>205</v>
      </c>
      <c r="F214" s="8" t="s">
        <v>215</v>
      </c>
      <c r="G214" s="8" t="s">
        <v>207</v>
      </c>
      <c r="H214" s="8" t="s">
        <v>208</v>
      </c>
      <c r="I214" s="8" t="s">
        <v>209</v>
      </c>
      <c r="J214" s="28">
        <v>45695.431064814817</v>
      </c>
      <c r="K214" s="28">
        <v>45863.464583333334</v>
      </c>
      <c r="L214" s="8" t="s">
        <v>33</v>
      </c>
      <c r="M214" s="8" t="s">
        <v>34</v>
      </c>
      <c r="N214" s="29">
        <v>0</v>
      </c>
      <c r="O214" s="29">
        <v>1</v>
      </c>
      <c r="P214" s="8" t="s">
        <v>35</v>
      </c>
      <c r="Q214" s="8" t="s">
        <v>36</v>
      </c>
      <c r="R214" s="8" t="s">
        <v>210</v>
      </c>
      <c r="S214" s="8" t="s">
        <v>38</v>
      </c>
      <c r="V214" s="26" t="str">
        <f>VLOOKUP(MID(Table1[[#This Row],[Nodo]],1,12),Tabla2[#Data],2,FALSE)</f>
        <v>SELLADORA PEDAL MECÁNICA</v>
      </c>
      <c r="W214" s="26" t="str">
        <f t="shared" si="4"/>
        <v>ELE</v>
      </c>
      <c r="X214" s="26" t="e">
        <f>VLOOKUP(MID([1]!Table1[[#This Row],[Nodo]],1,7),[1]!Tabla5[#Data],2,FALSE)</f>
        <v>#N/A</v>
      </c>
    </row>
    <row r="215" spans="1:24" x14ac:dyDescent="0.3">
      <c r="A215" s="8" t="s">
        <v>24</v>
      </c>
      <c r="B215" s="8" t="s">
        <v>25</v>
      </c>
      <c r="C215" s="8" t="s">
        <v>26</v>
      </c>
      <c r="D215" s="8" t="s">
        <v>216</v>
      </c>
      <c r="E215" s="8" t="s">
        <v>217</v>
      </c>
      <c r="F215" s="8" t="s">
        <v>218</v>
      </c>
      <c r="G215" s="8" t="s">
        <v>175</v>
      </c>
      <c r="H215" s="8" t="s">
        <v>176</v>
      </c>
      <c r="I215" s="8" t="s">
        <v>177</v>
      </c>
      <c r="J215" s="28">
        <v>45695.43105324074</v>
      </c>
      <c r="K215" s="28">
        <v>45863.464583333334</v>
      </c>
      <c r="L215" s="8" t="s">
        <v>33</v>
      </c>
      <c r="M215" s="8" t="s">
        <v>34</v>
      </c>
      <c r="N215" s="29">
        <v>0</v>
      </c>
      <c r="O215" s="29">
        <v>1</v>
      </c>
      <c r="P215" s="8" t="s">
        <v>35</v>
      </c>
      <c r="Q215" s="8" t="s">
        <v>36</v>
      </c>
      <c r="R215" s="8" t="s">
        <v>219</v>
      </c>
      <c r="S215" s="8" t="s">
        <v>38</v>
      </c>
      <c r="V215" s="26" t="str">
        <f>VLOOKUP(MID(Table1[[#This Row],[Nodo]],1,12),Tabla2[#Data],2,FALSE)</f>
        <v>PRECALENTADOR</v>
      </c>
      <c r="W215" s="26" t="str">
        <f t="shared" si="4"/>
        <v>ELE</v>
      </c>
      <c r="X215" s="26" t="e">
        <f>VLOOKUP(MID([1]!Table1[[#This Row],[Nodo]],1,7),[1]!Tabla5[#Data],2,FALSE)</f>
        <v>#N/A</v>
      </c>
    </row>
    <row r="216" spans="1:24" x14ac:dyDescent="0.3">
      <c r="A216" s="8" t="s">
        <v>24</v>
      </c>
      <c r="B216" s="8" t="s">
        <v>25</v>
      </c>
      <c r="C216" s="8" t="s">
        <v>26</v>
      </c>
      <c r="D216" s="8" t="s">
        <v>216</v>
      </c>
      <c r="E216" s="8" t="s">
        <v>217</v>
      </c>
      <c r="F216" s="8" t="s">
        <v>220</v>
      </c>
      <c r="G216" s="8" t="s">
        <v>175</v>
      </c>
      <c r="H216" s="8" t="s">
        <v>176</v>
      </c>
      <c r="I216" s="8" t="s">
        <v>177</v>
      </c>
      <c r="J216" s="28">
        <v>45695.43105324074</v>
      </c>
      <c r="K216" s="28">
        <v>45863.464583333334</v>
      </c>
      <c r="L216" s="8" t="s">
        <v>33</v>
      </c>
      <c r="M216" s="8" t="s">
        <v>34</v>
      </c>
      <c r="N216" s="29">
        <v>0</v>
      </c>
      <c r="O216" s="29">
        <v>1</v>
      </c>
      <c r="P216" s="8" t="s">
        <v>35</v>
      </c>
      <c r="Q216" s="8" t="s">
        <v>36</v>
      </c>
      <c r="R216" s="8" t="s">
        <v>219</v>
      </c>
      <c r="S216" s="8" t="s">
        <v>38</v>
      </c>
      <c r="V216" s="26" t="str">
        <f>VLOOKUP(MID(Table1[[#This Row],[Nodo]],1,12),Tabla2[#Data],2,FALSE)</f>
        <v>PRECALENTADOR</v>
      </c>
      <c r="W216" s="26" t="str">
        <f t="shared" si="4"/>
        <v>ELE</v>
      </c>
      <c r="X216" s="26" t="e">
        <f>VLOOKUP(MID([1]!Table1[[#This Row],[Nodo]],1,7),[1]!Tabla5[#Data],2,FALSE)</f>
        <v>#N/A</v>
      </c>
    </row>
    <row r="217" spans="1:24" x14ac:dyDescent="0.3">
      <c r="A217" s="8" t="s">
        <v>24</v>
      </c>
      <c r="B217" s="8" t="s">
        <v>25</v>
      </c>
      <c r="C217" s="8" t="s">
        <v>26</v>
      </c>
      <c r="D217" s="8" t="s">
        <v>216</v>
      </c>
      <c r="E217" s="8" t="s">
        <v>217</v>
      </c>
      <c r="F217" s="8" t="s">
        <v>221</v>
      </c>
      <c r="G217" s="8" t="s">
        <v>175</v>
      </c>
      <c r="H217" s="8" t="s">
        <v>176</v>
      </c>
      <c r="I217" s="8" t="s">
        <v>177</v>
      </c>
      <c r="J217" s="28">
        <v>45695.43105324074</v>
      </c>
      <c r="K217" s="28">
        <v>45863.464583333334</v>
      </c>
      <c r="L217" s="8" t="s">
        <v>33</v>
      </c>
      <c r="M217" s="8" t="s">
        <v>34</v>
      </c>
      <c r="N217" s="29">
        <v>0</v>
      </c>
      <c r="O217" s="29">
        <v>1</v>
      </c>
      <c r="P217" s="8" t="s">
        <v>35</v>
      </c>
      <c r="Q217" s="8" t="s">
        <v>36</v>
      </c>
      <c r="R217" s="8" t="s">
        <v>219</v>
      </c>
      <c r="S217" s="8" t="s">
        <v>38</v>
      </c>
      <c r="V217" s="26" t="str">
        <f>VLOOKUP(MID(Table1[[#This Row],[Nodo]],1,12),Tabla2[#Data],2,FALSE)</f>
        <v>PRECALENTADOR</v>
      </c>
      <c r="W217" s="26" t="str">
        <f t="shared" si="4"/>
        <v>ELE</v>
      </c>
      <c r="X217" s="26" t="e">
        <f>VLOOKUP(MID([1]!Table1[[#This Row],[Nodo]],1,7),[1]!Tabla5[#Data],2,FALSE)</f>
        <v>#N/A</v>
      </c>
    </row>
    <row r="218" spans="1:24" x14ac:dyDescent="0.3">
      <c r="A218" s="8" t="s">
        <v>24</v>
      </c>
      <c r="B218" s="8" t="s">
        <v>25</v>
      </c>
      <c r="C218" s="8" t="s">
        <v>26</v>
      </c>
      <c r="D218" s="8" t="s">
        <v>216</v>
      </c>
      <c r="E218" s="8" t="s">
        <v>217</v>
      </c>
      <c r="F218" s="8" t="s">
        <v>218</v>
      </c>
      <c r="G218" s="8" t="s">
        <v>182</v>
      </c>
      <c r="H218" s="8" t="s">
        <v>183</v>
      </c>
      <c r="I218" s="8" t="s">
        <v>184</v>
      </c>
      <c r="J218" s="28">
        <v>45695.431076388886</v>
      </c>
      <c r="K218" s="28">
        <v>45863.464583333334</v>
      </c>
      <c r="L218" s="8" t="s">
        <v>33</v>
      </c>
      <c r="M218" s="8" t="s">
        <v>34</v>
      </c>
      <c r="N218" s="29">
        <v>0</v>
      </c>
      <c r="O218" s="29">
        <v>1</v>
      </c>
      <c r="P218" s="8" t="s">
        <v>35</v>
      </c>
      <c r="Q218" s="8" t="s">
        <v>36</v>
      </c>
      <c r="R218" s="8" t="s">
        <v>219</v>
      </c>
      <c r="S218" s="8" t="s">
        <v>38</v>
      </c>
      <c r="V218" s="26" t="str">
        <f>VLOOKUP(MID(Table1[[#This Row],[Nodo]],1,12),Tabla2[#Data],2,FALSE)</f>
        <v>TABLERO DE CONTROL PRINCIPAL</v>
      </c>
      <c r="W218" s="26" t="str">
        <f t="shared" si="4"/>
        <v>ELE</v>
      </c>
      <c r="X218" s="26" t="e">
        <f>VLOOKUP(MID([1]!Table1[[#This Row],[Nodo]],1,7),[1]!Tabla5[#Data],2,FALSE)</f>
        <v>#N/A</v>
      </c>
    </row>
    <row r="219" spans="1:24" x14ac:dyDescent="0.3">
      <c r="A219" s="8" t="s">
        <v>24</v>
      </c>
      <c r="B219" s="8" t="s">
        <v>25</v>
      </c>
      <c r="C219" s="8" t="s">
        <v>26</v>
      </c>
      <c r="D219" s="8" t="s">
        <v>216</v>
      </c>
      <c r="E219" s="8" t="s">
        <v>217</v>
      </c>
      <c r="F219" s="8" t="s">
        <v>220</v>
      </c>
      <c r="G219" s="8" t="s">
        <v>182</v>
      </c>
      <c r="H219" s="8" t="s">
        <v>183</v>
      </c>
      <c r="I219" s="8" t="s">
        <v>184</v>
      </c>
      <c r="J219" s="28">
        <v>45695.431076388886</v>
      </c>
      <c r="K219" s="28">
        <v>45863.464583333334</v>
      </c>
      <c r="L219" s="8" t="s">
        <v>33</v>
      </c>
      <c r="M219" s="8" t="s">
        <v>34</v>
      </c>
      <c r="N219" s="29">
        <v>0</v>
      </c>
      <c r="O219" s="29">
        <v>1</v>
      </c>
      <c r="P219" s="8" t="s">
        <v>35</v>
      </c>
      <c r="Q219" s="8" t="s">
        <v>36</v>
      </c>
      <c r="R219" s="8" t="s">
        <v>219</v>
      </c>
      <c r="S219" s="8" t="s">
        <v>38</v>
      </c>
      <c r="V219" s="26" t="str">
        <f>VLOOKUP(MID(Table1[[#This Row],[Nodo]],1,12),Tabla2[#Data],2,FALSE)</f>
        <v>TABLERO DE CONTROL PRINCIPAL</v>
      </c>
      <c r="W219" s="26" t="str">
        <f t="shared" si="4"/>
        <v>ELE</v>
      </c>
      <c r="X219" s="26" t="e">
        <f>VLOOKUP(MID([1]!Table1[[#This Row],[Nodo]],1,7),[1]!Tabla5[#Data],2,FALSE)</f>
        <v>#N/A</v>
      </c>
    </row>
    <row r="220" spans="1:24" x14ac:dyDescent="0.3">
      <c r="A220" s="8" t="s">
        <v>24</v>
      </c>
      <c r="B220" s="8" t="s">
        <v>25</v>
      </c>
      <c r="C220" s="8" t="s">
        <v>26</v>
      </c>
      <c r="D220" s="8" t="s">
        <v>216</v>
      </c>
      <c r="E220" s="8" t="s">
        <v>217</v>
      </c>
      <c r="F220" s="8" t="s">
        <v>221</v>
      </c>
      <c r="G220" s="8" t="s">
        <v>182</v>
      </c>
      <c r="H220" s="8" t="s">
        <v>183</v>
      </c>
      <c r="I220" s="8" t="s">
        <v>184</v>
      </c>
      <c r="J220" s="28">
        <v>45695.431076388886</v>
      </c>
      <c r="K220" s="28">
        <v>45863.464583333334</v>
      </c>
      <c r="L220" s="8" t="s">
        <v>33</v>
      </c>
      <c r="M220" s="8" t="s">
        <v>34</v>
      </c>
      <c r="N220" s="29">
        <v>0</v>
      </c>
      <c r="O220" s="29">
        <v>1</v>
      </c>
      <c r="P220" s="8" t="s">
        <v>35</v>
      </c>
      <c r="Q220" s="8" t="s">
        <v>36</v>
      </c>
      <c r="R220" s="8" t="s">
        <v>219</v>
      </c>
      <c r="S220" s="8" t="s">
        <v>38</v>
      </c>
      <c r="V220" s="26" t="str">
        <f>VLOOKUP(MID(Table1[[#This Row],[Nodo]],1,12),Tabla2[#Data],2,FALSE)</f>
        <v>TABLERO DE CONTROL PRINCIPAL</v>
      </c>
      <c r="W220" s="26" t="str">
        <f t="shared" si="4"/>
        <v>ELE</v>
      </c>
      <c r="X220" s="26" t="e">
        <f>VLOOKUP(MID([1]!Table1[[#This Row],[Nodo]],1,7),[1]!Tabla5[#Data],2,FALSE)</f>
        <v>#N/A</v>
      </c>
    </row>
    <row r="221" spans="1:24" x14ac:dyDescent="0.3">
      <c r="A221" s="8" t="s">
        <v>24</v>
      </c>
      <c r="B221" s="8" t="s">
        <v>25</v>
      </c>
      <c r="C221" s="8" t="s">
        <v>26</v>
      </c>
      <c r="D221" s="8" t="s">
        <v>222</v>
      </c>
      <c r="E221" s="8" t="s">
        <v>223</v>
      </c>
      <c r="F221" s="8" t="s">
        <v>224</v>
      </c>
      <c r="G221" s="8" t="s">
        <v>225</v>
      </c>
      <c r="H221" s="8" t="s">
        <v>226</v>
      </c>
      <c r="I221" s="8" t="s">
        <v>227</v>
      </c>
      <c r="J221" s="28">
        <v>45695.430972222224</v>
      </c>
      <c r="K221" s="28">
        <v>45863.464583333334</v>
      </c>
      <c r="L221" s="8" t="s">
        <v>33</v>
      </c>
      <c r="M221" s="8" t="s">
        <v>34</v>
      </c>
      <c r="N221" s="29">
        <v>0</v>
      </c>
      <c r="O221" s="29">
        <v>1</v>
      </c>
      <c r="P221" s="8" t="s">
        <v>35</v>
      </c>
      <c r="Q221" s="8" t="s">
        <v>36</v>
      </c>
      <c r="R221" s="8" t="s">
        <v>228</v>
      </c>
      <c r="S221" s="8" t="s">
        <v>38</v>
      </c>
      <c r="V221" s="26" t="str">
        <f>VLOOKUP(MID(Table1[[#This Row],[Nodo]],1,12),Tabla2[#Data],2,FALSE)</f>
        <v>DESEMBOBINADOR</v>
      </c>
      <c r="W221" s="26" t="str">
        <f t="shared" si="4"/>
        <v>ELE</v>
      </c>
      <c r="X221" s="26" t="e">
        <f>VLOOKUP(MID([1]!Table1[[#This Row],[Nodo]],1,7),[1]!Tabla5[#Data],2,FALSE)</f>
        <v>#N/A</v>
      </c>
    </row>
    <row r="222" spans="1:24" x14ac:dyDescent="0.3">
      <c r="A222" s="8" t="s">
        <v>24</v>
      </c>
      <c r="B222" s="8" t="s">
        <v>25</v>
      </c>
      <c r="C222" s="8" t="s">
        <v>26</v>
      </c>
      <c r="D222" s="8" t="s">
        <v>229</v>
      </c>
      <c r="E222" s="8" t="s">
        <v>230</v>
      </c>
      <c r="F222" s="8" t="s">
        <v>231</v>
      </c>
      <c r="G222" s="8" t="s">
        <v>187</v>
      </c>
      <c r="H222" s="8" t="s">
        <v>188</v>
      </c>
      <c r="I222" s="8" t="s">
        <v>189</v>
      </c>
      <c r="J222" s="28">
        <v>45695.43105324074</v>
      </c>
      <c r="K222" s="28">
        <v>45863.464583333334</v>
      </c>
      <c r="L222" s="8" t="s">
        <v>33</v>
      </c>
      <c r="M222" s="8" t="s">
        <v>34</v>
      </c>
      <c r="N222" s="29">
        <v>0</v>
      </c>
      <c r="O222" s="29">
        <v>1</v>
      </c>
      <c r="P222" s="8" t="s">
        <v>35</v>
      </c>
      <c r="Q222" s="8" t="s">
        <v>36</v>
      </c>
      <c r="R222" s="8" t="s">
        <v>232</v>
      </c>
      <c r="S222" s="8" t="s">
        <v>38</v>
      </c>
      <c r="V222" s="26" t="str">
        <f>VLOOKUP(MID(Table1[[#This Row],[Nodo]],1,12),Tabla2[#Data],2,FALSE)</f>
        <v>HORNO</v>
      </c>
      <c r="W222" s="26" t="str">
        <f t="shared" si="4"/>
        <v>ELE</v>
      </c>
      <c r="X222" s="26" t="e">
        <f>VLOOKUP(MID([1]!Table1[[#This Row],[Nodo]],1,7),[1]!Tabla5[#Data],2,FALSE)</f>
        <v>#N/A</v>
      </c>
    </row>
    <row r="223" spans="1:24" x14ac:dyDescent="0.3">
      <c r="A223" s="8" t="s">
        <v>24</v>
      </c>
      <c r="B223" s="8" t="s">
        <v>25</v>
      </c>
      <c r="C223" s="8" t="s">
        <v>26</v>
      </c>
      <c r="D223" s="8" t="s">
        <v>229</v>
      </c>
      <c r="E223" s="8" t="s">
        <v>230</v>
      </c>
      <c r="F223" s="8" t="s">
        <v>233</v>
      </c>
      <c r="G223" s="8" t="s">
        <v>187</v>
      </c>
      <c r="H223" s="8" t="s">
        <v>188</v>
      </c>
      <c r="I223" s="8" t="s">
        <v>189</v>
      </c>
      <c r="J223" s="28">
        <v>45695.43105324074</v>
      </c>
      <c r="K223" s="28">
        <v>45863.464583333334</v>
      </c>
      <c r="L223" s="8" t="s">
        <v>33</v>
      </c>
      <c r="M223" s="8" t="s">
        <v>34</v>
      </c>
      <c r="N223" s="29">
        <v>0</v>
      </c>
      <c r="O223" s="29">
        <v>1</v>
      </c>
      <c r="P223" s="8" t="s">
        <v>35</v>
      </c>
      <c r="Q223" s="8" t="s">
        <v>36</v>
      </c>
      <c r="R223" s="8" t="s">
        <v>232</v>
      </c>
      <c r="S223" s="8" t="s">
        <v>38</v>
      </c>
      <c r="V223" s="26" t="str">
        <f>VLOOKUP(MID(Table1[[#This Row],[Nodo]],1,12),Tabla2[#Data],2,FALSE)</f>
        <v>HORNO</v>
      </c>
      <c r="W223" s="26" t="str">
        <f t="shared" si="4"/>
        <v>ELE</v>
      </c>
      <c r="X223" s="26" t="e">
        <f>VLOOKUP(MID([1]!Table1[[#This Row],[Nodo]],1,7),[1]!Tabla5[#Data],2,FALSE)</f>
        <v>#N/A</v>
      </c>
    </row>
    <row r="224" spans="1:24" x14ac:dyDescent="0.3">
      <c r="A224" s="8" t="s">
        <v>24</v>
      </c>
      <c r="B224" s="8" t="s">
        <v>25</v>
      </c>
      <c r="C224" s="8" t="s">
        <v>26</v>
      </c>
      <c r="D224" s="8" t="s">
        <v>234</v>
      </c>
      <c r="E224" s="8" t="s">
        <v>235</v>
      </c>
      <c r="F224" s="8" t="s">
        <v>236</v>
      </c>
      <c r="G224" s="8" t="s">
        <v>237</v>
      </c>
      <c r="H224" s="8" t="s">
        <v>238</v>
      </c>
      <c r="I224" s="8" t="s">
        <v>239</v>
      </c>
      <c r="J224" s="28">
        <v>45695.431030092594</v>
      </c>
      <c r="K224" s="28">
        <v>45863.464583333334</v>
      </c>
      <c r="L224" s="8" t="s">
        <v>33</v>
      </c>
      <c r="M224" s="8" t="s">
        <v>34</v>
      </c>
      <c r="N224" s="29">
        <v>0</v>
      </c>
      <c r="O224" s="29">
        <v>1</v>
      </c>
      <c r="P224" s="8" t="s">
        <v>35</v>
      </c>
      <c r="Q224" s="8" t="s">
        <v>36</v>
      </c>
      <c r="R224" s="8" t="s">
        <v>240</v>
      </c>
      <c r="S224" s="8" t="s">
        <v>38</v>
      </c>
      <c r="V224" s="26" t="str">
        <f>VLOOKUP(MID(Table1[[#This Row],[Nodo]],1,12),Tabla2[#Data],2,FALSE)</f>
        <v>PRECALENTADOR</v>
      </c>
      <c r="W224" s="26" t="str">
        <f t="shared" si="4"/>
        <v>ELE</v>
      </c>
      <c r="X224" s="26" t="e">
        <f>VLOOKUP(MID([1]!Table1[[#This Row],[Nodo]],1,7),[1]!Tabla5[#Data],2,FALSE)</f>
        <v>#N/A</v>
      </c>
    </row>
    <row r="225" spans="1:24" x14ac:dyDescent="0.3">
      <c r="A225" s="8" t="s">
        <v>24</v>
      </c>
      <c r="B225" s="8" t="s">
        <v>25</v>
      </c>
      <c r="C225" s="8" t="s">
        <v>26</v>
      </c>
      <c r="D225" s="8" t="s">
        <v>234</v>
      </c>
      <c r="E225" s="8" t="s">
        <v>235</v>
      </c>
      <c r="F225" s="8" t="s">
        <v>241</v>
      </c>
      <c r="G225" s="8" t="s">
        <v>237</v>
      </c>
      <c r="H225" s="8" t="s">
        <v>238</v>
      </c>
      <c r="I225" s="8" t="s">
        <v>239</v>
      </c>
      <c r="J225" s="28">
        <v>45695.431030092594</v>
      </c>
      <c r="K225" s="28">
        <v>45863.464583333334</v>
      </c>
      <c r="L225" s="8" t="s">
        <v>33</v>
      </c>
      <c r="M225" s="8" t="s">
        <v>34</v>
      </c>
      <c r="N225" s="29">
        <v>0</v>
      </c>
      <c r="O225" s="29">
        <v>1</v>
      </c>
      <c r="P225" s="8" t="s">
        <v>35</v>
      </c>
      <c r="Q225" s="8" t="s">
        <v>36</v>
      </c>
      <c r="R225" s="8" t="s">
        <v>240</v>
      </c>
      <c r="S225" s="8" t="s">
        <v>38</v>
      </c>
      <c r="V225" s="26" t="str">
        <f>VLOOKUP(MID(Table1[[#This Row],[Nodo]],1,12),Tabla2[#Data],2,FALSE)</f>
        <v>PRECALENTADOR</v>
      </c>
      <c r="W225" s="26" t="str">
        <f t="shared" si="4"/>
        <v>ELE</v>
      </c>
      <c r="X225" s="26" t="e">
        <f>VLOOKUP(MID([1]!Table1[[#This Row],[Nodo]],1,7),[1]!Tabla5[#Data],2,FALSE)</f>
        <v>#N/A</v>
      </c>
    </row>
    <row r="226" spans="1:24" x14ac:dyDescent="0.3">
      <c r="A226" s="8" t="s">
        <v>24</v>
      </c>
      <c r="B226" s="8" t="s">
        <v>25</v>
      </c>
      <c r="C226" s="8" t="s">
        <v>26</v>
      </c>
      <c r="D226" s="8" t="s">
        <v>242</v>
      </c>
      <c r="E226" s="8" t="s">
        <v>243</v>
      </c>
      <c r="F226" s="8" t="s">
        <v>67</v>
      </c>
      <c r="G226" s="8" t="s">
        <v>237</v>
      </c>
      <c r="H226" s="8" t="s">
        <v>238</v>
      </c>
      <c r="I226" s="8" t="s">
        <v>239</v>
      </c>
      <c r="J226" s="28">
        <v>45695.431030092594</v>
      </c>
      <c r="K226" s="28">
        <v>45863.464583333334</v>
      </c>
      <c r="L226" s="8" t="s">
        <v>33</v>
      </c>
      <c r="M226" s="8" t="s">
        <v>34</v>
      </c>
      <c r="N226" s="29">
        <v>0</v>
      </c>
      <c r="O226" s="29">
        <v>1</v>
      </c>
      <c r="P226" s="8" t="s">
        <v>35</v>
      </c>
      <c r="Q226" s="8" t="s">
        <v>36</v>
      </c>
      <c r="R226" s="8" t="s">
        <v>244</v>
      </c>
      <c r="S226" s="8" t="s">
        <v>38</v>
      </c>
      <c r="V226" s="26" t="str">
        <f>VLOOKUP(MID(Table1[[#This Row],[Nodo]],1,12),Tabla2[#Data],2,FALSE)</f>
        <v>PRECALENTADOR</v>
      </c>
      <c r="W226" s="26" t="str">
        <f t="shared" si="4"/>
        <v>ELE</v>
      </c>
      <c r="X226" s="26" t="e">
        <f>VLOOKUP(MID([1]!Table1[[#This Row],[Nodo]],1,7),[1]!Tabla5[#Data],2,FALSE)</f>
        <v>#N/A</v>
      </c>
    </row>
    <row r="227" spans="1:24" x14ac:dyDescent="0.3">
      <c r="A227" s="8" t="s">
        <v>24</v>
      </c>
      <c r="B227" s="8" t="s">
        <v>25</v>
      </c>
      <c r="C227" s="8" t="s">
        <v>26</v>
      </c>
      <c r="D227" s="8" t="s">
        <v>242</v>
      </c>
      <c r="E227" s="8" t="s">
        <v>243</v>
      </c>
      <c r="F227" s="8" t="s">
        <v>191</v>
      </c>
      <c r="G227" s="8" t="s">
        <v>237</v>
      </c>
      <c r="H227" s="8" t="s">
        <v>238</v>
      </c>
      <c r="I227" s="8" t="s">
        <v>239</v>
      </c>
      <c r="J227" s="28">
        <v>45695.431030092594</v>
      </c>
      <c r="K227" s="28">
        <v>45863.464583333334</v>
      </c>
      <c r="L227" s="8" t="s">
        <v>33</v>
      </c>
      <c r="M227" s="8" t="s">
        <v>34</v>
      </c>
      <c r="N227" s="29">
        <v>0</v>
      </c>
      <c r="O227" s="29">
        <v>1</v>
      </c>
      <c r="P227" s="8" t="s">
        <v>35</v>
      </c>
      <c r="Q227" s="8" t="s">
        <v>36</v>
      </c>
      <c r="R227" s="8" t="s">
        <v>244</v>
      </c>
      <c r="S227" s="8" t="s">
        <v>38</v>
      </c>
      <c r="V227" s="26" t="str">
        <f>VLOOKUP(MID(Table1[[#This Row],[Nodo]],1,12),Tabla2[#Data],2,FALSE)</f>
        <v>PRECALENTADOR</v>
      </c>
      <c r="W227" s="26" t="str">
        <f t="shared" si="4"/>
        <v>ELE</v>
      </c>
      <c r="X227" s="26" t="e">
        <f>VLOOKUP(MID([1]!Table1[[#This Row],[Nodo]],1,7),[1]!Tabla5[#Data],2,FALSE)</f>
        <v>#N/A</v>
      </c>
    </row>
    <row r="228" spans="1:24" x14ac:dyDescent="0.3">
      <c r="A228" s="8" t="s">
        <v>24</v>
      </c>
      <c r="B228" s="8" t="s">
        <v>25</v>
      </c>
      <c r="C228" s="8" t="s">
        <v>26</v>
      </c>
      <c r="D228" s="8" t="s">
        <v>242</v>
      </c>
      <c r="E228" s="8" t="s">
        <v>243</v>
      </c>
      <c r="F228" s="8" t="s">
        <v>193</v>
      </c>
      <c r="G228" s="8" t="s">
        <v>237</v>
      </c>
      <c r="H228" s="8" t="s">
        <v>238</v>
      </c>
      <c r="I228" s="8" t="s">
        <v>239</v>
      </c>
      <c r="J228" s="28">
        <v>45695.431030092594</v>
      </c>
      <c r="K228" s="28">
        <v>45863.464583333334</v>
      </c>
      <c r="L228" s="8" t="s">
        <v>33</v>
      </c>
      <c r="M228" s="8" t="s">
        <v>34</v>
      </c>
      <c r="N228" s="29">
        <v>0</v>
      </c>
      <c r="O228" s="29">
        <v>1</v>
      </c>
      <c r="P228" s="8" t="s">
        <v>35</v>
      </c>
      <c r="Q228" s="8" t="s">
        <v>36</v>
      </c>
      <c r="R228" s="8" t="s">
        <v>244</v>
      </c>
      <c r="S228" s="8" t="s">
        <v>38</v>
      </c>
      <c r="V228" s="26" t="str">
        <f>VLOOKUP(MID(Table1[[#This Row],[Nodo]],1,12),Tabla2[#Data],2,FALSE)</f>
        <v>PRECALENTADOR</v>
      </c>
      <c r="W228" s="26" t="str">
        <f t="shared" si="4"/>
        <v>ELE</v>
      </c>
      <c r="X228" s="26" t="e">
        <f>VLOOKUP(MID([1]!Table1[[#This Row],[Nodo]],1,7),[1]!Tabla5[#Data],2,FALSE)</f>
        <v>#N/A</v>
      </c>
    </row>
    <row r="229" spans="1:24" x14ac:dyDescent="0.3">
      <c r="A229" s="8" t="s">
        <v>24</v>
      </c>
      <c r="B229" s="8" t="s">
        <v>25</v>
      </c>
      <c r="C229" s="8" t="s">
        <v>26</v>
      </c>
      <c r="D229" s="8" t="s">
        <v>242</v>
      </c>
      <c r="E229" s="8" t="s">
        <v>243</v>
      </c>
      <c r="F229" s="8" t="s">
        <v>194</v>
      </c>
      <c r="G229" s="8" t="s">
        <v>237</v>
      </c>
      <c r="H229" s="8" t="s">
        <v>238</v>
      </c>
      <c r="I229" s="8" t="s">
        <v>239</v>
      </c>
      <c r="J229" s="28">
        <v>45695.431030092594</v>
      </c>
      <c r="K229" s="28">
        <v>45863.464583333334</v>
      </c>
      <c r="L229" s="8" t="s">
        <v>33</v>
      </c>
      <c r="M229" s="8" t="s">
        <v>34</v>
      </c>
      <c r="N229" s="29">
        <v>0</v>
      </c>
      <c r="O229" s="29">
        <v>1</v>
      </c>
      <c r="P229" s="8" t="s">
        <v>35</v>
      </c>
      <c r="Q229" s="8" t="s">
        <v>36</v>
      </c>
      <c r="R229" s="8" t="s">
        <v>244</v>
      </c>
      <c r="S229" s="8" t="s">
        <v>38</v>
      </c>
      <c r="V229" s="26" t="str">
        <f>VLOOKUP(MID(Table1[[#This Row],[Nodo]],1,12),Tabla2[#Data],2,FALSE)</f>
        <v>PRECALENTADOR</v>
      </c>
      <c r="W229" s="26" t="str">
        <f t="shared" si="4"/>
        <v>ELE</v>
      </c>
      <c r="X229" s="26" t="e">
        <f>VLOOKUP(MID([1]!Table1[[#This Row],[Nodo]],1,7),[1]!Tabla5[#Data],2,FALSE)</f>
        <v>#N/A</v>
      </c>
    </row>
    <row r="230" spans="1:24" x14ac:dyDescent="0.3">
      <c r="A230" s="8" t="s">
        <v>24</v>
      </c>
      <c r="B230" s="8" t="s">
        <v>25</v>
      </c>
      <c r="C230" s="8" t="s">
        <v>26</v>
      </c>
      <c r="D230" s="8" t="s">
        <v>242</v>
      </c>
      <c r="E230" s="8" t="s">
        <v>243</v>
      </c>
      <c r="F230" s="8" t="s">
        <v>196</v>
      </c>
      <c r="G230" s="8" t="s">
        <v>237</v>
      </c>
      <c r="H230" s="8" t="s">
        <v>238</v>
      </c>
      <c r="I230" s="8" t="s">
        <v>239</v>
      </c>
      <c r="J230" s="28">
        <v>45695.431030092594</v>
      </c>
      <c r="K230" s="28">
        <v>45863.464583333334</v>
      </c>
      <c r="L230" s="8" t="s">
        <v>33</v>
      </c>
      <c r="M230" s="8" t="s">
        <v>34</v>
      </c>
      <c r="N230" s="29">
        <v>0</v>
      </c>
      <c r="O230" s="29">
        <v>1</v>
      </c>
      <c r="P230" s="8" t="s">
        <v>35</v>
      </c>
      <c r="Q230" s="8" t="s">
        <v>36</v>
      </c>
      <c r="R230" s="8" t="s">
        <v>244</v>
      </c>
      <c r="S230" s="8" t="s">
        <v>38</v>
      </c>
      <c r="V230" s="26" t="str">
        <f>VLOOKUP(MID(Table1[[#This Row],[Nodo]],1,12),Tabla2[#Data],2,FALSE)</f>
        <v>PRECALENTADOR</v>
      </c>
      <c r="W230" s="26" t="str">
        <f t="shared" si="4"/>
        <v>ELE</v>
      </c>
      <c r="X230" s="26" t="e">
        <f>VLOOKUP(MID([1]!Table1[[#This Row],[Nodo]],1,7),[1]!Tabla5[#Data],2,FALSE)</f>
        <v>#N/A</v>
      </c>
    </row>
    <row r="231" spans="1:24" x14ac:dyDescent="0.3">
      <c r="A231" s="8" t="s">
        <v>24</v>
      </c>
      <c r="B231" s="8" t="s">
        <v>25</v>
      </c>
      <c r="C231" s="8" t="s">
        <v>26</v>
      </c>
      <c r="D231" s="8" t="s">
        <v>242</v>
      </c>
      <c r="E231" s="8" t="s">
        <v>243</v>
      </c>
      <c r="F231" s="8" t="s">
        <v>197</v>
      </c>
      <c r="G231" s="8" t="s">
        <v>237</v>
      </c>
      <c r="H231" s="8" t="s">
        <v>238</v>
      </c>
      <c r="I231" s="8" t="s">
        <v>239</v>
      </c>
      <c r="J231" s="28">
        <v>45695.431030092594</v>
      </c>
      <c r="K231" s="28">
        <v>45863.464583333334</v>
      </c>
      <c r="L231" s="8" t="s">
        <v>33</v>
      </c>
      <c r="M231" s="8" t="s">
        <v>34</v>
      </c>
      <c r="N231" s="29">
        <v>0</v>
      </c>
      <c r="O231" s="29">
        <v>1</v>
      </c>
      <c r="P231" s="8" t="s">
        <v>35</v>
      </c>
      <c r="Q231" s="8" t="s">
        <v>36</v>
      </c>
      <c r="R231" s="8" t="s">
        <v>244</v>
      </c>
      <c r="S231" s="8" t="s">
        <v>38</v>
      </c>
      <c r="V231" s="26" t="str">
        <f>VLOOKUP(MID(Table1[[#This Row],[Nodo]],1,12),Tabla2[#Data],2,FALSE)</f>
        <v>PRECALENTADOR</v>
      </c>
      <c r="W231" s="26" t="str">
        <f t="shared" si="4"/>
        <v>ELE</v>
      </c>
      <c r="X231" s="26" t="e">
        <f>VLOOKUP(MID([1]!Table1[[#This Row],[Nodo]],1,7),[1]!Tabla5[#Data],2,FALSE)</f>
        <v>#N/A</v>
      </c>
    </row>
    <row r="232" spans="1:24" x14ac:dyDescent="0.3">
      <c r="A232" s="8" t="s">
        <v>24</v>
      </c>
      <c r="B232" s="8" t="s">
        <v>25</v>
      </c>
      <c r="C232" s="8" t="s">
        <v>26</v>
      </c>
      <c r="D232" s="8" t="s">
        <v>242</v>
      </c>
      <c r="E232" s="8" t="s">
        <v>243</v>
      </c>
      <c r="F232" s="8" t="s">
        <v>198</v>
      </c>
      <c r="G232" s="8" t="s">
        <v>237</v>
      </c>
      <c r="H232" s="8" t="s">
        <v>238</v>
      </c>
      <c r="I232" s="8" t="s">
        <v>239</v>
      </c>
      <c r="J232" s="28">
        <v>45695.431030092594</v>
      </c>
      <c r="K232" s="28">
        <v>45863.464583333334</v>
      </c>
      <c r="L232" s="8" t="s">
        <v>33</v>
      </c>
      <c r="M232" s="8" t="s">
        <v>34</v>
      </c>
      <c r="N232" s="29">
        <v>0</v>
      </c>
      <c r="O232" s="29">
        <v>1</v>
      </c>
      <c r="P232" s="8" t="s">
        <v>35</v>
      </c>
      <c r="Q232" s="8" t="s">
        <v>36</v>
      </c>
      <c r="R232" s="8" t="s">
        <v>244</v>
      </c>
      <c r="S232" s="8" t="s">
        <v>38</v>
      </c>
      <c r="V232" s="26" t="str">
        <f>VLOOKUP(MID(Table1[[#This Row],[Nodo]],1,12),Tabla2[#Data],2,FALSE)</f>
        <v>PRECALENTADOR</v>
      </c>
      <c r="W232" s="26" t="str">
        <f t="shared" si="4"/>
        <v>ELE</v>
      </c>
      <c r="X232" s="26" t="e">
        <f>VLOOKUP(MID([1]!Table1[[#This Row],[Nodo]],1,7),[1]!Tabla5[#Data],2,FALSE)</f>
        <v>#N/A</v>
      </c>
    </row>
    <row r="233" spans="1:24" x14ac:dyDescent="0.3">
      <c r="A233" s="8" t="s">
        <v>24</v>
      </c>
      <c r="B233" s="8" t="s">
        <v>25</v>
      </c>
      <c r="C233" s="8" t="s">
        <v>26</v>
      </c>
      <c r="D233" s="8" t="s">
        <v>242</v>
      </c>
      <c r="E233" s="8" t="s">
        <v>243</v>
      </c>
      <c r="F233" s="8" t="s">
        <v>200</v>
      </c>
      <c r="G233" s="8" t="s">
        <v>237</v>
      </c>
      <c r="H233" s="8" t="s">
        <v>238</v>
      </c>
      <c r="I233" s="8" t="s">
        <v>239</v>
      </c>
      <c r="J233" s="28">
        <v>45695.431030092594</v>
      </c>
      <c r="K233" s="28">
        <v>45863.464583333334</v>
      </c>
      <c r="L233" s="8" t="s">
        <v>33</v>
      </c>
      <c r="M233" s="8" t="s">
        <v>34</v>
      </c>
      <c r="N233" s="29">
        <v>0</v>
      </c>
      <c r="O233" s="29">
        <v>1</v>
      </c>
      <c r="P233" s="8" t="s">
        <v>35</v>
      </c>
      <c r="Q233" s="8" t="s">
        <v>36</v>
      </c>
      <c r="R233" s="8" t="s">
        <v>244</v>
      </c>
      <c r="S233" s="8" t="s">
        <v>38</v>
      </c>
      <c r="V233" s="26" t="str">
        <f>VLOOKUP(MID(Table1[[#This Row],[Nodo]],1,12),Tabla2[#Data],2,FALSE)</f>
        <v>PRECALENTADOR</v>
      </c>
      <c r="W233" s="26" t="str">
        <f t="shared" si="4"/>
        <v>ELE</v>
      </c>
      <c r="X233" s="26" t="e">
        <f>VLOOKUP(MID([1]!Table1[[#This Row],[Nodo]],1,7),[1]!Tabla5[#Data],2,FALSE)</f>
        <v>#N/A</v>
      </c>
    </row>
    <row r="234" spans="1:24" x14ac:dyDescent="0.3">
      <c r="A234" s="8" t="s">
        <v>24</v>
      </c>
      <c r="B234" s="8" t="s">
        <v>25</v>
      </c>
      <c r="C234" s="8" t="s">
        <v>26</v>
      </c>
      <c r="D234" s="8" t="s">
        <v>242</v>
      </c>
      <c r="E234" s="8" t="s">
        <v>243</v>
      </c>
      <c r="F234" s="8" t="s">
        <v>202</v>
      </c>
      <c r="G234" s="8" t="s">
        <v>237</v>
      </c>
      <c r="H234" s="8" t="s">
        <v>238</v>
      </c>
      <c r="I234" s="8" t="s">
        <v>239</v>
      </c>
      <c r="J234" s="28">
        <v>45695.431030092594</v>
      </c>
      <c r="K234" s="28">
        <v>45863.464583333334</v>
      </c>
      <c r="L234" s="8" t="s">
        <v>33</v>
      </c>
      <c r="M234" s="8" t="s">
        <v>34</v>
      </c>
      <c r="N234" s="29">
        <v>0</v>
      </c>
      <c r="O234" s="29">
        <v>1</v>
      </c>
      <c r="P234" s="8" t="s">
        <v>35</v>
      </c>
      <c r="Q234" s="8" t="s">
        <v>36</v>
      </c>
      <c r="R234" s="8" t="s">
        <v>244</v>
      </c>
      <c r="S234" s="8" t="s">
        <v>38</v>
      </c>
      <c r="V234" s="26" t="str">
        <f>VLOOKUP(MID(Table1[[#This Row],[Nodo]],1,12),Tabla2[#Data],2,FALSE)</f>
        <v>PRECALENTADOR</v>
      </c>
      <c r="W234" s="26" t="str">
        <f t="shared" si="4"/>
        <v>ELE</v>
      </c>
      <c r="X234" s="26" t="e">
        <f>VLOOKUP(MID([1]!Table1[[#This Row],[Nodo]],1,7),[1]!Tabla5[#Data],2,FALSE)</f>
        <v>#N/A</v>
      </c>
    </row>
    <row r="235" spans="1:24" x14ac:dyDescent="0.3">
      <c r="A235" s="8" t="s">
        <v>24</v>
      </c>
      <c r="B235" s="8" t="s">
        <v>25</v>
      </c>
      <c r="C235" s="8" t="s">
        <v>26</v>
      </c>
      <c r="D235" s="8" t="s">
        <v>242</v>
      </c>
      <c r="E235" s="8" t="s">
        <v>243</v>
      </c>
      <c r="F235" s="8" t="s">
        <v>203</v>
      </c>
      <c r="G235" s="8" t="s">
        <v>237</v>
      </c>
      <c r="H235" s="8" t="s">
        <v>238</v>
      </c>
      <c r="I235" s="8" t="s">
        <v>239</v>
      </c>
      <c r="J235" s="28">
        <v>45695.431030092594</v>
      </c>
      <c r="K235" s="28">
        <v>45863.464583333334</v>
      </c>
      <c r="L235" s="8" t="s">
        <v>33</v>
      </c>
      <c r="M235" s="8" t="s">
        <v>34</v>
      </c>
      <c r="N235" s="29">
        <v>0</v>
      </c>
      <c r="O235" s="29">
        <v>1</v>
      </c>
      <c r="P235" s="8" t="s">
        <v>35</v>
      </c>
      <c r="Q235" s="8" t="s">
        <v>36</v>
      </c>
      <c r="R235" s="8" t="s">
        <v>244</v>
      </c>
      <c r="S235" s="8" t="s">
        <v>38</v>
      </c>
      <c r="V235" s="26" t="str">
        <f>VLOOKUP(MID(Table1[[#This Row],[Nodo]],1,12),Tabla2[#Data],2,FALSE)</f>
        <v>PRECALENTADOR</v>
      </c>
      <c r="W235" s="26" t="str">
        <f t="shared" si="4"/>
        <v>ELE</v>
      </c>
      <c r="X235" s="26" t="e">
        <f>VLOOKUP(MID([1]!Table1[[#This Row],[Nodo]],1,7),[1]!Tabla5[#Data],2,FALSE)</f>
        <v>#N/A</v>
      </c>
    </row>
    <row r="236" spans="1:24" x14ac:dyDescent="0.3">
      <c r="A236" s="8" t="s">
        <v>24</v>
      </c>
      <c r="B236" s="8" t="s">
        <v>25</v>
      </c>
      <c r="C236" s="8" t="s">
        <v>26</v>
      </c>
      <c r="D236" s="8" t="s">
        <v>245</v>
      </c>
      <c r="E236" s="8" t="s">
        <v>246</v>
      </c>
      <c r="F236" s="8" t="s">
        <v>247</v>
      </c>
      <c r="G236" s="8" t="s">
        <v>248</v>
      </c>
      <c r="H236" s="8" t="s">
        <v>249</v>
      </c>
      <c r="I236" s="8" t="s">
        <v>250</v>
      </c>
      <c r="J236" s="28">
        <v>45695.430995370371</v>
      </c>
      <c r="K236" s="28">
        <v>45863.464583333334</v>
      </c>
      <c r="L236" s="8" t="s">
        <v>33</v>
      </c>
      <c r="M236" s="8" t="s">
        <v>34</v>
      </c>
      <c r="N236" s="29">
        <v>0</v>
      </c>
      <c r="O236" s="29">
        <v>1</v>
      </c>
      <c r="P236" s="8" t="s">
        <v>35</v>
      </c>
      <c r="Q236" s="8" t="s">
        <v>36</v>
      </c>
      <c r="R236" s="8" t="s">
        <v>251</v>
      </c>
      <c r="S236" s="8" t="s">
        <v>38</v>
      </c>
      <c r="V236" s="26" t="str">
        <f>VLOOKUP(MID(Table1[[#This Row],[Nodo]],1,12),Tabla2[#Data],2,FALSE)</f>
        <v>ESTACION DE FORMADO</v>
      </c>
      <c r="W236" s="26" t="str">
        <f t="shared" si="4"/>
        <v>ELE</v>
      </c>
      <c r="X236" s="26" t="e">
        <f>VLOOKUP(MID([1]!Table1[[#This Row],[Nodo]],1,7),[1]!Tabla5[#Data],2,FALSE)</f>
        <v>#N/A</v>
      </c>
    </row>
    <row r="237" spans="1:24" x14ac:dyDescent="0.3">
      <c r="A237" s="8" t="s">
        <v>24</v>
      </c>
      <c r="B237" s="8" t="s">
        <v>25</v>
      </c>
      <c r="C237" s="8" t="s">
        <v>26</v>
      </c>
      <c r="D237" s="8" t="s">
        <v>245</v>
      </c>
      <c r="E237" s="8" t="s">
        <v>246</v>
      </c>
      <c r="F237" s="8" t="s">
        <v>252</v>
      </c>
      <c r="G237" s="8" t="s">
        <v>248</v>
      </c>
      <c r="H237" s="8" t="s">
        <v>249</v>
      </c>
      <c r="I237" s="8" t="s">
        <v>250</v>
      </c>
      <c r="J237" s="28">
        <v>45695.430995370371</v>
      </c>
      <c r="K237" s="28">
        <v>45863.464583333334</v>
      </c>
      <c r="L237" s="8" t="s">
        <v>33</v>
      </c>
      <c r="M237" s="8" t="s">
        <v>34</v>
      </c>
      <c r="N237" s="29">
        <v>0</v>
      </c>
      <c r="O237" s="29">
        <v>1</v>
      </c>
      <c r="P237" s="8" t="s">
        <v>35</v>
      </c>
      <c r="Q237" s="8" t="s">
        <v>36</v>
      </c>
      <c r="R237" s="8" t="s">
        <v>251</v>
      </c>
      <c r="S237" s="8" t="s">
        <v>38</v>
      </c>
      <c r="V237" s="26" t="str">
        <f>VLOOKUP(MID(Table1[[#This Row],[Nodo]],1,12),Tabla2[#Data],2,FALSE)</f>
        <v>ESTACION DE FORMADO</v>
      </c>
      <c r="W237" s="26" t="str">
        <f t="shared" si="4"/>
        <v>ELE</v>
      </c>
      <c r="X237" s="26" t="e">
        <f>VLOOKUP(MID([1]!Table1[[#This Row],[Nodo]],1,7),[1]!Tabla5[#Data],2,FALSE)</f>
        <v>#N/A</v>
      </c>
    </row>
    <row r="238" spans="1:24" x14ac:dyDescent="0.3">
      <c r="A238" s="8" t="s">
        <v>24</v>
      </c>
      <c r="B238" s="8" t="s">
        <v>25</v>
      </c>
      <c r="C238" s="8" t="s">
        <v>26</v>
      </c>
      <c r="D238" s="8" t="s">
        <v>245</v>
      </c>
      <c r="E238" s="8" t="s">
        <v>246</v>
      </c>
      <c r="F238" s="8" t="s">
        <v>253</v>
      </c>
      <c r="G238" s="8" t="s">
        <v>248</v>
      </c>
      <c r="H238" s="8" t="s">
        <v>249</v>
      </c>
      <c r="I238" s="8" t="s">
        <v>250</v>
      </c>
      <c r="J238" s="28">
        <v>45695.430995370371</v>
      </c>
      <c r="K238" s="28">
        <v>45863.464583333334</v>
      </c>
      <c r="L238" s="8" t="s">
        <v>33</v>
      </c>
      <c r="M238" s="8" t="s">
        <v>34</v>
      </c>
      <c r="N238" s="29">
        <v>0</v>
      </c>
      <c r="O238" s="29">
        <v>1</v>
      </c>
      <c r="P238" s="8" t="s">
        <v>35</v>
      </c>
      <c r="Q238" s="8" t="s">
        <v>36</v>
      </c>
      <c r="R238" s="8" t="s">
        <v>251</v>
      </c>
      <c r="S238" s="8" t="s">
        <v>38</v>
      </c>
      <c r="V238" s="26" t="str">
        <f>VLOOKUP(MID(Table1[[#This Row],[Nodo]],1,12),Tabla2[#Data],2,FALSE)</f>
        <v>ESTACION DE FORMADO</v>
      </c>
      <c r="W238" s="26" t="str">
        <f t="shared" si="4"/>
        <v>ELE</v>
      </c>
      <c r="X238" s="26" t="e">
        <f>VLOOKUP(MID([1]!Table1[[#This Row],[Nodo]],1,7),[1]!Tabla5[#Data],2,FALSE)</f>
        <v>#N/A</v>
      </c>
    </row>
    <row r="239" spans="1:24" x14ac:dyDescent="0.3">
      <c r="A239" s="8" t="s">
        <v>24</v>
      </c>
      <c r="B239" s="8" t="s">
        <v>25</v>
      </c>
      <c r="C239" s="8" t="s">
        <v>26</v>
      </c>
      <c r="D239" s="8" t="s">
        <v>254</v>
      </c>
      <c r="E239" s="8" t="s">
        <v>255</v>
      </c>
      <c r="F239" s="8" t="s">
        <v>256</v>
      </c>
      <c r="G239" s="8" t="s">
        <v>248</v>
      </c>
      <c r="H239" s="8" t="s">
        <v>249</v>
      </c>
      <c r="I239" s="8" t="s">
        <v>250</v>
      </c>
      <c r="J239" s="28">
        <v>45695.430995370371</v>
      </c>
      <c r="K239" s="28">
        <v>45863.464583333334</v>
      </c>
      <c r="L239" s="8" t="s">
        <v>33</v>
      </c>
      <c r="M239" s="8" t="s">
        <v>34</v>
      </c>
      <c r="N239" s="29">
        <v>0</v>
      </c>
      <c r="O239" s="29">
        <v>1</v>
      </c>
      <c r="P239" s="8" t="s">
        <v>35</v>
      </c>
      <c r="Q239" s="8" t="s">
        <v>36</v>
      </c>
      <c r="R239" s="8" t="s">
        <v>257</v>
      </c>
      <c r="S239" s="8" t="s">
        <v>38</v>
      </c>
      <c r="V239" s="26" t="str">
        <f>VLOOKUP(MID(Table1[[#This Row],[Nodo]],1,12),Tabla2[#Data],2,FALSE)</f>
        <v>ESTACION DE FORMADO</v>
      </c>
      <c r="W239" s="26" t="str">
        <f t="shared" si="4"/>
        <v>ELE</v>
      </c>
      <c r="X239" s="26" t="e">
        <f>VLOOKUP(MID([1]!Table1[[#This Row],[Nodo]],1,7),[1]!Tabla5[#Data],2,FALSE)</f>
        <v>#N/A</v>
      </c>
    </row>
    <row r="240" spans="1:24" x14ac:dyDescent="0.3">
      <c r="A240" s="8" t="s">
        <v>24</v>
      </c>
      <c r="B240" s="8" t="s">
        <v>25</v>
      </c>
      <c r="C240" s="8" t="s">
        <v>26</v>
      </c>
      <c r="D240" s="8" t="s">
        <v>254</v>
      </c>
      <c r="E240" s="8" t="s">
        <v>255</v>
      </c>
      <c r="F240" s="8" t="s">
        <v>258</v>
      </c>
      <c r="G240" s="8" t="s">
        <v>248</v>
      </c>
      <c r="H240" s="8" t="s">
        <v>249</v>
      </c>
      <c r="I240" s="8" t="s">
        <v>250</v>
      </c>
      <c r="J240" s="28">
        <v>45695.430995370371</v>
      </c>
      <c r="K240" s="28">
        <v>45863.464583333334</v>
      </c>
      <c r="L240" s="8" t="s">
        <v>33</v>
      </c>
      <c r="M240" s="8" t="s">
        <v>34</v>
      </c>
      <c r="N240" s="29">
        <v>0</v>
      </c>
      <c r="O240" s="29">
        <v>1</v>
      </c>
      <c r="P240" s="8" t="s">
        <v>35</v>
      </c>
      <c r="Q240" s="8" t="s">
        <v>36</v>
      </c>
      <c r="R240" s="8" t="s">
        <v>257</v>
      </c>
      <c r="S240" s="8" t="s">
        <v>38</v>
      </c>
      <c r="V240" s="26" t="str">
        <f>VLOOKUP(MID(Table1[[#This Row],[Nodo]],1,12),Tabla2[#Data],2,FALSE)</f>
        <v>ESTACION DE FORMADO</v>
      </c>
      <c r="W240" s="26" t="str">
        <f t="shared" si="4"/>
        <v>ELE</v>
      </c>
      <c r="X240" s="26" t="e">
        <f>VLOOKUP(MID([1]!Table1[[#This Row],[Nodo]],1,7),[1]!Tabla5[#Data],2,FALSE)</f>
        <v>#N/A</v>
      </c>
    </row>
    <row r="241" spans="1:24" x14ac:dyDescent="0.3">
      <c r="A241" s="8" t="s">
        <v>24</v>
      </c>
      <c r="B241" s="8" t="s">
        <v>25</v>
      </c>
      <c r="C241" s="8" t="s">
        <v>26</v>
      </c>
      <c r="D241" s="8" t="s">
        <v>254</v>
      </c>
      <c r="E241" s="8" t="s">
        <v>255</v>
      </c>
      <c r="F241" s="8" t="s">
        <v>253</v>
      </c>
      <c r="G241" s="8" t="s">
        <v>248</v>
      </c>
      <c r="H241" s="8" t="s">
        <v>249</v>
      </c>
      <c r="I241" s="8" t="s">
        <v>250</v>
      </c>
      <c r="J241" s="28">
        <v>45695.430995370371</v>
      </c>
      <c r="K241" s="28">
        <v>45863.464583333334</v>
      </c>
      <c r="L241" s="8" t="s">
        <v>33</v>
      </c>
      <c r="M241" s="8" t="s">
        <v>34</v>
      </c>
      <c r="N241" s="29">
        <v>0</v>
      </c>
      <c r="O241" s="29">
        <v>1</v>
      </c>
      <c r="P241" s="8" t="s">
        <v>35</v>
      </c>
      <c r="Q241" s="8" t="s">
        <v>36</v>
      </c>
      <c r="R241" s="8" t="s">
        <v>257</v>
      </c>
      <c r="S241" s="8" t="s">
        <v>38</v>
      </c>
      <c r="V241" s="26" t="str">
        <f>VLOOKUP(MID(Table1[[#This Row],[Nodo]],1,12),Tabla2[#Data],2,FALSE)</f>
        <v>ESTACION DE FORMADO</v>
      </c>
      <c r="W241" s="26" t="str">
        <f t="shared" si="4"/>
        <v>ELE</v>
      </c>
      <c r="X241" s="26" t="e">
        <f>VLOOKUP(MID([1]!Table1[[#This Row],[Nodo]],1,7),[1]!Tabla5[#Data],2,FALSE)</f>
        <v>#N/A</v>
      </c>
    </row>
    <row r="242" spans="1:24" x14ac:dyDescent="0.3">
      <c r="A242" s="8" t="s">
        <v>24</v>
      </c>
      <c r="B242" s="8" t="s">
        <v>25</v>
      </c>
      <c r="C242" s="8" t="s">
        <v>26</v>
      </c>
      <c r="D242" s="8" t="s">
        <v>259</v>
      </c>
      <c r="E242" s="8" t="s">
        <v>260</v>
      </c>
      <c r="F242" s="8" t="s">
        <v>261</v>
      </c>
      <c r="G242" s="8" t="s">
        <v>262</v>
      </c>
      <c r="H242" s="8" t="s">
        <v>263</v>
      </c>
      <c r="I242" s="8" t="s">
        <v>264</v>
      </c>
      <c r="J242" s="28">
        <v>45695.430925925924</v>
      </c>
      <c r="K242" s="28">
        <v>45863.464583333334</v>
      </c>
      <c r="L242" s="8" t="s">
        <v>33</v>
      </c>
      <c r="M242" s="8" t="s">
        <v>34</v>
      </c>
      <c r="N242" s="29">
        <v>0</v>
      </c>
      <c r="O242" s="29">
        <v>1</v>
      </c>
      <c r="P242" s="8" t="s">
        <v>35</v>
      </c>
      <c r="Q242" s="8" t="s">
        <v>36</v>
      </c>
      <c r="R242" s="8" t="s">
        <v>265</v>
      </c>
      <c r="S242" s="8" t="s">
        <v>38</v>
      </c>
      <c r="V242" s="26" t="str">
        <f>VLOOKUP(MID(Table1[[#This Row],[Nodo]],1,12),Tabla2[#Data],2,FALSE)</f>
        <v>APILADOR APILADOR SISTEMA DE A</v>
      </c>
      <c r="W242" s="26" t="str">
        <f t="shared" si="4"/>
        <v>ELE</v>
      </c>
      <c r="X242" s="26" t="e">
        <f>VLOOKUP(MID([1]!Table1[[#This Row],[Nodo]],1,7),[1]!Tabla5[#Data],2,FALSE)</f>
        <v>#N/A</v>
      </c>
    </row>
    <row r="243" spans="1:24" x14ac:dyDescent="0.3">
      <c r="A243" s="8" t="s">
        <v>24</v>
      </c>
      <c r="B243" s="8" t="s">
        <v>25</v>
      </c>
      <c r="C243" s="8" t="s">
        <v>26</v>
      </c>
      <c r="D243" s="8" t="s">
        <v>266</v>
      </c>
      <c r="E243" s="8" t="s">
        <v>267</v>
      </c>
      <c r="F243" s="8" t="s">
        <v>268</v>
      </c>
      <c r="G243" s="8" t="s">
        <v>225</v>
      </c>
      <c r="H243" s="8" t="s">
        <v>226</v>
      </c>
      <c r="I243" s="8" t="s">
        <v>227</v>
      </c>
      <c r="J243" s="28">
        <v>45695.430972222224</v>
      </c>
      <c r="K243" s="28">
        <v>45863.464583333334</v>
      </c>
      <c r="L243" s="8" t="s">
        <v>33</v>
      </c>
      <c r="M243" s="8" t="s">
        <v>34</v>
      </c>
      <c r="N243" s="29">
        <v>0</v>
      </c>
      <c r="O243" s="29">
        <v>1</v>
      </c>
      <c r="P243" s="8" t="s">
        <v>35</v>
      </c>
      <c r="Q243" s="8" t="s">
        <v>36</v>
      </c>
      <c r="R243" s="8" t="s">
        <v>269</v>
      </c>
      <c r="S243" s="8" t="s">
        <v>38</v>
      </c>
      <c r="V243" s="26" t="str">
        <f>VLOOKUP(MID(Table1[[#This Row],[Nodo]],1,12),Tabla2[#Data],2,FALSE)</f>
        <v>DESEMBOBINADOR</v>
      </c>
      <c r="W243" s="26" t="str">
        <f t="shared" si="4"/>
        <v>ELE</v>
      </c>
      <c r="X243" s="26" t="e">
        <f>VLOOKUP(MID([1]!Table1[[#This Row],[Nodo]],1,7),[1]!Tabla5[#Data],2,FALSE)</f>
        <v>#N/A</v>
      </c>
    </row>
    <row r="244" spans="1:24" x14ac:dyDescent="0.3">
      <c r="A244" s="8" t="s">
        <v>24</v>
      </c>
      <c r="B244" s="8" t="s">
        <v>25</v>
      </c>
      <c r="C244" s="8" t="s">
        <v>26</v>
      </c>
      <c r="D244" s="8" t="s">
        <v>270</v>
      </c>
      <c r="E244" s="8" t="s">
        <v>271</v>
      </c>
      <c r="F244" s="8" t="s">
        <v>272</v>
      </c>
      <c r="G244" s="8" t="s">
        <v>30</v>
      </c>
      <c r="H244" s="8" t="s">
        <v>31</v>
      </c>
      <c r="I244" s="8" t="s">
        <v>32</v>
      </c>
      <c r="J244" s="28">
        <v>45695.431006944447</v>
      </c>
      <c r="K244" s="28">
        <v>45863.464583333334</v>
      </c>
      <c r="L244" s="8" t="s">
        <v>33</v>
      </c>
      <c r="M244" s="8" t="s">
        <v>34</v>
      </c>
      <c r="N244" s="29">
        <v>0</v>
      </c>
      <c r="O244" s="29">
        <v>1</v>
      </c>
      <c r="P244" s="8" t="s">
        <v>35</v>
      </c>
      <c r="Q244" s="8" t="s">
        <v>36</v>
      </c>
      <c r="R244" s="8" t="s">
        <v>273</v>
      </c>
      <c r="S244" s="8" t="s">
        <v>38</v>
      </c>
      <c r="V244" s="26" t="str">
        <f>VLOOKUP(MID(Table1[[#This Row],[Nodo]],1,12),Tabla2[#Data],2,FALSE)</f>
        <v>ESTACION DE FORMADO</v>
      </c>
      <c r="W244" s="26" t="str">
        <f t="shared" si="4"/>
        <v>ELE</v>
      </c>
      <c r="X244" s="26" t="e">
        <f>VLOOKUP(MID([1]!Table1[[#This Row],[Nodo]],1,7),[1]!Tabla5[#Data],2,FALSE)</f>
        <v>#N/A</v>
      </c>
    </row>
    <row r="245" spans="1:24" x14ac:dyDescent="0.3">
      <c r="A245" s="8" t="s">
        <v>24</v>
      </c>
      <c r="B245" s="8" t="s">
        <v>25</v>
      </c>
      <c r="C245" s="8" t="s">
        <v>26</v>
      </c>
      <c r="D245" s="8" t="s">
        <v>270</v>
      </c>
      <c r="E245" s="8" t="s">
        <v>271</v>
      </c>
      <c r="F245" s="8" t="s">
        <v>272</v>
      </c>
      <c r="G245" s="8" t="s">
        <v>40</v>
      </c>
      <c r="H245" s="8" t="s">
        <v>41</v>
      </c>
      <c r="I245" s="8" t="s">
        <v>42</v>
      </c>
      <c r="J245" s="28">
        <v>45695.431006944447</v>
      </c>
      <c r="K245" s="28">
        <v>45863.464583333334</v>
      </c>
      <c r="L245" s="8" t="s">
        <v>33</v>
      </c>
      <c r="M245" s="8" t="s">
        <v>34</v>
      </c>
      <c r="N245" s="29">
        <v>0</v>
      </c>
      <c r="O245" s="29">
        <v>1</v>
      </c>
      <c r="P245" s="8" t="s">
        <v>35</v>
      </c>
      <c r="Q245" s="8" t="s">
        <v>36</v>
      </c>
      <c r="R245" s="8" t="s">
        <v>273</v>
      </c>
      <c r="S245" s="8" t="s">
        <v>38</v>
      </c>
      <c r="V245" s="26" t="str">
        <f>VLOOKUP(MID(Table1[[#This Row],[Nodo]],1,12),Tabla2[#Data],2,FALSE)</f>
        <v>ESTACION DE FORMADO</v>
      </c>
      <c r="W245" s="26" t="str">
        <f t="shared" si="4"/>
        <v>ELE</v>
      </c>
      <c r="X245" s="26" t="e">
        <f>VLOOKUP(MID([1]!Table1[[#This Row],[Nodo]],1,7),[1]!Tabla5[#Data],2,FALSE)</f>
        <v>#N/A</v>
      </c>
    </row>
    <row r="246" spans="1:24" x14ac:dyDescent="0.3">
      <c r="A246" s="8" t="s">
        <v>24</v>
      </c>
      <c r="B246" s="8" t="s">
        <v>25</v>
      </c>
      <c r="C246" s="8" t="s">
        <v>26</v>
      </c>
      <c r="D246" s="8" t="s">
        <v>270</v>
      </c>
      <c r="E246" s="8" t="s">
        <v>271</v>
      </c>
      <c r="F246" s="8" t="s">
        <v>272</v>
      </c>
      <c r="G246" s="8" t="s">
        <v>43</v>
      </c>
      <c r="H246" s="8" t="s">
        <v>44</v>
      </c>
      <c r="I246" s="8" t="s">
        <v>45</v>
      </c>
      <c r="J246" s="28">
        <v>45695.431018518517</v>
      </c>
      <c r="K246" s="28">
        <v>45863.464583333334</v>
      </c>
      <c r="L246" s="8" t="s">
        <v>33</v>
      </c>
      <c r="M246" s="8" t="s">
        <v>34</v>
      </c>
      <c r="N246" s="29">
        <v>0</v>
      </c>
      <c r="O246" s="29">
        <v>1</v>
      </c>
      <c r="P246" s="8" t="s">
        <v>35</v>
      </c>
      <c r="Q246" s="8" t="s">
        <v>36</v>
      </c>
      <c r="R246" s="8" t="s">
        <v>273</v>
      </c>
      <c r="S246" s="8" t="s">
        <v>38</v>
      </c>
      <c r="V246" s="26" t="str">
        <f>VLOOKUP(MID(Table1[[#This Row],[Nodo]],1,12),Tabla2[#Data],2,FALSE)</f>
        <v>ESTACION DE FORMADO</v>
      </c>
      <c r="W246" s="26" t="str">
        <f t="shared" si="4"/>
        <v>ELE</v>
      </c>
      <c r="X246" s="26" t="e">
        <f>VLOOKUP(MID([1]!Table1[[#This Row],[Nodo]],1,7),[1]!Tabla5[#Data],2,FALSE)</f>
        <v>#N/A</v>
      </c>
    </row>
    <row r="247" spans="1:24" x14ac:dyDescent="0.3">
      <c r="A247" s="8" t="s">
        <v>24</v>
      </c>
      <c r="B247" s="8" t="s">
        <v>25</v>
      </c>
      <c r="C247" s="8" t="s">
        <v>26</v>
      </c>
      <c r="D247" s="8" t="s">
        <v>274</v>
      </c>
      <c r="E247" s="8" t="s">
        <v>275</v>
      </c>
      <c r="F247" s="8" t="s">
        <v>276</v>
      </c>
      <c r="G247" s="8" t="s">
        <v>49</v>
      </c>
      <c r="H247" s="8" t="s">
        <v>50</v>
      </c>
      <c r="I247" s="8" t="s">
        <v>51</v>
      </c>
      <c r="J247" s="28">
        <v>45695.430949074071</v>
      </c>
      <c r="K247" s="28">
        <v>45863.464583333334</v>
      </c>
      <c r="L247" s="8" t="s">
        <v>33</v>
      </c>
      <c r="M247" s="8" t="s">
        <v>34</v>
      </c>
      <c r="N247" s="29">
        <v>0</v>
      </c>
      <c r="O247" s="29">
        <v>1</v>
      </c>
      <c r="P247" s="8" t="s">
        <v>35</v>
      </c>
      <c r="Q247" s="8" t="s">
        <v>36</v>
      </c>
      <c r="R247" s="8" t="s">
        <v>277</v>
      </c>
      <c r="S247" s="8" t="s">
        <v>38</v>
      </c>
      <c r="V247" s="26" t="str">
        <f>VLOOKUP(MID(Table1[[#This Row],[Nodo]],1,12),Tabla2[#Data],2,FALSE)</f>
        <v>APILADOR APILADOR SISTEMA DE A</v>
      </c>
      <c r="W247" s="26" t="str">
        <f t="shared" si="4"/>
        <v>ELE</v>
      </c>
      <c r="X247" s="26" t="e">
        <f>VLOOKUP(MID([1]!Table1[[#This Row],[Nodo]],1,7),[1]!Tabla5[#Data],2,FALSE)</f>
        <v>#N/A</v>
      </c>
    </row>
    <row r="248" spans="1:24" x14ac:dyDescent="0.3">
      <c r="A248" s="8" t="s">
        <v>24</v>
      </c>
      <c r="B248" s="8" t="s">
        <v>25</v>
      </c>
      <c r="C248" s="8" t="s">
        <v>26</v>
      </c>
      <c r="D248" s="8" t="s">
        <v>274</v>
      </c>
      <c r="E248" s="8" t="s">
        <v>275</v>
      </c>
      <c r="F248" s="8" t="s">
        <v>278</v>
      </c>
      <c r="G248" s="8" t="s">
        <v>49</v>
      </c>
      <c r="H248" s="8" t="s">
        <v>50</v>
      </c>
      <c r="I248" s="8" t="s">
        <v>51</v>
      </c>
      <c r="J248" s="28">
        <v>45695.430949074071</v>
      </c>
      <c r="K248" s="28">
        <v>45863.464583333334</v>
      </c>
      <c r="L248" s="8" t="s">
        <v>33</v>
      </c>
      <c r="M248" s="8" t="s">
        <v>34</v>
      </c>
      <c r="N248" s="29">
        <v>0</v>
      </c>
      <c r="O248" s="29">
        <v>1</v>
      </c>
      <c r="P248" s="8" t="s">
        <v>35</v>
      </c>
      <c r="Q248" s="8" t="s">
        <v>36</v>
      </c>
      <c r="R248" s="8" t="s">
        <v>277</v>
      </c>
      <c r="S248" s="8" t="s">
        <v>38</v>
      </c>
      <c r="V248" s="26" t="str">
        <f>VLOOKUP(MID(Table1[[#This Row],[Nodo]],1,12),Tabla2[#Data],2,FALSE)</f>
        <v>APILADOR APILADOR SISTEMA DE A</v>
      </c>
      <c r="W248" s="26" t="str">
        <f t="shared" si="4"/>
        <v>ELE</v>
      </c>
      <c r="X248" s="26" t="e">
        <f>VLOOKUP(MID([1]!Table1[[#This Row],[Nodo]],1,7),[1]!Tabla5[#Data],2,FALSE)</f>
        <v>#N/A</v>
      </c>
    </row>
    <row r="249" spans="1:24" x14ac:dyDescent="0.3">
      <c r="A249" s="8" t="s">
        <v>24</v>
      </c>
      <c r="B249" s="8" t="s">
        <v>25</v>
      </c>
      <c r="C249" s="8" t="s">
        <v>26</v>
      </c>
      <c r="D249" s="8" t="s">
        <v>274</v>
      </c>
      <c r="E249" s="8" t="s">
        <v>275</v>
      </c>
      <c r="F249" s="8" t="s">
        <v>276</v>
      </c>
      <c r="G249" s="8" t="s">
        <v>59</v>
      </c>
      <c r="H249" s="8" t="s">
        <v>60</v>
      </c>
      <c r="I249" s="8" t="s">
        <v>61</v>
      </c>
      <c r="J249" s="28">
        <v>45695.430972222224</v>
      </c>
      <c r="K249" s="28">
        <v>45863.464583333334</v>
      </c>
      <c r="L249" s="8" t="s">
        <v>33</v>
      </c>
      <c r="M249" s="8" t="s">
        <v>34</v>
      </c>
      <c r="N249" s="29">
        <v>0</v>
      </c>
      <c r="O249" s="29">
        <v>1</v>
      </c>
      <c r="P249" s="8" t="s">
        <v>35</v>
      </c>
      <c r="Q249" s="8" t="s">
        <v>36</v>
      </c>
      <c r="R249" s="8" t="s">
        <v>277</v>
      </c>
      <c r="S249" s="8" t="s">
        <v>38</v>
      </c>
      <c r="V249" s="26" t="str">
        <f>VLOOKUP(MID(Table1[[#This Row],[Nodo]],1,12),Tabla2[#Data],2,FALSE)</f>
        <v>DESEMBOBINADOR</v>
      </c>
      <c r="W249" s="26" t="str">
        <f t="shared" si="4"/>
        <v>ELE</v>
      </c>
      <c r="X249" s="26" t="e">
        <f>VLOOKUP(MID([1]!Table1[[#This Row],[Nodo]],1,7),[1]!Tabla5[#Data],2,FALSE)</f>
        <v>#N/A</v>
      </c>
    </row>
    <row r="250" spans="1:24" x14ac:dyDescent="0.3">
      <c r="A250" s="8" t="s">
        <v>24</v>
      </c>
      <c r="B250" s="8" t="s">
        <v>25</v>
      </c>
      <c r="C250" s="8" t="s">
        <v>26</v>
      </c>
      <c r="D250" s="8" t="s">
        <v>274</v>
      </c>
      <c r="E250" s="8" t="s">
        <v>275</v>
      </c>
      <c r="F250" s="8" t="s">
        <v>278</v>
      </c>
      <c r="G250" s="8" t="s">
        <v>59</v>
      </c>
      <c r="H250" s="8" t="s">
        <v>60</v>
      </c>
      <c r="I250" s="8" t="s">
        <v>61</v>
      </c>
      <c r="J250" s="28">
        <v>45695.430972222224</v>
      </c>
      <c r="K250" s="28">
        <v>45863.464583333334</v>
      </c>
      <c r="L250" s="8" t="s">
        <v>33</v>
      </c>
      <c r="M250" s="8" t="s">
        <v>34</v>
      </c>
      <c r="N250" s="29">
        <v>0</v>
      </c>
      <c r="O250" s="29">
        <v>1</v>
      </c>
      <c r="P250" s="8" t="s">
        <v>35</v>
      </c>
      <c r="Q250" s="8" t="s">
        <v>36</v>
      </c>
      <c r="R250" s="8" t="s">
        <v>277</v>
      </c>
      <c r="S250" s="8" t="s">
        <v>38</v>
      </c>
      <c r="V250" s="26" t="str">
        <f>VLOOKUP(MID(Table1[[#This Row],[Nodo]],1,12),Tabla2[#Data],2,FALSE)</f>
        <v>DESEMBOBINADOR</v>
      </c>
      <c r="W250" s="26" t="str">
        <f t="shared" si="4"/>
        <v>ELE</v>
      </c>
      <c r="X250" s="26" t="e">
        <f>VLOOKUP(MID([1]!Table1[[#This Row],[Nodo]],1,7),[1]!Tabla5[#Data],2,FALSE)</f>
        <v>#N/A</v>
      </c>
    </row>
    <row r="251" spans="1:24" x14ac:dyDescent="0.3">
      <c r="A251" s="8" t="s">
        <v>24</v>
      </c>
      <c r="B251" s="8" t="s">
        <v>25</v>
      </c>
      <c r="C251" s="8" t="s">
        <v>26</v>
      </c>
      <c r="D251" s="8" t="s">
        <v>274</v>
      </c>
      <c r="E251" s="8" t="s">
        <v>275</v>
      </c>
      <c r="F251" s="8" t="s">
        <v>276</v>
      </c>
      <c r="G251" s="8" t="s">
        <v>62</v>
      </c>
      <c r="H251" s="8" t="s">
        <v>63</v>
      </c>
      <c r="I251" s="8" t="s">
        <v>64</v>
      </c>
      <c r="J251" s="28">
        <v>45695.431041666663</v>
      </c>
      <c r="K251" s="28">
        <v>45863.464583333334</v>
      </c>
      <c r="L251" s="8" t="s">
        <v>33</v>
      </c>
      <c r="M251" s="8" t="s">
        <v>34</v>
      </c>
      <c r="N251" s="29">
        <v>0</v>
      </c>
      <c r="O251" s="29">
        <v>1</v>
      </c>
      <c r="P251" s="8" t="s">
        <v>35</v>
      </c>
      <c r="Q251" s="8" t="s">
        <v>36</v>
      </c>
      <c r="R251" s="8" t="s">
        <v>277</v>
      </c>
      <c r="S251" s="8" t="s">
        <v>38</v>
      </c>
      <c r="V251" s="26" t="str">
        <f>VLOOKUP(MID(Table1[[#This Row],[Nodo]],1,12),Tabla2[#Data],2,FALSE)</f>
        <v>PRECALENTADOR</v>
      </c>
      <c r="W251" s="26" t="str">
        <f t="shared" si="4"/>
        <v>ELE</v>
      </c>
      <c r="X251" s="26" t="e">
        <f>VLOOKUP(MID([1]!Table1[[#This Row],[Nodo]],1,7),[1]!Tabla5[#Data],2,FALSE)</f>
        <v>#N/A</v>
      </c>
    </row>
    <row r="252" spans="1:24" x14ac:dyDescent="0.3">
      <c r="A252" s="8" t="s">
        <v>24</v>
      </c>
      <c r="B252" s="8" t="s">
        <v>25</v>
      </c>
      <c r="C252" s="8" t="s">
        <v>26</v>
      </c>
      <c r="D252" s="8" t="s">
        <v>274</v>
      </c>
      <c r="E252" s="8" t="s">
        <v>275</v>
      </c>
      <c r="F252" s="8" t="s">
        <v>278</v>
      </c>
      <c r="G252" s="8" t="s">
        <v>62</v>
      </c>
      <c r="H252" s="8" t="s">
        <v>63</v>
      </c>
      <c r="I252" s="8" t="s">
        <v>64</v>
      </c>
      <c r="J252" s="28">
        <v>45695.431041666663</v>
      </c>
      <c r="K252" s="28">
        <v>45863.464583333334</v>
      </c>
      <c r="L252" s="8" t="s">
        <v>33</v>
      </c>
      <c r="M252" s="8" t="s">
        <v>34</v>
      </c>
      <c r="N252" s="29">
        <v>0</v>
      </c>
      <c r="O252" s="29">
        <v>1</v>
      </c>
      <c r="P252" s="8" t="s">
        <v>35</v>
      </c>
      <c r="Q252" s="8" t="s">
        <v>36</v>
      </c>
      <c r="R252" s="8" t="s">
        <v>277</v>
      </c>
      <c r="S252" s="8" t="s">
        <v>38</v>
      </c>
      <c r="V252" s="26" t="str">
        <f>VLOOKUP(MID(Table1[[#This Row],[Nodo]],1,12),Tabla2[#Data],2,FALSE)</f>
        <v>PRECALENTADOR</v>
      </c>
      <c r="W252" s="26" t="str">
        <f t="shared" si="4"/>
        <v>ELE</v>
      </c>
      <c r="X252" s="26" t="e">
        <f>VLOOKUP(MID([1]!Table1[[#This Row],[Nodo]],1,7),[1]!Tabla5[#Data],2,FALSE)</f>
        <v>#N/A</v>
      </c>
    </row>
    <row r="253" spans="1:24" x14ac:dyDescent="0.3">
      <c r="A253" s="8" t="s">
        <v>24</v>
      </c>
      <c r="B253" s="8" t="s">
        <v>279</v>
      </c>
      <c r="C253" s="8" t="s">
        <v>26</v>
      </c>
      <c r="D253" s="8" t="s">
        <v>280</v>
      </c>
      <c r="E253" s="8" t="s">
        <v>281</v>
      </c>
      <c r="F253" s="8" t="s">
        <v>282</v>
      </c>
      <c r="G253" s="8" t="s">
        <v>283</v>
      </c>
      <c r="H253" s="8" t="s">
        <v>284</v>
      </c>
      <c r="I253" s="8" t="s">
        <v>285</v>
      </c>
      <c r="J253" s="28">
        <v>45695.430949074071</v>
      </c>
      <c r="K253" s="28">
        <v>45863.464583333334</v>
      </c>
      <c r="L253" s="8" t="s">
        <v>286</v>
      </c>
      <c r="M253" s="8" t="s">
        <v>287</v>
      </c>
      <c r="N253" s="29">
        <v>0</v>
      </c>
      <c r="O253" s="29">
        <v>1</v>
      </c>
      <c r="P253" s="8" t="s">
        <v>35</v>
      </c>
      <c r="Q253" s="8" t="s">
        <v>36</v>
      </c>
      <c r="R253" s="8" t="s">
        <v>288</v>
      </c>
      <c r="S253" s="8" t="s">
        <v>38</v>
      </c>
      <c r="V253" s="26" t="str">
        <f>VLOOKUP(MID(Table1[[#This Row],[Nodo]],1,12),Tabla2[#Data],2,FALSE)</f>
        <v>APILADOR APILADOR SISTEMA DE A</v>
      </c>
      <c r="W253" s="26" t="str">
        <f t="shared" si="4"/>
        <v>MEC</v>
      </c>
      <c r="X253" s="26" t="e">
        <f>VLOOKUP(MID([1]!Table1[[#This Row],[Nodo]],1,7),[1]!Tabla5[#Data],2,FALSE)</f>
        <v>#N/A</v>
      </c>
    </row>
    <row r="254" spans="1:24" x14ac:dyDescent="0.3">
      <c r="A254" s="8" t="s">
        <v>24</v>
      </c>
      <c r="B254" s="8" t="s">
        <v>279</v>
      </c>
      <c r="C254" s="8" t="s">
        <v>26</v>
      </c>
      <c r="D254" s="8" t="s">
        <v>280</v>
      </c>
      <c r="E254" s="8" t="s">
        <v>281</v>
      </c>
      <c r="F254" s="8" t="s">
        <v>221</v>
      </c>
      <c r="G254" s="8" t="s">
        <v>283</v>
      </c>
      <c r="H254" s="8" t="s">
        <v>284</v>
      </c>
      <c r="I254" s="8" t="s">
        <v>285</v>
      </c>
      <c r="J254" s="28">
        <v>45695.430949074071</v>
      </c>
      <c r="K254" s="28">
        <v>45863.464583333334</v>
      </c>
      <c r="L254" s="8" t="s">
        <v>286</v>
      </c>
      <c r="M254" s="8" t="s">
        <v>287</v>
      </c>
      <c r="N254" s="29">
        <v>0</v>
      </c>
      <c r="O254" s="29">
        <v>1</v>
      </c>
      <c r="P254" s="8" t="s">
        <v>35</v>
      </c>
      <c r="Q254" s="8" t="s">
        <v>36</v>
      </c>
      <c r="R254" s="8" t="s">
        <v>288</v>
      </c>
      <c r="S254" s="8" t="s">
        <v>38</v>
      </c>
      <c r="V254" s="26" t="str">
        <f>VLOOKUP(MID(Table1[[#This Row],[Nodo]],1,12),Tabla2[#Data],2,FALSE)</f>
        <v>APILADOR APILADOR SISTEMA DE A</v>
      </c>
      <c r="W254" s="26" t="str">
        <f t="shared" si="4"/>
        <v>MEC</v>
      </c>
      <c r="X254" s="26" t="e">
        <f>VLOOKUP(MID([1]!Table1[[#This Row],[Nodo]],1,7),[1]!Tabla5[#Data],2,FALSE)</f>
        <v>#N/A</v>
      </c>
    </row>
    <row r="255" spans="1:24" x14ac:dyDescent="0.3">
      <c r="A255" s="8" t="s">
        <v>24</v>
      </c>
      <c r="B255" s="8" t="s">
        <v>279</v>
      </c>
      <c r="C255" s="8" t="s">
        <v>26</v>
      </c>
      <c r="D255" s="8" t="s">
        <v>280</v>
      </c>
      <c r="E255" s="8" t="s">
        <v>281</v>
      </c>
      <c r="F255" s="8" t="s">
        <v>289</v>
      </c>
      <c r="G255" s="8" t="s">
        <v>283</v>
      </c>
      <c r="H255" s="8" t="s">
        <v>284</v>
      </c>
      <c r="I255" s="8" t="s">
        <v>285</v>
      </c>
      <c r="J255" s="28">
        <v>45695.430949074071</v>
      </c>
      <c r="K255" s="28">
        <v>45863.464583333334</v>
      </c>
      <c r="L255" s="8" t="s">
        <v>286</v>
      </c>
      <c r="M255" s="8" t="s">
        <v>287</v>
      </c>
      <c r="N255" s="29">
        <v>0</v>
      </c>
      <c r="O255" s="29">
        <v>1</v>
      </c>
      <c r="P255" s="8" t="s">
        <v>35</v>
      </c>
      <c r="Q255" s="8" t="s">
        <v>36</v>
      </c>
      <c r="R255" s="8" t="s">
        <v>288</v>
      </c>
      <c r="S255" s="8" t="s">
        <v>38</v>
      </c>
      <c r="V255" s="26" t="str">
        <f>VLOOKUP(MID(Table1[[#This Row],[Nodo]],1,12),Tabla2[#Data],2,FALSE)</f>
        <v>APILADOR APILADOR SISTEMA DE A</v>
      </c>
      <c r="W255" s="26" t="str">
        <f t="shared" si="4"/>
        <v>MEC</v>
      </c>
      <c r="X255" s="26" t="e">
        <f>VLOOKUP(MID([1]!Table1[[#This Row],[Nodo]],1,7),[1]!Tabla5[#Data],2,FALSE)</f>
        <v>#N/A</v>
      </c>
    </row>
    <row r="256" spans="1:24" x14ac:dyDescent="0.3">
      <c r="A256" s="8" t="s">
        <v>24</v>
      </c>
      <c r="B256" s="8" t="s">
        <v>279</v>
      </c>
      <c r="C256" s="8" t="s">
        <v>26</v>
      </c>
      <c r="D256" s="8" t="s">
        <v>280</v>
      </c>
      <c r="E256" s="8" t="s">
        <v>281</v>
      </c>
      <c r="F256" s="8" t="s">
        <v>282</v>
      </c>
      <c r="G256" s="8" t="s">
        <v>290</v>
      </c>
      <c r="H256" s="8" t="s">
        <v>291</v>
      </c>
      <c r="I256" s="8" t="s">
        <v>292</v>
      </c>
      <c r="J256" s="28">
        <v>45695.430983796294</v>
      </c>
      <c r="K256" s="28">
        <v>45863.464583333334</v>
      </c>
      <c r="L256" s="8" t="s">
        <v>286</v>
      </c>
      <c r="M256" s="8" t="s">
        <v>287</v>
      </c>
      <c r="N256" s="29">
        <v>0</v>
      </c>
      <c r="O256" s="29">
        <v>1</v>
      </c>
      <c r="P256" s="8" t="s">
        <v>35</v>
      </c>
      <c r="Q256" s="8" t="s">
        <v>36</v>
      </c>
      <c r="R256" s="8" t="s">
        <v>288</v>
      </c>
      <c r="S256" s="8" t="s">
        <v>38</v>
      </c>
      <c r="V256" s="26" t="str">
        <f>VLOOKUP(MID(Table1[[#This Row],[Nodo]],1,12),Tabla2[#Data],2,FALSE)</f>
        <v>EMBOBINADOR DE SCRAP</v>
      </c>
      <c r="W256" s="26" t="str">
        <f t="shared" si="4"/>
        <v>MEC</v>
      </c>
      <c r="X256" s="26" t="e">
        <f>VLOOKUP(MID([1]!Table1[[#This Row],[Nodo]],1,7),[1]!Tabla5[#Data],2,FALSE)</f>
        <v>#N/A</v>
      </c>
    </row>
    <row r="257" spans="1:24" x14ac:dyDescent="0.3">
      <c r="A257" s="8" t="s">
        <v>24</v>
      </c>
      <c r="B257" s="8" t="s">
        <v>279</v>
      </c>
      <c r="C257" s="8" t="s">
        <v>26</v>
      </c>
      <c r="D257" s="8" t="s">
        <v>280</v>
      </c>
      <c r="E257" s="8" t="s">
        <v>281</v>
      </c>
      <c r="F257" s="8" t="s">
        <v>221</v>
      </c>
      <c r="G257" s="8" t="s">
        <v>290</v>
      </c>
      <c r="H257" s="8" t="s">
        <v>291</v>
      </c>
      <c r="I257" s="8" t="s">
        <v>292</v>
      </c>
      <c r="J257" s="28">
        <v>45695.430983796294</v>
      </c>
      <c r="K257" s="28">
        <v>45863.464583333334</v>
      </c>
      <c r="L257" s="8" t="s">
        <v>286</v>
      </c>
      <c r="M257" s="8" t="s">
        <v>287</v>
      </c>
      <c r="N257" s="29">
        <v>0</v>
      </c>
      <c r="O257" s="29">
        <v>1</v>
      </c>
      <c r="P257" s="8" t="s">
        <v>35</v>
      </c>
      <c r="Q257" s="8" t="s">
        <v>36</v>
      </c>
      <c r="R257" s="8" t="s">
        <v>288</v>
      </c>
      <c r="S257" s="8" t="s">
        <v>38</v>
      </c>
      <c r="V257" s="26" t="str">
        <f>VLOOKUP(MID(Table1[[#This Row],[Nodo]],1,12),Tabla2[#Data],2,FALSE)</f>
        <v>EMBOBINADOR DE SCRAP</v>
      </c>
      <c r="W257" s="26" t="str">
        <f t="shared" si="4"/>
        <v>MEC</v>
      </c>
      <c r="X257" s="26" t="e">
        <f>VLOOKUP(MID([1]!Table1[[#This Row],[Nodo]],1,7),[1]!Tabla5[#Data],2,FALSE)</f>
        <v>#N/A</v>
      </c>
    </row>
    <row r="258" spans="1:24" x14ac:dyDescent="0.3">
      <c r="A258" s="8" t="s">
        <v>24</v>
      </c>
      <c r="B258" s="8" t="s">
        <v>279</v>
      </c>
      <c r="C258" s="8" t="s">
        <v>26</v>
      </c>
      <c r="D258" s="8" t="s">
        <v>280</v>
      </c>
      <c r="E258" s="8" t="s">
        <v>281</v>
      </c>
      <c r="F258" s="8" t="s">
        <v>289</v>
      </c>
      <c r="G258" s="8" t="s">
        <v>290</v>
      </c>
      <c r="H258" s="8" t="s">
        <v>291</v>
      </c>
      <c r="I258" s="8" t="s">
        <v>292</v>
      </c>
      <c r="J258" s="28">
        <v>45695.430983796294</v>
      </c>
      <c r="K258" s="28">
        <v>45863.464583333334</v>
      </c>
      <c r="L258" s="8" t="s">
        <v>286</v>
      </c>
      <c r="M258" s="8" t="s">
        <v>287</v>
      </c>
      <c r="N258" s="29">
        <v>0</v>
      </c>
      <c r="O258" s="29">
        <v>1</v>
      </c>
      <c r="P258" s="8" t="s">
        <v>35</v>
      </c>
      <c r="Q258" s="8" t="s">
        <v>36</v>
      </c>
      <c r="R258" s="8" t="s">
        <v>288</v>
      </c>
      <c r="S258" s="8" t="s">
        <v>38</v>
      </c>
      <c r="V258" s="26" t="str">
        <f>VLOOKUP(MID(Table1[[#This Row],[Nodo]],1,12),Tabla2[#Data],2,FALSE)</f>
        <v>EMBOBINADOR DE SCRAP</v>
      </c>
      <c r="W258" s="26" t="str">
        <f t="shared" si="4"/>
        <v>MEC</v>
      </c>
      <c r="X258" s="26" t="e">
        <f>VLOOKUP(MID([1]!Table1[[#This Row],[Nodo]],1,7),[1]!Tabla5[#Data],2,FALSE)</f>
        <v>#N/A</v>
      </c>
    </row>
    <row r="259" spans="1:24" x14ac:dyDescent="0.3">
      <c r="A259" s="8" t="s">
        <v>24</v>
      </c>
      <c r="B259" s="8" t="s">
        <v>279</v>
      </c>
      <c r="C259" s="8" t="s">
        <v>26</v>
      </c>
      <c r="D259" s="8" t="s">
        <v>280</v>
      </c>
      <c r="E259" s="8" t="s">
        <v>281</v>
      </c>
      <c r="F259" s="8" t="s">
        <v>282</v>
      </c>
      <c r="G259" s="8" t="s">
        <v>293</v>
      </c>
      <c r="H259" s="8" t="s">
        <v>294</v>
      </c>
      <c r="I259" s="8" t="s">
        <v>295</v>
      </c>
      <c r="J259" s="28">
        <v>45695.431018518517</v>
      </c>
      <c r="K259" s="28">
        <v>45863.464583333334</v>
      </c>
      <c r="L259" s="8" t="s">
        <v>286</v>
      </c>
      <c r="M259" s="8" t="s">
        <v>287</v>
      </c>
      <c r="N259" s="29">
        <v>0</v>
      </c>
      <c r="O259" s="29">
        <v>1</v>
      </c>
      <c r="P259" s="8" t="s">
        <v>35</v>
      </c>
      <c r="Q259" s="8" t="s">
        <v>36</v>
      </c>
      <c r="R259" s="8" t="s">
        <v>288</v>
      </c>
      <c r="S259" s="8" t="s">
        <v>38</v>
      </c>
      <c r="V259" s="26" t="str">
        <f>VLOOKUP(MID(Table1[[#This Row],[Nodo]],1,12),Tabla2[#Data],2,FALSE)</f>
        <v>ESTACION DE FORMADO</v>
      </c>
      <c r="W259" s="26" t="str">
        <f t="shared" ref="W259:W322" si="5">IF(MID(E259,1,3)="ELE","ELE",IF(MID(E259,1,3)="INS","ELE",IF(MID(E259,1,3)="MEC","MEC",IF(MID(E259,1,3)="LUB","MEC",IF(MID(E259,1,3)="IST","ELE"," ")))))</f>
        <v>MEC</v>
      </c>
      <c r="X259" s="26" t="e">
        <f>VLOOKUP(MID([1]!Table1[[#This Row],[Nodo]],1,7),[1]!Tabla5[#Data],2,FALSE)</f>
        <v>#N/A</v>
      </c>
    </row>
    <row r="260" spans="1:24" x14ac:dyDescent="0.3">
      <c r="A260" s="8" t="s">
        <v>24</v>
      </c>
      <c r="B260" s="8" t="s">
        <v>279</v>
      </c>
      <c r="C260" s="8" t="s">
        <v>26</v>
      </c>
      <c r="D260" s="8" t="s">
        <v>280</v>
      </c>
      <c r="E260" s="8" t="s">
        <v>281</v>
      </c>
      <c r="F260" s="8" t="s">
        <v>221</v>
      </c>
      <c r="G260" s="8" t="s">
        <v>293</v>
      </c>
      <c r="H260" s="8" t="s">
        <v>294</v>
      </c>
      <c r="I260" s="8" t="s">
        <v>295</v>
      </c>
      <c r="J260" s="28">
        <v>45695.431018518517</v>
      </c>
      <c r="K260" s="28">
        <v>45863.464583333334</v>
      </c>
      <c r="L260" s="8" t="s">
        <v>286</v>
      </c>
      <c r="M260" s="8" t="s">
        <v>287</v>
      </c>
      <c r="N260" s="29">
        <v>0</v>
      </c>
      <c r="O260" s="29">
        <v>1</v>
      </c>
      <c r="P260" s="8" t="s">
        <v>35</v>
      </c>
      <c r="Q260" s="8" t="s">
        <v>36</v>
      </c>
      <c r="R260" s="8" t="s">
        <v>288</v>
      </c>
      <c r="S260" s="8" t="s">
        <v>38</v>
      </c>
      <c r="V260" s="26" t="str">
        <f>VLOOKUP(MID(Table1[[#This Row],[Nodo]],1,12),Tabla2[#Data],2,FALSE)</f>
        <v>ESTACION DE FORMADO</v>
      </c>
      <c r="W260" s="26" t="str">
        <f t="shared" si="5"/>
        <v>MEC</v>
      </c>
      <c r="X260" s="26" t="e">
        <f>VLOOKUP(MID([1]!Table1[[#This Row],[Nodo]],1,7),[1]!Tabla5[#Data],2,FALSE)</f>
        <v>#N/A</v>
      </c>
    </row>
    <row r="261" spans="1:24" x14ac:dyDescent="0.3">
      <c r="A261" s="8" t="s">
        <v>24</v>
      </c>
      <c r="B261" s="8" t="s">
        <v>279</v>
      </c>
      <c r="C261" s="8" t="s">
        <v>26</v>
      </c>
      <c r="D261" s="8" t="s">
        <v>280</v>
      </c>
      <c r="E261" s="8" t="s">
        <v>281</v>
      </c>
      <c r="F261" s="8" t="s">
        <v>289</v>
      </c>
      <c r="G261" s="8" t="s">
        <v>293</v>
      </c>
      <c r="H261" s="8" t="s">
        <v>294</v>
      </c>
      <c r="I261" s="8" t="s">
        <v>295</v>
      </c>
      <c r="J261" s="28">
        <v>45695.431018518517</v>
      </c>
      <c r="K261" s="28">
        <v>45863.464583333334</v>
      </c>
      <c r="L261" s="8" t="s">
        <v>286</v>
      </c>
      <c r="M261" s="8" t="s">
        <v>287</v>
      </c>
      <c r="N261" s="29">
        <v>0</v>
      </c>
      <c r="O261" s="29">
        <v>1</v>
      </c>
      <c r="P261" s="8" t="s">
        <v>35</v>
      </c>
      <c r="Q261" s="8" t="s">
        <v>36</v>
      </c>
      <c r="R261" s="8" t="s">
        <v>288</v>
      </c>
      <c r="S261" s="8" t="s">
        <v>38</v>
      </c>
      <c r="V261" s="26" t="str">
        <f>VLOOKUP(MID(Table1[[#This Row],[Nodo]],1,12),Tabla2[#Data],2,FALSE)</f>
        <v>ESTACION DE FORMADO</v>
      </c>
      <c r="W261" s="26" t="str">
        <f t="shared" si="5"/>
        <v>MEC</v>
      </c>
      <c r="X261" s="26" t="e">
        <f>VLOOKUP(MID([1]!Table1[[#This Row],[Nodo]],1,7),[1]!Tabla5[#Data],2,FALSE)</f>
        <v>#N/A</v>
      </c>
    </row>
    <row r="262" spans="1:24" x14ac:dyDescent="0.3">
      <c r="A262" s="8" t="s">
        <v>24</v>
      </c>
      <c r="B262" s="8" t="s">
        <v>279</v>
      </c>
      <c r="C262" s="8" t="s">
        <v>26</v>
      </c>
      <c r="D262" s="8" t="s">
        <v>280</v>
      </c>
      <c r="E262" s="8" t="s">
        <v>281</v>
      </c>
      <c r="F262" s="8" t="s">
        <v>282</v>
      </c>
      <c r="G262" s="8" t="s">
        <v>296</v>
      </c>
      <c r="H262" s="8" t="s">
        <v>297</v>
      </c>
      <c r="I262" s="8" t="s">
        <v>298</v>
      </c>
      <c r="J262" s="28">
        <v>45695.431041666663</v>
      </c>
      <c r="K262" s="28">
        <v>45863.464583333334</v>
      </c>
      <c r="L262" s="8" t="s">
        <v>286</v>
      </c>
      <c r="M262" s="8" t="s">
        <v>287</v>
      </c>
      <c r="N262" s="29">
        <v>0</v>
      </c>
      <c r="O262" s="29">
        <v>1</v>
      </c>
      <c r="P262" s="8" t="s">
        <v>35</v>
      </c>
      <c r="Q262" s="8" t="s">
        <v>36</v>
      </c>
      <c r="R262" s="8" t="s">
        <v>288</v>
      </c>
      <c r="S262" s="8" t="s">
        <v>38</v>
      </c>
      <c r="V262" s="26" t="str">
        <f>VLOOKUP(MID(Table1[[#This Row],[Nodo]],1,12),Tabla2[#Data],2,FALSE)</f>
        <v>PRECALENTADOR</v>
      </c>
      <c r="W262" s="26" t="str">
        <f t="shared" si="5"/>
        <v>MEC</v>
      </c>
      <c r="X262" s="26" t="e">
        <f>VLOOKUP(MID([1]!Table1[[#This Row],[Nodo]],1,7),[1]!Tabla5[#Data],2,FALSE)</f>
        <v>#N/A</v>
      </c>
    </row>
    <row r="263" spans="1:24" x14ac:dyDescent="0.3">
      <c r="A263" s="8" t="s">
        <v>24</v>
      </c>
      <c r="B263" s="8" t="s">
        <v>279</v>
      </c>
      <c r="C263" s="8" t="s">
        <v>26</v>
      </c>
      <c r="D263" s="8" t="s">
        <v>280</v>
      </c>
      <c r="E263" s="8" t="s">
        <v>281</v>
      </c>
      <c r="F263" s="8" t="s">
        <v>221</v>
      </c>
      <c r="G263" s="8" t="s">
        <v>296</v>
      </c>
      <c r="H263" s="8" t="s">
        <v>297</v>
      </c>
      <c r="I263" s="8" t="s">
        <v>298</v>
      </c>
      <c r="J263" s="28">
        <v>45695.431041666663</v>
      </c>
      <c r="K263" s="28">
        <v>45863.464583333334</v>
      </c>
      <c r="L263" s="8" t="s">
        <v>286</v>
      </c>
      <c r="M263" s="8" t="s">
        <v>287</v>
      </c>
      <c r="N263" s="29">
        <v>0</v>
      </c>
      <c r="O263" s="29">
        <v>1</v>
      </c>
      <c r="P263" s="8" t="s">
        <v>35</v>
      </c>
      <c r="Q263" s="8" t="s">
        <v>36</v>
      </c>
      <c r="R263" s="8" t="s">
        <v>288</v>
      </c>
      <c r="S263" s="8" t="s">
        <v>38</v>
      </c>
      <c r="V263" s="26" t="str">
        <f>VLOOKUP(MID(Table1[[#This Row],[Nodo]],1,12),Tabla2[#Data],2,FALSE)</f>
        <v>PRECALENTADOR</v>
      </c>
      <c r="W263" s="26" t="str">
        <f t="shared" si="5"/>
        <v>MEC</v>
      </c>
      <c r="X263" s="26" t="e">
        <f>VLOOKUP(MID([1]!Table1[[#This Row],[Nodo]],1,7),[1]!Tabla5[#Data],2,FALSE)</f>
        <v>#N/A</v>
      </c>
    </row>
    <row r="264" spans="1:24" x14ac:dyDescent="0.3">
      <c r="A264" s="8" t="s">
        <v>24</v>
      </c>
      <c r="B264" s="8" t="s">
        <v>279</v>
      </c>
      <c r="C264" s="8" t="s">
        <v>26</v>
      </c>
      <c r="D264" s="8" t="s">
        <v>280</v>
      </c>
      <c r="E264" s="8" t="s">
        <v>281</v>
      </c>
      <c r="F264" s="8" t="s">
        <v>289</v>
      </c>
      <c r="G264" s="8" t="s">
        <v>296</v>
      </c>
      <c r="H264" s="8" t="s">
        <v>297</v>
      </c>
      <c r="I264" s="8" t="s">
        <v>298</v>
      </c>
      <c r="J264" s="28">
        <v>45695.431041666663</v>
      </c>
      <c r="K264" s="28">
        <v>45863.464583333334</v>
      </c>
      <c r="L264" s="8" t="s">
        <v>286</v>
      </c>
      <c r="M264" s="8" t="s">
        <v>287</v>
      </c>
      <c r="N264" s="29">
        <v>0</v>
      </c>
      <c r="O264" s="29">
        <v>1</v>
      </c>
      <c r="P264" s="8" t="s">
        <v>35</v>
      </c>
      <c r="Q264" s="8" t="s">
        <v>36</v>
      </c>
      <c r="R264" s="8" t="s">
        <v>288</v>
      </c>
      <c r="S264" s="8" t="s">
        <v>38</v>
      </c>
      <c r="V264" s="26" t="str">
        <f>VLOOKUP(MID(Table1[[#This Row],[Nodo]],1,12),Tabla2[#Data],2,FALSE)</f>
        <v>PRECALENTADOR</v>
      </c>
      <c r="W264" s="26" t="str">
        <f t="shared" si="5"/>
        <v>MEC</v>
      </c>
      <c r="X264" s="26" t="e">
        <f>VLOOKUP(MID([1]!Table1[[#This Row],[Nodo]],1,7),[1]!Tabla5[#Data],2,FALSE)</f>
        <v>#N/A</v>
      </c>
    </row>
    <row r="265" spans="1:24" x14ac:dyDescent="0.3">
      <c r="A265" s="8" t="s">
        <v>24</v>
      </c>
      <c r="B265" s="8" t="s">
        <v>279</v>
      </c>
      <c r="C265" s="8" t="s">
        <v>26</v>
      </c>
      <c r="D265" s="8" t="s">
        <v>299</v>
      </c>
      <c r="E265" s="8" t="s">
        <v>300</v>
      </c>
      <c r="F265" s="8" t="s">
        <v>301</v>
      </c>
      <c r="G265" s="8" t="s">
        <v>30</v>
      </c>
      <c r="H265" s="8" t="s">
        <v>31</v>
      </c>
      <c r="I265" s="8" t="s">
        <v>32</v>
      </c>
      <c r="J265" s="28">
        <v>45695.431006944447</v>
      </c>
      <c r="K265" s="28">
        <v>45863.464583333334</v>
      </c>
      <c r="L265" s="8" t="s">
        <v>286</v>
      </c>
      <c r="M265" s="8" t="s">
        <v>287</v>
      </c>
      <c r="N265" s="29">
        <v>0</v>
      </c>
      <c r="O265" s="29">
        <v>1</v>
      </c>
      <c r="P265" s="8" t="s">
        <v>35</v>
      </c>
      <c r="Q265" s="8" t="s">
        <v>36</v>
      </c>
      <c r="R265" s="8" t="s">
        <v>302</v>
      </c>
      <c r="S265" s="8" t="s">
        <v>38</v>
      </c>
      <c r="V265" s="26" t="str">
        <f>VLOOKUP(MID(Table1[[#This Row],[Nodo]],1,12),Tabla2[#Data],2,FALSE)</f>
        <v>ESTACION DE FORMADO</v>
      </c>
      <c r="W265" s="26" t="str">
        <f t="shared" si="5"/>
        <v>MEC</v>
      </c>
      <c r="X265" s="26" t="e">
        <f>VLOOKUP(MID([1]!Table1[[#This Row],[Nodo]],1,7),[1]!Tabla5[#Data],2,FALSE)</f>
        <v>#N/A</v>
      </c>
    </row>
    <row r="266" spans="1:24" x14ac:dyDescent="0.3">
      <c r="A266" s="8" t="s">
        <v>24</v>
      </c>
      <c r="B266" s="8" t="s">
        <v>279</v>
      </c>
      <c r="C266" s="8" t="s">
        <v>26</v>
      </c>
      <c r="D266" s="8" t="s">
        <v>299</v>
      </c>
      <c r="E266" s="8" t="s">
        <v>300</v>
      </c>
      <c r="F266" s="8" t="s">
        <v>303</v>
      </c>
      <c r="G266" s="8" t="s">
        <v>30</v>
      </c>
      <c r="H266" s="8" t="s">
        <v>31</v>
      </c>
      <c r="I266" s="8" t="s">
        <v>32</v>
      </c>
      <c r="J266" s="28">
        <v>45695.431006944447</v>
      </c>
      <c r="K266" s="28">
        <v>45863.464583333334</v>
      </c>
      <c r="L266" s="8" t="s">
        <v>286</v>
      </c>
      <c r="M266" s="8" t="s">
        <v>287</v>
      </c>
      <c r="N266" s="29">
        <v>0</v>
      </c>
      <c r="O266" s="29">
        <v>1</v>
      </c>
      <c r="P266" s="8" t="s">
        <v>35</v>
      </c>
      <c r="Q266" s="8" t="s">
        <v>36</v>
      </c>
      <c r="R266" s="8" t="s">
        <v>302</v>
      </c>
      <c r="S266" s="8" t="s">
        <v>38</v>
      </c>
      <c r="V266" s="26" t="str">
        <f>VLOOKUP(MID(Table1[[#This Row],[Nodo]],1,12),Tabla2[#Data],2,FALSE)</f>
        <v>ESTACION DE FORMADO</v>
      </c>
      <c r="W266" s="26" t="str">
        <f t="shared" si="5"/>
        <v>MEC</v>
      </c>
      <c r="X266" s="26" t="e">
        <f>VLOOKUP(MID([1]!Table1[[#This Row],[Nodo]],1,7),[1]!Tabla5[#Data],2,FALSE)</f>
        <v>#N/A</v>
      </c>
    </row>
    <row r="267" spans="1:24" x14ac:dyDescent="0.3">
      <c r="A267" s="8" t="s">
        <v>24</v>
      </c>
      <c r="B267" s="8" t="s">
        <v>279</v>
      </c>
      <c r="C267" s="8" t="s">
        <v>26</v>
      </c>
      <c r="D267" s="8" t="s">
        <v>299</v>
      </c>
      <c r="E267" s="8" t="s">
        <v>300</v>
      </c>
      <c r="F267" s="8" t="s">
        <v>304</v>
      </c>
      <c r="G267" s="8" t="s">
        <v>30</v>
      </c>
      <c r="H267" s="8" t="s">
        <v>31</v>
      </c>
      <c r="I267" s="8" t="s">
        <v>32</v>
      </c>
      <c r="J267" s="28">
        <v>45695.431006944447</v>
      </c>
      <c r="K267" s="28">
        <v>45863.464583333334</v>
      </c>
      <c r="L267" s="8" t="s">
        <v>286</v>
      </c>
      <c r="M267" s="8" t="s">
        <v>287</v>
      </c>
      <c r="N267" s="29">
        <v>0</v>
      </c>
      <c r="O267" s="29">
        <v>1</v>
      </c>
      <c r="P267" s="8" t="s">
        <v>35</v>
      </c>
      <c r="Q267" s="8" t="s">
        <v>36</v>
      </c>
      <c r="R267" s="8" t="s">
        <v>302</v>
      </c>
      <c r="S267" s="8" t="s">
        <v>38</v>
      </c>
      <c r="V267" s="26" t="str">
        <f>VLOOKUP(MID(Table1[[#This Row],[Nodo]],1,12),Tabla2[#Data],2,FALSE)</f>
        <v>ESTACION DE FORMADO</v>
      </c>
      <c r="W267" s="26" t="str">
        <f t="shared" si="5"/>
        <v>MEC</v>
      </c>
      <c r="X267" s="26" t="e">
        <f>VLOOKUP(MID([1]!Table1[[#This Row],[Nodo]],1,7),[1]!Tabla5[#Data],2,FALSE)</f>
        <v>#N/A</v>
      </c>
    </row>
    <row r="268" spans="1:24" x14ac:dyDescent="0.3">
      <c r="A268" s="8" t="s">
        <v>24</v>
      </c>
      <c r="B268" s="8" t="s">
        <v>279</v>
      </c>
      <c r="C268" s="8" t="s">
        <v>26</v>
      </c>
      <c r="D268" s="8" t="s">
        <v>299</v>
      </c>
      <c r="E268" s="8" t="s">
        <v>300</v>
      </c>
      <c r="F268" s="8" t="s">
        <v>305</v>
      </c>
      <c r="G268" s="8" t="s">
        <v>30</v>
      </c>
      <c r="H268" s="8" t="s">
        <v>31</v>
      </c>
      <c r="I268" s="8" t="s">
        <v>32</v>
      </c>
      <c r="J268" s="28">
        <v>45695.431006944447</v>
      </c>
      <c r="K268" s="28">
        <v>45863.464583333334</v>
      </c>
      <c r="L268" s="8" t="s">
        <v>286</v>
      </c>
      <c r="M268" s="8" t="s">
        <v>287</v>
      </c>
      <c r="N268" s="29">
        <v>0</v>
      </c>
      <c r="O268" s="29">
        <v>1</v>
      </c>
      <c r="P268" s="8" t="s">
        <v>35</v>
      </c>
      <c r="Q268" s="8" t="s">
        <v>36</v>
      </c>
      <c r="R268" s="8" t="s">
        <v>302</v>
      </c>
      <c r="S268" s="8" t="s">
        <v>38</v>
      </c>
      <c r="V268" s="26" t="str">
        <f>VLOOKUP(MID(Table1[[#This Row],[Nodo]],1,12),Tabla2[#Data],2,FALSE)</f>
        <v>ESTACION DE FORMADO</v>
      </c>
      <c r="W268" s="26" t="str">
        <f t="shared" si="5"/>
        <v>MEC</v>
      </c>
      <c r="X268" s="26" t="e">
        <f>VLOOKUP(MID([1]!Table1[[#This Row],[Nodo]],1,7),[1]!Tabla5[#Data],2,FALSE)</f>
        <v>#N/A</v>
      </c>
    </row>
    <row r="269" spans="1:24" x14ac:dyDescent="0.3">
      <c r="A269" s="8" t="s">
        <v>24</v>
      </c>
      <c r="B269" s="8" t="s">
        <v>279</v>
      </c>
      <c r="C269" s="8" t="s">
        <v>26</v>
      </c>
      <c r="D269" s="8" t="s">
        <v>299</v>
      </c>
      <c r="E269" s="8" t="s">
        <v>300</v>
      </c>
      <c r="F269" s="8" t="s">
        <v>301</v>
      </c>
      <c r="G269" s="8" t="s">
        <v>40</v>
      </c>
      <c r="H269" s="8" t="s">
        <v>41</v>
      </c>
      <c r="I269" s="8" t="s">
        <v>42</v>
      </c>
      <c r="J269" s="28">
        <v>45695.431006944447</v>
      </c>
      <c r="K269" s="28">
        <v>45863.464583333334</v>
      </c>
      <c r="L269" s="8" t="s">
        <v>286</v>
      </c>
      <c r="M269" s="8" t="s">
        <v>287</v>
      </c>
      <c r="N269" s="29">
        <v>0</v>
      </c>
      <c r="O269" s="29">
        <v>1</v>
      </c>
      <c r="P269" s="8" t="s">
        <v>35</v>
      </c>
      <c r="Q269" s="8" t="s">
        <v>36</v>
      </c>
      <c r="R269" s="8" t="s">
        <v>302</v>
      </c>
      <c r="S269" s="8" t="s">
        <v>38</v>
      </c>
      <c r="V269" s="26" t="str">
        <f>VLOOKUP(MID(Table1[[#This Row],[Nodo]],1,12),Tabla2[#Data],2,FALSE)</f>
        <v>ESTACION DE FORMADO</v>
      </c>
      <c r="W269" s="26" t="str">
        <f t="shared" si="5"/>
        <v>MEC</v>
      </c>
      <c r="X269" s="26" t="e">
        <f>VLOOKUP(MID([1]!Table1[[#This Row],[Nodo]],1,7),[1]!Tabla5[#Data],2,FALSE)</f>
        <v>#N/A</v>
      </c>
    </row>
    <row r="270" spans="1:24" x14ac:dyDescent="0.3">
      <c r="A270" s="8" t="s">
        <v>24</v>
      </c>
      <c r="B270" s="8" t="s">
        <v>279</v>
      </c>
      <c r="C270" s="8" t="s">
        <v>26</v>
      </c>
      <c r="D270" s="8" t="s">
        <v>299</v>
      </c>
      <c r="E270" s="8" t="s">
        <v>300</v>
      </c>
      <c r="F270" s="8" t="s">
        <v>303</v>
      </c>
      <c r="G270" s="8" t="s">
        <v>40</v>
      </c>
      <c r="H270" s="8" t="s">
        <v>41</v>
      </c>
      <c r="I270" s="8" t="s">
        <v>42</v>
      </c>
      <c r="J270" s="28">
        <v>45695.431006944447</v>
      </c>
      <c r="K270" s="28">
        <v>45863.464583333334</v>
      </c>
      <c r="L270" s="8" t="s">
        <v>286</v>
      </c>
      <c r="M270" s="8" t="s">
        <v>287</v>
      </c>
      <c r="N270" s="29">
        <v>0</v>
      </c>
      <c r="O270" s="29">
        <v>1</v>
      </c>
      <c r="P270" s="8" t="s">
        <v>35</v>
      </c>
      <c r="Q270" s="8" t="s">
        <v>36</v>
      </c>
      <c r="R270" s="8" t="s">
        <v>302</v>
      </c>
      <c r="S270" s="8" t="s">
        <v>38</v>
      </c>
      <c r="V270" s="26" t="str">
        <f>VLOOKUP(MID(Table1[[#This Row],[Nodo]],1,12),Tabla2[#Data],2,FALSE)</f>
        <v>ESTACION DE FORMADO</v>
      </c>
      <c r="W270" s="26" t="str">
        <f t="shared" si="5"/>
        <v>MEC</v>
      </c>
      <c r="X270" s="26" t="e">
        <f>VLOOKUP(MID([1]!Table1[[#This Row],[Nodo]],1,7),[1]!Tabla5[#Data],2,FALSE)</f>
        <v>#N/A</v>
      </c>
    </row>
    <row r="271" spans="1:24" x14ac:dyDescent="0.3">
      <c r="A271" s="8" t="s">
        <v>24</v>
      </c>
      <c r="B271" s="8" t="s">
        <v>279</v>
      </c>
      <c r="C271" s="8" t="s">
        <v>26</v>
      </c>
      <c r="D271" s="8" t="s">
        <v>299</v>
      </c>
      <c r="E271" s="8" t="s">
        <v>300</v>
      </c>
      <c r="F271" s="8" t="s">
        <v>304</v>
      </c>
      <c r="G271" s="8" t="s">
        <v>40</v>
      </c>
      <c r="H271" s="8" t="s">
        <v>41</v>
      </c>
      <c r="I271" s="8" t="s">
        <v>42</v>
      </c>
      <c r="J271" s="28">
        <v>45695.431006944447</v>
      </c>
      <c r="K271" s="28">
        <v>45863.464583333334</v>
      </c>
      <c r="L271" s="8" t="s">
        <v>286</v>
      </c>
      <c r="M271" s="8" t="s">
        <v>287</v>
      </c>
      <c r="N271" s="29">
        <v>0</v>
      </c>
      <c r="O271" s="29">
        <v>1</v>
      </c>
      <c r="P271" s="8" t="s">
        <v>35</v>
      </c>
      <c r="Q271" s="8" t="s">
        <v>36</v>
      </c>
      <c r="R271" s="8" t="s">
        <v>302</v>
      </c>
      <c r="S271" s="8" t="s">
        <v>38</v>
      </c>
      <c r="V271" s="26" t="str">
        <f>VLOOKUP(MID(Table1[[#This Row],[Nodo]],1,12),Tabla2[#Data],2,FALSE)</f>
        <v>ESTACION DE FORMADO</v>
      </c>
      <c r="W271" s="26" t="str">
        <f t="shared" si="5"/>
        <v>MEC</v>
      </c>
      <c r="X271" s="26" t="e">
        <f>VLOOKUP(MID([1]!Table1[[#This Row],[Nodo]],1,7),[1]!Tabla5[#Data],2,FALSE)</f>
        <v>#N/A</v>
      </c>
    </row>
    <row r="272" spans="1:24" x14ac:dyDescent="0.3">
      <c r="A272" s="8" t="s">
        <v>24</v>
      </c>
      <c r="B272" s="8" t="s">
        <v>279</v>
      </c>
      <c r="C272" s="8" t="s">
        <v>26</v>
      </c>
      <c r="D272" s="8" t="s">
        <v>299</v>
      </c>
      <c r="E272" s="8" t="s">
        <v>300</v>
      </c>
      <c r="F272" s="8" t="s">
        <v>305</v>
      </c>
      <c r="G272" s="8" t="s">
        <v>40</v>
      </c>
      <c r="H272" s="8" t="s">
        <v>41</v>
      </c>
      <c r="I272" s="8" t="s">
        <v>42</v>
      </c>
      <c r="J272" s="28">
        <v>45695.431006944447</v>
      </c>
      <c r="K272" s="28">
        <v>45863.464583333334</v>
      </c>
      <c r="L272" s="8" t="s">
        <v>286</v>
      </c>
      <c r="M272" s="8" t="s">
        <v>287</v>
      </c>
      <c r="N272" s="29">
        <v>0</v>
      </c>
      <c r="O272" s="29">
        <v>1</v>
      </c>
      <c r="P272" s="8" t="s">
        <v>35</v>
      </c>
      <c r="Q272" s="8" t="s">
        <v>36</v>
      </c>
      <c r="R272" s="8" t="s">
        <v>302</v>
      </c>
      <c r="S272" s="8" t="s">
        <v>38</v>
      </c>
      <c r="V272" s="26" t="str">
        <f>VLOOKUP(MID(Table1[[#This Row],[Nodo]],1,12),Tabla2[#Data],2,FALSE)</f>
        <v>ESTACION DE FORMADO</v>
      </c>
      <c r="W272" s="26" t="str">
        <f t="shared" si="5"/>
        <v>MEC</v>
      </c>
      <c r="X272" s="26" t="e">
        <f>VLOOKUP(MID([1]!Table1[[#This Row],[Nodo]],1,7),[1]!Tabla5[#Data],2,FALSE)</f>
        <v>#N/A</v>
      </c>
    </row>
    <row r="273" spans="1:24" x14ac:dyDescent="0.3">
      <c r="A273" s="8" t="s">
        <v>24</v>
      </c>
      <c r="B273" s="8" t="s">
        <v>279</v>
      </c>
      <c r="C273" s="8" t="s">
        <v>26</v>
      </c>
      <c r="D273" s="8" t="s">
        <v>299</v>
      </c>
      <c r="E273" s="8" t="s">
        <v>300</v>
      </c>
      <c r="F273" s="8" t="s">
        <v>301</v>
      </c>
      <c r="G273" s="8" t="s">
        <v>43</v>
      </c>
      <c r="H273" s="8" t="s">
        <v>44</v>
      </c>
      <c r="I273" s="8" t="s">
        <v>45</v>
      </c>
      <c r="J273" s="28">
        <v>45695.431018518517</v>
      </c>
      <c r="K273" s="28">
        <v>45863.464583333334</v>
      </c>
      <c r="L273" s="8" t="s">
        <v>286</v>
      </c>
      <c r="M273" s="8" t="s">
        <v>287</v>
      </c>
      <c r="N273" s="29">
        <v>0</v>
      </c>
      <c r="O273" s="29">
        <v>1</v>
      </c>
      <c r="P273" s="8" t="s">
        <v>35</v>
      </c>
      <c r="Q273" s="8" t="s">
        <v>36</v>
      </c>
      <c r="R273" s="8" t="s">
        <v>302</v>
      </c>
      <c r="S273" s="8" t="s">
        <v>38</v>
      </c>
      <c r="V273" s="26" t="str">
        <f>VLOOKUP(MID(Table1[[#This Row],[Nodo]],1,12),Tabla2[#Data],2,FALSE)</f>
        <v>ESTACION DE FORMADO</v>
      </c>
      <c r="W273" s="26" t="str">
        <f t="shared" si="5"/>
        <v>MEC</v>
      </c>
      <c r="X273" s="26" t="e">
        <f>VLOOKUP(MID([1]!Table1[[#This Row],[Nodo]],1,7),[1]!Tabla5[#Data],2,FALSE)</f>
        <v>#N/A</v>
      </c>
    </row>
    <row r="274" spans="1:24" x14ac:dyDescent="0.3">
      <c r="A274" s="8" t="s">
        <v>24</v>
      </c>
      <c r="B274" s="8" t="s">
        <v>279</v>
      </c>
      <c r="C274" s="8" t="s">
        <v>26</v>
      </c>
      <c r="D274" s="8" t="s">
        <v>299</v>
      </c>
      <c r="E274" s="8" t="s">
        <v>300</v>
      </c>
      <c r="F274" s="8" t="s">
        <v>303</v>
      </c>
      <c r="G274" s="8" t="s">
        <v>43</v>
      </c>
      <c r="H274" s="8" t="s">
        <v>44</v>
      </c>
      <c r="I274" s="8" t="s">
        <v>45</v>
      </c>
      <c r="J274" s="28">
        <v>45695.431018518517</v>
      </c>
      <c r="K274" s="28">
        <v>45863.464583333334</v>
      </c>
      <c r="L274" s="8" t="s">
        <v>286</v>
      </c>
      <c r="M274" s="8" t="s">
        <v>287</v>
      </c>
      <c r="N274" s="29">
        <v>0</v>
      </c>
      <c r="O274" s="29">
        <v>1</v>
      </c>
      <c r="P274" s="8" t="s">
        <v>35</v>
      </c>
      <c r="Q274" s="8" t="s">
        <v>36</v>
      </c>
      <c r="R274" s="8" t="s">
        <v>302</v>
      </c>
      <c r="S274" s="8" t="s">
        <v>38</v>
      </c>
      <c r="V274" s="26" t="str">
        <f>VLOOKUP(MID(Table1[[#This Row],[Nodo]],1,12),Tabla2[#Data],2,FALSE)</f>
        <v>ESTACION DE FORMADO</v>
      </c>
      <c r="W274" s="26" t="str">
        <f t="shared" si="5"/>
        <v>MEC</v>
      </c>
      <c r="X274" s="26" t="e">
        <f>VLOOKUP(MID([1]!Table1[[#This Row],[Nodo]],1,7),[1]!Tabla5[#Data],2,FALSE)</f>
        <v>#N/A</v>
      </c>
    </row>
    <row r="275" spans="1:24" x14ac:dyDescent="0.3">
      <c r="A275" s="8" t="s">
        <v>24</v>
      </c>
      <c r="B275" s="8" t="s">
        <v>279</v>
      </c>
      <c r="C275" s="8" t="s">
        <v>26</v>
      </c>
      <c r="D275" s="8" t="s">
        <v>299</v>
      </c>
      <c r="E275" s="8" t="s">
        <v>300</v>
      </c>
      <c r="F275" s="8" t="s">
        <v>304</v>
      </c>
      <c r="G275" s="8" t="s">
        <v>43</v>
      </c>
      <c r="H275" s="8" t="s">
        <v>44</v>
      </c>
      <c r="I275" s="8" t="s">
        <v>45</v>
      </c>
      <c r="J275" s="28">
        <v>45695.431018518517</v>
      </c>
      <c r="K275" s="28">
        <v>45863.464583333334</v>
      </c>
      <c r="L275" s="8" t="s">
        <v>286</v>
      </c>
      <c r="M275" s="8" t="s">
        <v>287</v>
      </c>
      <c r="N275" s="29">
        <v>0</v>
      </c>
      <c r="O275" s="29">
        <v>1</v>
      </c>
      <c r="P275" s="8" t="s">
        <v>35</v>
      </c>
      <c r="Q275" s="8" t="s">
        <v>36</v>
      </c>
      <c r="R275" s="8" t="s">
        <v>302</v>
      </c>
      <c r="S275" s="8" t="s">
        <v>38</v>
      </c>
      <c r="V275" s="26" t="str">
        <f>VLOOKUP(MID(Table1[[#This Row],[Nodo]],1,12),Tabla2[#Data],2,FALSE)</f>
        <v>ESTACION DE FORMADO</v>
      </c>
      <c r="W275" s="26" t="str">
        <f t="shared" si="5"/>
        <v>MEC</v>
      </c>
      <c r="X275" s="26" t="e">
        <f>VLOOKUP(MID([1]!Table1[[#This Row],[Nodo]],1,7),[1]!Tabla5[#Data],2,FALSE)</f>
        <v>#N/A</v>
      </c>
    </row>
    <row r="276" spans="1:24" x14ac:dyDescent="0.3">
      <c r="A276" s="8" t="s">
        <v>24</v>
      </c>
      <c r="B276" s="8" t="s">
        <v>279</v>
      </c>
      <c r="C276" s="8" t="s">
        <v>26</v>
      </c>
      <c r="D276" s="8" t="s">
        <v>299</v>
      </c>
      <c r="E276" s="8" t="s">
        <v>300</v>
      </c>
      <c r="F276" s="8" t="s">
        <v>305</v>
      </c>
      <c r="G276" s="8" t="s">
        <v>43</v>
      </c>
      <c r="H276" s="8" t="s">
        <v>44</v>
      </c>
      <c r="I276" s="8" t="s">
        <v>45</v>
      </c>
      <c r="J276" s="28">
        <v>45695.431018518517</v>
      </c>
      <c r="K276" s="28">
        <v>45863.464583333334</v>
      </c>
      <c r="L276" s="8" t="s">
        <v>286</v>
      </c>
      <c r="M276" s="8" t="s">
        <v>287</v>
      </c>
      <c r="N276" s="29">
        <v>0</v>
      </c>
      <c r="O276" s="29">
        <v>1</v>
      </c>
      <c r="P276" s="8" t="s">
        <v>35</v>
      </c>
      <c r="Q276" s="8" t="s">
        <v>36</v>
      </c>
      <c r="R276" s="8" t="s">
        <v>302</v>
      </c>
      <c r="S276" s="8" t="s">
        <v>38</v>
      </c>
      <c r="V276" s="26" t="str">
        <f>VLOOKUP(MID(Table1[[#This Row],[Nodo]],1,12),Tabla2[#Data],2,FALSE)</f>
        <v>ESTACION DE FORMADO</v>
      </c>
      <c r="W276" s="26" t="str">
        <f t="shared" si="5"/>
        <v>MEC</v>
      </c>
      <c r="X276" s="26" t="e">
        <f>VLOOKUP(MID([1]!Table1[[#This Row],[Nodo]],1,7),[1]!Tabla5[#Data],2,FALSE)</f>
        <v>#N/A</v>
      </c>
    </row>
    <row r="277" spans="1:24" x14ac:dyDescent="0.3">
      <c r="A277" s="8" t="s">
        <v>24</v>
      </c>
      <c r="B277" s="8" t="s">
        <v>279</v>
      </c>
      <c r="C277" s="8" t="s">
        <v>26</v>
      </c>
      <c r="D277" s="8" t="s">
        <v>306</v>
      </c>
      <c r="E277" s="8" t="s">
        <v>307</v>
      </c>
      <c r="F277" s="8" t="s">
        <v>308</v>
      </c>
      <c r="G277" s="8" t="s">
        <v>283</v>
      </c>
      <c r="H277" s="8" t="s">
        <v>284</v>
      </c>
      <c r="I277" s="8" t="s">
        <v>285</v>
      </c>
      <c r="J277" s="28">
        <v>45695.430949074071</v>
      </c>
      <c r="K277" s="28">
        <v>45863.464583333334</v>
      </c>
      <c r="L277" s="8" t="s">
        <v>286</v>
      </c>
      <c r="M277" s="8" t="s">
        <v>287</v>
      </c>
      <c r="N277" s="29">
        <v>0</v>
      </c>
      <c r="O277" s="29">
        <v>1</v>
      </c>
      <c r="P277" s="8" t="s">
        <v>35</v>
      </c>
      <c r="Q277" s="8" t="s">
        <v>36</v>
      </c>
      <c r="R277" s="8" t="s">
        <v>309</v>
      </c>
      <c r="S277" s="8" t="s">
        <v>38</v>
      </c>
      <c r="V277" s="26" t="str">
        <f>VLOOKUP(MID(Table1[[#This Row],[Nodo]],1,12),Tabla2[#Data],2,FALSE)</f>
        <v>APILADOR APILADOR SISTEMA DE A</v>
      </c>
      <c r="W277" s="26" t="str">
        <f t="shared" si="5"/>
        <v>MEC</v>
      </c>
      <c r="X277" s="26" t="e">
        <f>VLOOKUP(MID([1]!Table1[[#This Row],[Nodo]],1,7),[1]!Tabla5[#Data],2,FALSE)</f>
        <v>#N/A</v>
      </c>
    </row>
    <row r="278" spans="1:24" x14ac:dyDescent="0.3">
      <c r="A278" s="8" t="s">
        <v>24</v>
      </c>
      <c r="B278" s="8" t="s">
        <v>279</v>
      </c>
      <c r="C278" s="8" t="s">
        <v>26</v>
      </c>
      <c r="D278" s="8" t="s">
        <v>306</v>
      </c>
      <c r="E278" s="8" t="s">
        <v>307</v>
      </c>
      <c r="F278" s="8" t="s">
        <v>310</v>
      </c>
      <c r="G278" s="8" t="s">
        <v>283</v>
      </c>
      <c r="H278" s="8" t="s">
        <v>284</v>
      </c>
      <c r="I278" s="8" t="s">
        <v>285</v>
      </c>
      <c r="J278" s="28">
        <v>45695.430949074071</v>
      </c>
      <c r="K278" s="28">
        <v>45863.464583333334</v>
      </c>
      <c r="L278" s="8" t="s">
        <v>286</v>
      </c>
      <c r="M278" s="8" t="s">
        <v>287</v>
      </c>
      <c r="N278" s="29">
        <v>0</v>
      </c>
      <c r="O278" s="29">
        <v>1</v>
      </c>
      <c r="P278" s="8" t="s">
        <v>35</v>
      </c>
      <c r="Q278" s="8" t="s">
        <v>36</v>
      </c>
      <c r="R278" s="8" t="s">
        <v>309</v>
      </c>
      <c r="S278" s="8" t="s">
        <v>38</v>
      </c>
      <c r="V278" s="26" t="str">
        <f>VLOOKUP(MID(Table1[[#This Row],[Nodo]],1,12),Tabla2[#Data],2,FALSE)</f>
        <v>APILADOR APILADOR SISTEMA DE A</v>
      </c>
      <c r="W278" s="26" t="str">
        <f t="shared" si="5"/>
        <v>MEC</v>
      </c>
      <c r="X278" s="26" t="e">
        <f>VLOOKUP(MID([1]!Table1[[#This Row],[Nodo]],1,7),[1]!Tabla5[#Data],2,FALSE)</f>
        <v>#N/A</v>
      </c>
    </row>
    <row r="279" spans="1:24" x14ac:dyDescent="0.3">
      <c r="A279" s="8" t="s">
        <v>24</v>
      </c>
      <c r="B279" s="8" t="s">
        <v>279</v>
      </c>
      <c r="C279" s="8" t="s">
        <v>26</v>
      </c>
      <c r="D279" s="8" t="s">
        <v>306</v>
      </c>
      <c r="E279" s="8" t="s">
        <v>307</v>
      </c>
      <c r="F279" s="8" t="s">
        <v>311</v>
      </c>
      <c r="G279" s="8" t="s">
        <v>283</v>
      </c>
      <c r="H279" s="8" t="s">
        <v>284</v>
      </c>
      <c r="I279" s="8" t="s">
        <v>285</v>
      </c>
      <c r="J279" s="28">
        <v>45695.430949074071</v>
      </c>
      <c r="K279" s="28">
        <v>45863.464583333334</v>
      </c>
      <c r="L279" s="8" t="s">
        <v>286</v>
      </c>
      <c r="M279" s="8" t="s">
        <v>287</v>
      </c>
      <c r="N279" s="29">
        <v>0</v>
      </c>
      <c r="O279" s="29">
        <v>1</v>
      </c>
      <c r="P279" s="8" t="s">
        <v>35</v>
      </c>
      <c r="Q279" s="8" t="s">
        <v>36</v>
      </c>
      <c r="R279" s="8" t="s">
        <v>309</v>
      </c>
      <c r="S279" s="8" t="s">
        <v>38</v>
      </c>
      <c r="V279" s="26" t="str">
        <f>VLOOKUP(MID(Table1[[#This Row],[Nodo]],1,12),Tabla2[#Data],2,FALSE)</f>
        <v>APILADOR APILADOR SISTEMA DE A</v>
      </c>
      <c r="W279" s="26" t="str">
        <f t="shared" si="5"/>
        <v>MEC</v>
      </c>
      <c r="X279" s="26" t="e">
        <f>VLOOKUP(MID([1]!Table1[[#This Row],[Nodo]],1,7),[1]!Tabla5[#Data],2,FALSE)</f>
        <v>#N/A</v>
      </c>
    </row>
    <row r="280" spans="1:24" x14ac:dyDescent="0.3">
      <c r="A280" s="8" t="s">
        <v>24</v>
      </c>
      <c r="B280" s="8" t="s">
        <v>279</v>
      </c>
      <c r="C280" s="8" t="s">
        <v>26</v>
      </c>
      <c r="D280" s="8" t="s">
        <v>312</v>
      </c>
      <c r="E280" s="8" t="s">
        <v>313</v>
      </c>
      <c r="F280" s="8" t="s">
        <v>314</v>
      </c>
      <c r="G280" s="8" t="s">
        <v>225</v>
      </c>
      <c r="H280" s="8" t="s">
        <v>226</v>
      </c>
      <c r="I280" s="8" t="s">
        <v>227</v>
      </c>
      <c r="J280" s="28">
        <v>45695.430972222224</v>
      </c>
      <c r="K280" s="28">
        <v>45863.464583333334</v>
      </c>
      <c r="L280" s="8" t="s">
        <v>286</v>
      </c>
      <c r="M280" s="8" t="s">
        <v>287</v>
      </c>
      <c r="N280" s="29">
        <v>0</v>
      </c>
      <c r="O280" s="29">
        <v>1</v>
      </c>
      <c r="P280" s="8" t="s">
        <v>35</v>
      </c>
      <c r="Q280" s="8" t="s">
        <v>36</v>
      </c>
      <c r="R280" s="8" t="s">
        <v>315</v>
      </c>
      <c r="S280" s="8" t="s">
        <v>38</v>
      </c>
      <c r="V280" s="26" t="str">
        <f>VLOOKUP(MID(Table1[[#This Row],[Nodo]],1,12),Tabla2[#Data],2,FALSE)</f>
        <v>DESEMBOBINADOR</v>
      </c>
      <c r="W280" s="26" t="str">
        <f t="shared" si="5"/>
        <v>MEC</v>
      </c>
      <c r="X280" s="26" t="e">
        <f>VLOOKUP(MID([1]!Table1[[#This Row],[Nodo]],1,7),[1]!Tabla5[#Data],2,FALSE)</f>
        <v>#N/A</v>
      </c>
    </row>
    <row r="281" spans="1:24" x14ac:dyDescent="0.3">
      <c r="A281" s="8" t="s">
        <v>24</v>
      </c>
      <c r="B281" s="8" t="s">
        <v>279</v>
      </c>
      <c r="C281" s="8" t="s">
        <v>26</v>
      </c>
      <c r="D281" s="8" t="s">
        <v>316</v>
      </c>
      <c r="E281" s="8" t="s">
        <v>317</v>
      </c>
      <c r="F281" s="8" t="s">
        <v>318</v>
      </c>
      <c r="G281" s="8" t="s">
        <v>225</v>
      </c>
      <c r="H281" s="8" t="s">
        <v>226</v>
      </c>
      <c r="I281" s="8" t="s">
        <v>227</v>
      </c>
      <c r="J281" s="28">
        <v>45695.430972222224</v>
      </c>
      <c r="K281" s="28">
        <v>45863.464583333334</v>
      </c>
      <c r="L281" s="8" t="s">
        <v>286</v>
      </c>
      <c r="M281" s="8" t="s">
        <v>287</v>
      </c>
      <c r="N281" s="29">
        <v>0</v>
      </c>
      <c r="O281" s="29">
        <v>1</v>
      </c>
      <c r="P281" s="8" t="s">
        <v>35</v>
      </c>
      <c r="Q281" s="8" t="s">
        <v>36</v>
      </c>
      <c r="R281" s="8" t="s">
        <v>319</v>
      </c>
      <c r="S281" s="8" t="s">
        <v>38</v>
      </c>
      <c r="V281" s="26" t="str">
        <f>VLOOKUP(MID(Table1[[#This Row],[Nodo]],1,12),Tabla2[#Data],2,FALSE)</f>
        <v>DESEMBOBINADOR</v>
      </c>
      <c r="W281" s="26" t="str">
        <f t="shared" si="5"/>
        <v>MEC</v>
      </c>
      <c r="X281" s="26" t="e">
        <f>VLOOKUP(MID([1]!Table1[[#This Row],[Nodo]],1,7),[1]!Tabla5[#Data],2,FALSE)</f>
        <v>#N/A</v>
      </c>
    </row>
    <row r="282" spans="1:24" x14ac:dyDescent="0.3">
      <c r="A282" s="8" t="s">
        <v>24</v>
      </c>
      <c r="B282" s="8" t="s">
        <v>279</v>
      </c>
      <c r="C282" s="8" t="s">
        <v>26</v>
      </c>
      <c r="D282" s="8" t="s">
        <v>316</v>
      </c>
      <c r="E282" s="8" t="s">
        <v>317</v>
      </c>
      <c r="F282" s="8" t="s">
        <v>320</v>
      </c>
      <c r="G282" s="8" t="s">
        <v>225</v>
      </c>
      <c r="H282" s="8" t="s">
        <v>226</v>
      </c>
      <c r="I282" s="8" t="s">
        <v>227</v>
      </c>
      <c r="J282" s="28">
        <v>45695.430972222224</v>
      </c>
      <c r="K282" s="28">
        <v>45863.464583333334</v>
      </c>
      <c r="L282" s="8" t="s">
        <v>286</v>
      </c>
      <c r="M282" s="8" t="s">
        <v>287</v>
      </c>
      <c r="N282" s="29">
        <v>0</v>
      </c>
      <c r="O282" s="29">
        <v>1</v>
      </c>
      <c r="P282" s="8" t="s">
        <v>35</v>
      </c>
      <c r="Q282" s="8" t="s">
        <v>36</v>
      </c>
      <c r="R282" s="8" t="s">
        <v>319</v>
      </c>
      <c r="S282" s="8" t="s">
        <v>38</v>
      </c>
      <c r="V282" s="26" t="str">
        <f>VLOOKUP(MID(Table1[[#This Row],[Nodo]],1,12),Tabla2[#Data],2,FALSE)</f>
        <v>DESEMBOBINADOR</v>
      </c>
      <c r="W282" s="26" t="str">
        <f t="shared" si="5"/>
        <v>MEC</v>
      </c>
      <c r="X282" s="26" t="e">
        <f>VLOOKUP(MID([1]!Table1[[#This Row],[Nodo]],1,7),[1]!Tabla5[#Data],2,FALSE)</f>
        <v>#N/A</v>
      </c>
    </row>
    <row r="283" spans="1:24" x14ac:dyDescent="0.3">
      <c r="A283" s="8" t="s">
        <v>24</v>
      </c>
      <c r="B283" s="8" t="s">
        <v>279</v>
      </c>
      <c r="C283" s="8" t="s">
        <v>26</v>
      </c>
      <c r="D283" s="8" t="s">
        <v>321</v>
      </c>
      <c r="E283" s="8" t="s">
        <v>322</v>
      </c>
      <c r="F283" s="8" t="s">
        <v>323</v>
      </c>
      <c r="G283" s="8" t="s">
        <v>237</v>
      </c>
      <c r="H283" s="8" t="s">
        <v>238</v>
      </c>
      <c r="I283" s="8" t="s">
        <v>239</v>
      </c>
      <c r="J283" s="28">
        <v>45695.431030092594</v>
      </c>
      <c r="K283" s="28">
        <v>45863.464583333334</v>
      </c>
      <c r="L283" s="8" t="s">
        <v>286</v>
      </c>
      <c r="M283" s="8" t="s">
        <v>287</v>
      </c>
      <c r="N283" s="29">
        <v>0</v>
      </c>
      <c r="O283" s="29">
        <v>1</v>
      </c>
      <c r="P283" s="8" t="s">
        <v>35</v>
      </c>
      <c r="Q283" s="8" t="s">
        <v>36</v>
      </c>
      <c r="R283" s="8" t="s">
        <v>324</v>
      </c>
      <c r="S283" s="8" t="s">
        <v>38</v>
      </c>
      <c r="V283" s="26" t="str">
        <f>VLOOKUP(MID(Table1[[#This Row],[Nodo]],1,12),Tabla2[#Data],2,FALSE)</f>
        <v>PRECALENTADOR</v>
      </c>
      <c r="W283" s="26" t="str">
        <f t="shared" si="5"/>
        <v>MEC</v>
      </c>
      <c r="X283" s="26" t="e">
        <f>VLOOKUP(MID([1]!Table1[[#This Row],[Nodo]],1,7),[1]!Tabla5[#Data],2,FALSE)</f>
        <v>#N/A</v>
      </c>
    </row>
    <row r="284" spans="1:24" x14ac:dyDescent="0.3">
      <c r="A284" s="8" t="s">
        <v>24</v>
      </c>
      <c r="B284" s="8" t="s">
        <v>279</v>
      </c>
      <c r="C284" s="8" t="s">
        <v>26</v>
      </c>
      <c r="D284" s="8" t="s">
        <v>321</v>
      </c>
      <c r="E284" s="8" t="s">
        <v>322</v>
      </c>
      <c r="F284" s="8" t="s">
        <v>325</v>
      </c>
      <c r="G284" s="8" t="s">
        <v>237</v>
      </c>
      <c r="H284" s="8" t="s">
        <v>238</v>
      </c>
      <c r="I284" s="8" t="s">
        <v>239</v>
      </c>
      <c r="J284" s="28">
        <v>45695.431030092594</v>
      </c>
      <c r="K284" s="28">
        <v>45863.464583333334</v>
      </c>
      <c r="L284" s="8" t="s">
        <v>286</v>
      </c>
      <c r="M284" s="8" t="s">
        <v>287</v>
      </c>
      <c r="N284" s="29">
        <v>0</v>
      </c>
      <c r="O284" s="29">
        <v>1</v>
      </c>
      <c r="P284" s="8" t="s">
        <v>35</v>
      </c>
      <c r="Q284" s="8" t="s">
        <v>36</v>
      </c>
      <c r="R284" s="8" t="s">
        <v>324</v>
      </c>
      <c r="S284" s="8" t="s">
        <v>38</v>
      </c>
      <c r="V284" s="26" t="str">
        <f>VLOOKUP(MID(Table1[[#This Row],[Nodo]],1,12),Tabla2[#Data],2,FALSE)</f>
        <v>PRECALENTADOR</v>
      </c>
      <c r="W284" s="26" t="str">
        <f t="shared" si="5"/>
        <v>MEC</v>
      </c>
      <c r="X284" s="26" t="e">
        <f>VLOOKUP(MID([1]!Table1[[#This Row],[Nodo]],1,7),[1]!Tabla5[#Data],2,FALSE)</f>
        <v>#N/A</v>
      </c>
    </row>
    <row r="285" spans="1:24" x14ac:dyDescent="0.3">
      <c r="A285" s="8" t="s">
        <v>24</v>
      </c>
      <c r="B285" s="8" t="s">
        <v>279</v>
      </c>
      <c r="C285" s="8" t="s">
        <v>26</v>
      </c>
      <c r="D285" s="8" t="s">
        <v>321</v>
      </c>
      <c r="E285" s="8" t="s">
        <v>322</v>
      </c>
      <c r="F285" s="8" t="s">
        <v>326</v>
      </c>
      <c r="G285" s="8" t="s">
        <v>237</v>
      </c>
      <c r="H285" s="8" t="s">
        <v>238</v>
      </c>
      <c r="I285" s="8" t="s">
        <v>239</v>
      </c>
      <c r="J285" s="28">
        <v>45695.431030092594</v>
      </c>
      <c r="K285" s="28">
        <v>45863.464583333334</v>
      </c>
      <c r="L285" s="8" t="s">
        <v>286</v>
      </c>
      <c r="M285" s="8" t="s">
        <v>287</v>
      </c>
      <c r="N285" s="29">
        <v>0</v>
      </c>
      <c r="O285" s="29">
        <v>1</v>
      </c>
      <c r="P285" s="8" t="s">
        <v>35</v>
      </c>
      <c r="Q285" s="8" t="s">
        <v>36</v>
      </c>
      <c r="R285" s="8" t="s">
        <v>324</v>
      </c>
      <c r="S285" s="8" t="s">
        <v>38</v>
      </c>
      <c r="V285" s="26" t="str">
        <f>VLOOKUP(MID(Table1[[#This Row],[Nodo]],1,12),Tabla2[#Data],2,FALSE)</f>
        <v>PRECALENTADOR</v>
      </c>
      <c r="W285" s="26" t="str">
        <f t="shared" si="5"/>
        <v>MEC</v>
      </c>
      <c r="X285" s="26" t="e">
        <f>VLOOKUP(MID([1]!Table1[[#This Row],[Nodo]],1,7),[1]!Tabla5[#Data],2,FALSE)</f>
        <v>#N/A</v>
      </c>
    </row>
    <row r="286" spans="1:24" x14ac:dyDescent="0.3">
      <c r="A286" s="8" t="s">
        <v>24</v>
      </c>
      <c r="B286" s="8" t="s">
        <v>279</v>
      </c>
      <c r="C286" s="8" t="s">
        <v>26</v>
      </c>
      <c r="D286" s="8" t="s">
        <v>327</v>
      </c>
      <c r="E286" s="8" t="s">
        <v>328</v>
      </c>
      <c r="F286" s="8" t="s">
        <v>329</v>
      </c>
      <c r="G286" s="8" t="s">
        <v>187</v>
      </c>
      <c r="H286" s="8" t="s">
        <v>188</v>
      </c>
      <c r="I286" s="8" t="s">
        <v>189</v>
      </c>
      <c r="J286" s="28">
        <v>45695.43105324074</v>
      </c>
      <c r="K286" s="28">
        <v>45863.464583333334</v>
      </c>
      <c r="L286" s="8" t="s">
        <v>286</v>
      </c>
      <c r="M286" s="8" t="s">
        <v>287</v>
      </c>
      <c r="N286" s="29">
        <v>0</v>
      </c>
      <c r="O286" s="29">
        <v>1</v>
      </c>
      <c r="P286" s="8" t="s">
        <v>35</v>
      </c>
      <c r="Q286" s="8" t="s">
        <v>36</v>
      </c>
      <c r="R286" s="8" t="s">
        <v>330</v>
      </c>
      <c r="S286" s="8" t="s">
        <v>38</v>
      </c>
      <c r="V286" s="26" t="str">
        <f>VLOOKUP(MID(Table1[[#This Row],[Nodo]],1,12),Tabla2[#Data],2,FALSE)</f>
        <v>HORNO</v>
      </c>
      <c r="W286" s="26" t="str">
        <f t="shared" si="5"/>
        <v>MEC</v>
      </c>
      <c r="X286" s="26" t="e">
        <f>VLOOKUP(MID([1]!Table1[[#This Row],[Nodo]],1,7),[1]!Tabla5[#Data],2,FALSE)</f>
        <v>#N/A</v>
      </c>
    </row>
    <row r="287" spans="1:24" x14ac:dyDescent="0.3">
      <c r="A287" s="8" t="s">
        <v>24</v>
      </c>
      <c r="B287" s="8" t="s">
        <v>279</v>
      </c>
      <c r="C287" s="8" t="s">
        <v>26</v>
      </c>
      <c r="D287" s="8" t="s">
        <v>327</v>
      </c>
      <c r="E287" s="8" t="s">
        <v>328</v>
      </c>
      <c r="F287" s="8" t="s">
        <v>331</v>
      </c>
      <c r="G287" s="8" t="s">
        <v>187</v>
      </c>
      <c r="H287" s="8" t="s">
        <v>188</v>
      </c>
      <c r="I287" s="8" t="s">
        <v>189</v>
      </c>
      <c r="J287" s="28">
        <v>45695.43105324074</v>
      </c>
      <c r="K287" s="28">
        <v>45863.464583333334</v>
      </c>
      <c r="L287" s="8" t="s">
        <v>286</v>
      </c>
      <c r="M287" s="8" t="s">
        <v>287</v>
      </c>
      <c r="N287" s="29">
        <v>0</v>
      </c>
      <c r="O287" s="29">
        <v>1</v>
      </c>
      <c r="P287" s="8" t="s">
        <v>35</v>
      </c>
      <c r="Q287" s="8" t="s">
        <v>36</v>
      </c>
      <c r="R287" s="8" t="s">
        <v>330</v>
      </c>
      <c r="S287" s="8" t="s">
        <v>38</v>
      </c>
      <c r="V287" s="26" t="str">
        <f>VLOOKUP(MID(Table1[[#This Row],[Nodo]],1,12),Tabla2[#Data],2,FALSE)</f>
        <v>HORNO</v>
      </c>
      <c r="W287" s="26" t="str">
        <f t="shared" si="5"/>
        <v>MEC</v>
      </c>
      <c r="X287" s="26" t="e">
        <f>VLOOKUP(MID([1]!Table1[[#This Row],[Nodo]],1,7),[1]!Tabla5[#Data],2,FALSE)</f>
        <v>#N/A</v>
      </c>
    </row>
    <row r="288" spans="1:24" x14ac:dyDescent="0.3">
      <c r="A288" s="8" t="s">
        <v>24</v>
      </c>
      <c r="B288" s="8" t="s">
        <v>279</v>
      </c>
      <c r="C288" s="8" t="s">
        <v>26</v>
      </c>
      <c r="D288" s="8" t="s">
        <v>327</v>
      </c>
      <c r="E288" s="8" t="s">
        <v>328</v>
      </c>
      <c r="F288" s="8" t="s">
        <v>332</v>
      </c>
      <c r="G288" s="8" t="s">
        <v>187</v>
      </c>
      <c r="H288" s="8" t="s">
        <v>188</v>
      </c>
      <c r="I288" s="8" t="s">
        <v>189</v>
      </c>
      <c r="J288" s="28">
        <v>45695.43105324074</v>
      </c>
      <c r="K288" s="28">
        <v>45863.464583333334</v>
      </c>
      <c r="L288" s="8" t="s">
        <v>286</v>
      </c>
      <c r="M288" s="8" t="s">
        <v>287</v>
      </c>
      <c r="N288" s="29">
        <v>0</v>
      </c>
      <c r="O288" s="29">
        <v>1</v>
      </c>
      <c r="P288" s="8" t="s">
        <v>35</v>
      </c>
      <c r="Q288" s="8" t="s">
        <v>36</v>
      </c>
      <c r="R288" s="8" t="s">
        <v>330</v>
      </c>
      <c r="S288" s="8" t="s">
        <v>38</v>
      </c>
      <c r="V288" s="26" t="str">
        <f>VLOOKUP(MID(Table1[[#This Row],[Nodo]],1,12),Tabla2[#Data],2,FALSE)</f>
        <v>HORNO</v>
      </c>
      <c r="W288" s="26" t="str">
        <f t="shared" si="5"/>
        <v>MEC</v>
      </c>
      <c r="X288" s="26" t="e">
        <f>VLOOKUP(MID([1]!Table1[[#This Row],[Nodo]],1,7),[1]!Tabla5[#Data],2,FALSE)</f>
        <v>#N/A</v>
      </c>
    </row>
    <row r="289" spans="1:24" x14ac:dyDescent="0.3">
      <c r="A289" s="8" t="s">
        <v>24</v>
      </c>
      <c r="B289" s="8" t="s">
        <v>279</v>
      </c>
      <c r="C289" s="8" t="s">
        <v>26</v>
      </c>
      <c r="D289" s="8" t="s">
        <v>327</v>
      </c>
      <c r="E289" s="8" t="s">
        <v>328</v>
      </c>
      <c r="F289" s="8" t="s">
        <v>333</v>
      </c>
      <c r="G289" s="8" t="s">
        <v>187</v>
      </c>
      <c r="H289" s="8" t="s">
        <v>188</v>
      </c>
      <c r="I289" s="8" t="s">
        <v>189</v>
      </c>
      <c r="J289" s="28">
        <v>45695.43105324074</v>
      </c>
      <c r="K289" s="28">
        <v>45863.464583333334</v>
      </c>
      <c r="L289" s="8" t="s">
        <v>286</v>
      </c>
      <c r="M289" s="8" t="s">
        <v>287</v>
      </c>
      <c r="N289" s="29">
        <v>0</v>
      </c>
      <c r="O289" s="29">
        <v>1</v>
      </c>
      <c r="P289" s="8" t="s">
        <v>35</v>
      </c>
      <c r="Q289" s="8" t="s">
        <v>36</v>
      </c>
      <c r="R289" s="8" t="s">
        <v>330</v>
      </c>
      <c r="S289" s="8" t="s">
        <v>38</v>
      </c>
      <c r="V289" s="26" t="str">
        <f>VLOOKUP(MID(Table1[[#This Row],[Nodo]],1,12),Tabla2[#Data],2,FALSE)</f>
        <v>HORNO</v>
      </c>
      <c r="W289" s="26" t="str">
        <f t="shared" si="5"/>
        <v>MEC</v>
      </c>
      <c r="X289" s="26" t="e">
        <f>VLOOKUP(MID([1]!Table1[[#This Row],[Nodo]],1,7),[1]!Tabla5[#Data],2,FALSE)</f>
        <v>#N/A</v>
      </c>
    </row>
    <row r="290" spans="1:24" x14ac:dyDescent="0.3">
      <c r="A290" s="8" t="s">
        <v>24</v>
      </c>
      <c r="B290" s="8" t="s">
        <v>279</v>
      </c>
      <c r="C290" s="8" t="s">
        <v>26</v>
      </c>
      <c r="D290" s="8" t="s">
        <v>327</v>
      </c>
      <c r="E290" s="8" t="s">
        <v>328</v>
      </c>
      <c r="F290" s="8" t="s">
        <v>334</v>
      </c>
      <c r="G290" s="8" t="s">
        <v>187</v>
      </c>
      <c r="H290" s="8" t="s">
        <v>188</v>
      </c>
      <c r="I290" s="8" t="s">
        <v>189</v>
      </c>
      <c r="J290" s="28">
        <v>45695.43105324074</v>
      </c>
      <c r="K290" s="28">
        <v>45863.464583333334</v>
      </c>
      <c r="L290" s="8" t="s">
        <v>286</v>
      </c>
      <c r="M290" s="8" t="s">
        <v>287</v>
      </c>
      <c r="N290" s="29">
        <v>0</v>
      </c>
      <c r="O290" s="29">
        <v>1</v>
      </c>
      <c r="P290" s="8" t="s">
        <v>35</v>
      </c>
      <c r="Q290" s="8" t="s">
        <v>36</v>
      </c>
      <c r="R290" s="8" t="s">
        <v>330</v>
      </c>
      <c r="S290" s="8" t="s">
        <v>38</v>
      </c>
      <c r="V290" s="26" t="str">
        <f>VLOOKUP(MID(Table1[[#This Row],[Nodo]],1,12),Tabla2[#Data],2,FALSE)</f>
        <v>HORNO</v>
      </c>
      <c r="W290" s="26" t="str">
        <f t="shared" si="5"/>
        <v>MEC</v>
      </c>
      <c r="X290" s="26" t="e">
        <f>VLOOKUP(MID([1]!Table1[[#This Row],[Nodo]],1,7),[1]!Tabla5[#Data],2,FALSE)</f>
        <v>#N/A</v>
      </c>
    </row>
    <row r="291" spans="1:24" x14ac:dyDescent="0.3">
      <c r="A291" s="8" t="s">
        <v>24</v>
      </c>
      <c r="B291" s="8" t="s">
        <v>279</v>
      </c>
      <c r="C291" s="8" t="s">
        <v>26</v>
      </c>
      <c r="D291" s="8" t="s">
        <v>327</v>
      </c>
      <c r="E291" s="8" t="s">
        <v>328</v>
      </c>
      <c r="F291" s="8" t="s">
        <v>335</v>
      </c>
      <c r="G291" s="8" t="s">
        <v>187</v>
      </c>
      <c r="H291" s="8" t="s">
        <v>188</v>
      </c>
      <c r="I291" s="8" t="s">
        <v>189</v>
      </c>
      <c r="J291" s="28">
        <v>45695.43105324074</v>
      </c>
      <c r="K291" s="28">
        <v>45863.464583333334</v>
      </c>
      <c r="L291" s="8" t="s">
        <v>286</v>
      </c>
      <c r="M291" s="8" t="s">
        <v>287</v>
      </c>
      <c r="N291" s="29">
        <v>0</v>
      </c>
      <c r="O291" s="29">
        <v>1</v>
      </c>
      <c r="P291" s="8" t="s">
        <v>35</v>
      </c>
      <c r="Q291" s="8" t="s">
        <v>36</v>
      </c>
      <c r="R291" s="8" t="s">
        <v>330</v>
      </c>
      <c r="S291" s="8" t="s">
        <v>38</v>
      </c>
      <c r="V291" s="26" t="str">
        <f>VLOOKUP(MID(Table1[[#This Row],[Nodo]],1,12),Tabla2[#Data],2,FALSE)</f>
        <v>HORNO</v>
      </c>
      <c r="W291" s="26" t="str">
        <f t="shared" si="5"/>
        <v>MEC</v>
      </c>
      <c r="X291" s="26" t="e">
        <f>VLOOKUP(MID([1]!Table1[[#This Row],[Nodo]],1,7),[1]!Tabla5[#Data],2,FALSE)</f>
        <v>#N/A</v>
      </c>
    </row>
    <row r="292" spans="1:24" x14ac:dyDescent="0.3">
      <c r="A292" s="8" t="s">
        <v>24</v>
      </c>
      <c r="B292" s="8" t="s">
        <v>279</v>
      </c>
      <c r="C292" s="8" t="s">
        <v>26</v>
      </c>
      <c r="D292" s="8" t="s">
        <v>327</v>
      </c>
      <c r="E292" s="8" t="s">
        <v>328</v>
      </c>
      <c r="F292" s="8" t="s">
        <v>336</v>
      </c>
      <c r="G292" s="8" t="s">
        <v>187</v>
      </c>
      <c r="H292" s="8" t="s">
        <v>188</v>
      </c>
      <c r="I292" s="8" t="s">
        <v>189</v>
      </c>
      <c r="J292" s="28">
        <v>45695.43105324074</v>
      </c>
      <c r="K292" s="28">
        <v>45863.464583333334</v>
      </c>
      <c r="L292" s="8" t="s">
        <v>286</v>
      </c>
      <c r="M292" s="8" t="s">
        <v>287</v>
      </c>
      <c r="N292" s="29">
        <v>0</v>
      </c>
      <c r="O292" s="29">
        <v>1</v>
      </c>
      <c r="P292" s="8" t="s">
        <v>35</v>
      </c>
      <c r="Q292" s="8" t="s">
        <v>36</v>
      </c>
      <c r="R292" s="8" t="s">
        <v>330</v>
      </c>
      <c r="S292" s="8" t="s">
        <v>38</v>
      </c>
      <c r="V292" s="26" t="str">
        <f>VLOOKUP(MID(Table1[[#This Row],[Nodo]],1,12),Tabla2[#Data],2,FALSE)</f>
        <v>HORNO</v>
      </c>
      <c r="W292" s="26" t="str">
        <f t="shared" si="5"/>
        <v>MEC</v>
      </c>
      <c r="X292" s="26" t="e">
        <f>VLOOKUP(MID([1]!Table1[[#This Row],[Nodo]],1,7),[1]!Tabla5[#Data],2,FALSE)</f>
        <v>#N/A</v>
      </c>
    </row>
    <row r="293" spans="1:24" x14ac:dyDescent="0.3">
      <c r="A293" s="8" t="s">
        <v>24</v>
      </c>
      <c r="B293" s="8" t="s">
        <v>279</v>
      </c>
      <c r="C293" s="8" t="s">
        <v>26</v>
      </c>
      <c r="D293" s="8" t="s">
        <v>327</v>
      </c>
      <c r="E293" s="8" t="s">
        <v>328</v>
      </c>
      <c r="F293" s="8" t="s">
        <v>337</v>
      </c>
      <c r="G293" s="8" t="s">
        <v>187</v>
      </c>
      <c r="H293" s="8" t="s">
        <v>188</v>
      </c>
      <c r="I293" s="8" t="s">
        <v>189</v>
      </c>
      <c r="J293" s="28">
        <v>45695.43105324074</v>
      </c>
      <c r="K293" s="28">
        <v>45863.464583333334</v>
      </c>
      <c r="L293" s="8" t="s">
        <v>286</v>
      </c>
      <c r="M293" s="8" t="s">
        <v>287</v>
      </c>
      <c r="N293" s="29">
        <v>0</v>
      </c>
      <c r="O293" s="29">
        <v>1</v>
      </c>
      <c r="P293" s="8" t="s">
        <v>35</v>
      </c>
      <c r="Q293" s="8" t="s">
        <v>36</v>
      </c>
      <c r="R293" s="8" t="s">
        <v>330</v>
      </c>
      <c r="S293" s="8" t="s">
        <v>38</v>
      </c>
      <c r="V293" s="26" t="str">
        <f>VLOOKUP(MID(Table1[[#This Row],[Nodo]],1,12),Tabla2[#Data],2,FALSE)</f>
        <v>HORNO</v>
      </c>
      <c r="W293" s="26" t="str">
        <f t="shared" si="5"/>
        <v>MEC</v>
      </c>
      <c r="X293" s="26" t="e">
        <f>VLOOKUP(MID([1]!Table1[[#This Row],[Nodo]],1,7),[1]!Tabla5[#Data],2,FALSE)</f>
        <v>#N/A</v>
      </c>
    </row>
    <row r="294" spans="1:24" x14ac:dyDescent="0.3">
      <c r="A294" s="8" t="s">
        <v>24</v>
      </c>
      <c r="B294" s="8" t="s">
        <v>279</v>
      </c>
      <c r="C294" s="8" t="s">
        <v>26</v>
      </c>
      <c r="D294" s="8" t="s">
        <v>327</v>
      </c>
      <c r="E294" s="8" t="s">
        <v>328</v>
      </c>
      <c r="F294" s="8" t="s">
        <v>338</v>
      </c>
      <c r="G294" s="8" t="s">
        <v>187</v>
      </c>
      <c r="H294" s="8" t="s">
        <v>188</v>
      </c>
      <c r="I294" s="8" t="s">
        <v>189</v>
      </c>
      <c r="J294" s="28">
        <v>45695.43105324074</v>
      </c>
      <c r="K294" s="28">
        <v>45863.464583333334</v>
      </c>
      <c r="L294" s="8" t="s">
        <v>286</v>
      </c>
      <c r="M294" s="8" t="s">
        <v>287</v>
      </c>
      <c r="N294" s="29">
        <v>0</v>
      </c>
      <c r="O294" s="29">
        <v>1</v>
      </c>
      <c r="P294" s="8" t="s">
        <v>35</v>
      </c>
      <c r="Q294" s="8" t="s">
        <v>36</v>
      </c>
      <c r="R294" s="8" t="s">
        <v>330</v>
      </c>
      <c r="S294" s="8" t="s">
        <v>38</v>
      </c>
      <c r="V294" s="26" t="str">
        <f>VLOOKUP(MID(Table1[[#This Row],[Nodo]],1,12),Tabla2[#Data],2,FALSE)</f>
        <v>HORNO</v>
      </c>
      <c r="W294" s="26" t="str">
        <f t="shared" si="5"/>
        <v>MEC</v>
      </c>
      <c r="X294" s="26" t="e">
        <f>VLOOKUP(MID([1]!Table1[[#This Row],[Nodo]],1,7),[1]!Tabla5[#Data],2,FALSE)</f>
        <v>#N/A</v>
      </c>
    </row>
    <row r="295" spans="1:24" x14ac:dyDescent="0.3">
      <c r="A295" s="8" t="s">
        <v>24</v>
      </c>
      <c r="B295" s="8" t="s">
        <v>279</v>
      </c>
      <c r="C295" s="8" t="s">
        <v>26</v>
      </c>
      <c r="D295" s="8" t="s">
        <v>339</v>
      </c>
      <c r="E295" s="8" t="s">
        <v>340</v>
      </c>
      <c r="F295" s="8" t="s">
        <v>341</v>
      </c>
      <c r="G295" s="8" t="s">
        <v>150</v>
      </c>
      <c r="H295" s="8" t="s">
        <v>151</v>
      </c>
      <c r="I295" s="8" t="s">
        <v>152</v>
      </c>
      <c r="J295" s="28">
        <v>45695.431064814817</v>
      </c>
      <c r="K295" s="28">
        <v>45863.464583333334</v>
      </c>
      <c r="L295" s="8" t="s">
        <v>286</v>
      </c>
      <c r="M295" s="8" t="s">
        <v>287</v>
      </c>
      <c r="N295" s="29">
        <v>0</v>
      </c>
      <c r="O295" s="29">
        <v>1</v>
      </c>
      <c r="P295" s="8" t="s">
        <v>35</v>
      </c>
      <c r="Q295" s="8" t="s">
        <v>36</v>
      </c>
      <c r="R295" s="8" t="s">
        <v>342</v>
      </c>
      <c r="S295" s="8" t="s">
        <v>38</v>
      </c>
      <c r="V295" s="26" t="str">
        <f>VLOOKUP(MID(Table1[[#This Row],[Nodo]],1,12),Tabla2[#Data],2,FALSE)</f>
        <v>REFRIGERACION</v>
      </c>
      <c r="W295" s="26" t="str">
        <f t="shared" si="5"/>
        <v>MEC</v>
      </c>
      <c r="X295" s="26" t="e">
        <f>VLOOKUP(MID([1]!Table1[[#This Row],[Nodo]],1,7),[1]!Tabla5[#Data],2,FALSE)</f>
        <v>#N/A</v>
      </c>
    </row>
    <row r="296" spans="1:24" x14ac:dyDescent="0.3">
      <c r="A296" s="8" t="s">
        <v>24</v>
      </c>
      <c r="B296" s="8" t="s">
        <v>279</v>
      </c>
      <c r="C296" s="8" t="s">
        <v>26</v>
      </c>
      <c r="D296" s="8" t="s">
        <v>339</v>
      </c>
      <c r="E296" s="8" t="s">
        <v>340</v>
      </c>
      <c r="F296" s="8" t="s">
        <v>343</v>
      </c>
      <c r="G296" s="8" t="s">
        <v>150</v>
      </c>
      <c r="H296" s="8" t="s">
        <v>151</v>
      </c>
      <c r="I296" s="8" t="s">
        <v>152</v>
      </c>
      <c r="J296" s="28">
        <v>45695.431064814817</v>
      </c>
      <c r="K296" s="28">
        <v>45863.464583333334</v>
      </c>
      <c r="L296" s="8" t="s">
        <v>286</v>
      </c>
      <c r="M296" s="8" t="s">
        <v>287</v>
      </c>
      <c r="N296" s="29">
        <v>0</v>
      </c>
      <c r="O296" s="29">
        <v>1</v>
      </c>
      <c r="P296" s="8" t="s">
        <v>35</v>
      </c>
      <c r="Q296" s="8" t="s">
        <v>36</v>
      </c>
      <c r="R296" s="8" t="s">
        <v>342</v>
      </c>
      <c r="S296" s="8" t="s">
        <v>38</v>
      </c>
      <c r="V296" s="26" t="str">
        <f>VLOOKUP(MID(Table1[[#This Row],[Nodo]],1,12),Tabla2[#Data],2,FALSE)</f>
        <v>REFRIGERACION</v>
      </c>
      <c r="W296" s="26" t="str">
        <f t="shared" si="5"/>
        <v>MEC</v>
      </c>
      <c r="X296" s="26" t="e">
        <f>VLOOKUP(MID([1]!Table1[[#This Row],[Nodo]],1,7),[1]!Tabla5[#Data],2,FALSE)</f>
        <v>#N/A</v>
      </c>
    </row>
    <row r="297" spans="1:24" x14ac:dyDescent="0.3">
      <c r="A297" s="8" t="s">
        <v>24</v>
      </c>
      <c r="B297" s="8" t="s">
        <v>279</v>
      </c>
      <c r="C297" s="8" t="s">
        <v>26</v>
      </c>
      <c r="D297" s="8" t="s">
        <v>339</v>
      </c>
      <c r="E297" s="8" t="s">
        <v>340</v>
      </c>
      <c r="F297" s="8" t="s">
        <v>344</v>
      </c>
      <c r="G297" s="8" t="s">
        <v>150</v>
      </c>
      <c r="H297" s="8" t="s">
        <v>151</v>
      </c>
      <c r="I297" s="8" t="s">
        <v>152</v>
      </c>
      <c r="J297" s="28">
        <v>45695.431064814817</v>
      </c>
      <c r="K297" s="28">
        <v>45863.464583333334</v>
      </c>
      <c r="L297" s="8" t="s">
        <v>286</v>
      </c>
      <c r="M297" s="8" t="s">
        <v>287</v>
      </c>
      <c r="N297" s="29">
        <v>0</v>
      </c>
      <c r="O297" s="29">
        <v>1</v>
      </c>
      <c r="P297" s="8" t="s">
        <v>35</v>
      </c>
      <c r="Q297" s="8" t="s">
        <v>36</v>
      </c>
      <c r="R297" s="8" t="s">
        <v>342</v>
      </c>
      <c r="S297" s="8" t="s">
        <v>38</v>
      </c>
      <c r="V297" s="26" t="str">
        <f>VLOOKUP(MID(Table1[[#This Row],[Nodo]],1,12),Tabla2[#Data],2,FALSE)</f>
        <v>REFRIGERACION</v>
      </c>
      <c r="W297" s="26" t="str">
        <f t="shared" si="5"/>
        <v>MEC</v>
      </c>
      <c r="X297" s="26" t="e">
        <f>VLOOKUP(MID([1]!Table1[[#This Row],[Nodo]],1,7),[1]!Tabla5[#Data],2,FALSE)</f>
        <v>#N/A</v>
      </c>
    </row>
    <row r="298" spans="1:24" x14ac:dyDescent="0.3">
      <c r="A298" s="8" t="s">
        <v>24</v>
      </c>
      <c r="B298" s="8" t="s">
        <v>279</v>
      </c>
      <c r="C298" s="8" t="s">
        <v>26</v>
      </c>
      <c r="D298" s="8" t="s">
        <v>339</v>
      </c>
      <c r="E298" s="8" t="s">
        <v>340</v>
      </c>
      <c r="F298" s="8" t="s">
        <v>221</v>
      </c>
      <c r="G298" s="8" t="s">
        <v>150</v>
      </c>
      <c r="H298" s="8" t="s">
        <v>151</v>
      </c>
      <c r="I298" s="8" t="s">
        <v>152</v>
      </c>
      <c r="J298" s="28">
        <v>45695.431064814817</v>
      </c>
      <c r="K298" s="28">
        <v>45863.464583333334</v>
      </c>
      <c r="L298" s="8" t="s">
        <v>286</v>
      </c>
      <c r="M298" s="8" t="s">
        <v>287</v>
      </c>
      <c r="N298" s="29">
        <v>0</v>
      </c>
      <c r="O298" s="29">
        <v>1</v>
      </c>
      <c r="P298" s="8" t="s">
        <v>35</v>
      </c>
      <c r="Q298" s="8" t="s">
        <v>36</v>
      </c>
      <c r="R298" s="8" t="s">
        <v>342</v>
      </c>
      <c r="S298" s="8" t="s">
        <v>38</v>
      </c>
      <c r="V298" s="26" t="str">
        <f>VLOOKUP(MID(Table1[[#This Row],[Nodo]],1,12),Tabla2[#Data],2,FALSE)</f>
        <v>REFRIGERACION</v>
      </c>
      <c r="W298" s="26" t="str">
        <f t="shared" si="5"/>
        <v>MEC</v>
      </c>
      <c r="X298" s="26" t="e">
        <f>VLOOKUP(MID([1]!Table1[[#This Row],[Nodo]],1,7),[1]!Tabla5[#Data],2,FALSE)</f>
        <v>#N/A</v>
      </c>
    </row>
    <row r="299" spans="1:24" x14ac:dyDescent="0.3">
      <c r="A299" s="8" t="s">
        <v>24</v>
      </c>
      <c r="B299" s="8" t="s">
        <v>279</v>
      </c>
      <c r="C299" s="8" t="s">
        <v>26</v>
      </c>
      <c r="D299" s="8" t="s">
        <v>254</v>
      </c>
      <c r="E299" s="8" t="s">
        <v>345</v>
      </c>
      <c r="F299" s="8" t="s">
        <v>346</v>
      </c>
      <c r="G299" s="8" t="s">
        <v>248</v>
      </c>
      <c r="H299" s="8" t="s">
        <v>249</v>
      </c>
      <c r="I299" s="8" t="s">
        <v>250</v>
      </c>
      <c r="J299" s="28">
        <v>45695.430995370371</v>
      </c>
      <c r="K299" s="28">
        <v>45863.464583333334</v>
      </c>
      <c r="L299" s="8" t="s">
        <v>286</v>
      </c>
      <c r="M299" s="8" t="s">
        <v>287</v>
      </c>
      <c r="N299" s="29">
        <v>0</v>
      </c>
      <c r="O299" s="29">
        <v>1</v>
      </c>
      <c r="P299" s="8" t="s">
        <v>35</v>
      </c>
      <c r="Q299" s="8" t="s">
        <v>36</v>
      </c>
      <c r="R299" s="8" t="s">
        <v>257</v>
      </c>
      <c r="S299" s="8" t="s">
        <v>38</v>
      </c>
      <c r="V299" s="26" t="str">
        <f>VLOOKUP(MID(Table1[[#This Row],[Nodo]],1,12),Tabla2[#Data],2,FALSE)</f>
        <v>ESTACION DE FORMADO</v>
      </c>
      <c r="W299" s="26" t="str">
        <f t="shared" si="5"/>
        <v>MEC</v>
      </c>
      <c r="X299" s="26" t="e">
        <f>VLOOKUP(MID([1]!Table1[[#This Row],[Nodo]],1,7),[1]!Tabla5[#Data],2,FALSE)</f>
        <v>#N/A</v>
      </c>
    </row>
    <row r="300" spans="1:24" x14ac:dyDescent="0.3">
      <c r="A300" s="8" t="s">
        <v>24</v>
      </c>
      <c r="B300" s="8" t="s">
        <v>279</v>
      </c>
      <c r="C300" s="8" t="s">
        <v>26</v>
      </c>
      <c r="D300" s="8" t="s">
        <v>347</v>
      </c>
      <c r="E300" s="8" t="s">
        <v>348</v>
      </c>
      <c r="F300" s="8" t="s">
        <v>349</v>
      </c>
      <c r="G300" s="8" t="s">
        <v>248</v>
      </c>
      <c r="H300" s="8" t="s">
        <v>249</v>
      </c>
      <c r="I300" s="8" t="s">
        <v>250</v>
      </c>
      <c r="J300" s="28">
        <v>45695.430995370371</v>
      </c>
      <c r="K300" s="28">
        <v>45863.464583333334</v>
      </c>
      <c r="L300" s="8" t="s">
        <v>286</v>
      </c>
      <c r="M300" s="8" t="s">
        <v>287</v>
      </c>
      <c r="N300" s="29">
        <v>0</v>
      </c>
      <c r="O300" s="29">
        <v>1</v>
      </c>
      <c r="P300" s="8" t="s">
        <v>35</v>
      </c>
      <c r="Q300" s="8" t="s">
        <v>36</v>
      </c>
      <c r="R300" s="8" t="s">
        <v>350</v>
      </c>
      <c r="S300" s="8" t="s">
        <v>38</v>
      </c>
      <c r="V300" s="26" t="str">
        <f>VLOOKUP(MID(Table1[[#This Row],[Nodo]],1,12),Tabla2[#Data],2,FALSE)</f>
        <v>ESTACION DE FORMADO</v>
      </c>
      <c r="W300" s="26" t="str">
        <f t="shared" si="5"/>
        <v>MEC</v>
      </c>
      <c r="X300" s="26" t="e">
        <f>VLOOKUP(MID([1]!Table1[[#This Row],[Nodo]],1,7),[1]!Tabla5[#Data],2,FALSE)</f>
        <v>#N/A</v>
      </c>
    </row>
    <row r="301" spans="1:24" x14ac:dyDescent="0.3">
      <c r="A301" s="8" t="s">
        <v>24</v>
      </c>
      <c r="B301" s="8" t="s">
        <v>279</v>
      </c>
      <c r="C301" s="8" t="s">
        <v>26</v>
      </c>
      <c r="D301" s="8" t="s">
        <v>347</v>
      </c>
      <c r="E301" s="8" t="s">
        <v>348</v>
      </c>
      <c r="F301" s="8" t="s">
        <v>351</v>
      </c>
      <c r="G301" s="8" t="s">
        <v>248</v>
      </c>
      <c r="H301" s="8" t="s">
        <v>249</v>
      </c>
      <c r="I301" s="8" t="s">
        <v>250</v>
      </c>
      <c r="J301" s="28">
        <v>45695.430995370371</v>
      </c>
      <c r="K301" s="28">
        <v>45863.464583333334</v>
      </c>
      <c r="L301" s="8" t="s">
        <v>286</v>
      </c>
      <c r="M301" s="8" t="s">
        <v>287</v>
      </c>
      <c r="N301" s="29">
        <v>0</v>
      </c>
      <c r="O301" s="29">
        <v>1</v>
      </c>
      <c r="P301" s="8" t="s">
        <v>35</v>
      </c>
      <c r="Q301" s="8" t="s">
        <v>36</v>
      </c>
      <c r="R301" s="8" t="s">
        <v>350</v>
      </c>
      <c r="S301" s="8" t="s">
        <v>38</v>
      </c>
      <c r="V301" s="26" t="str">
        <f>VLOOKUP(MID(Table1[[#This Row],[Nodo]],1,12),Tabla2[#Data],2,FALSE)</f>
        <v>ESTACION DE FORMADO</v>
      </c>
      <c r="W301" s="26" t="str">
        <f t="shared" si="5"/>
        <v>MEC</v>
      </c>
      <c r="X301" s="26" t="e">
        <f>VLOOKUP(MID([1]!Table1[[#This Row],[Nodo]],1,7),[1]!Tabla5[#Data],2,FALSE)</f>
        <v>#N/A</v>
      </c>
    </row>
    <row r="302" spans="1:24" x14ac:dyDescent="0.3">
      <c r="A302" s="8" t="s">
        <v>24</v>
      </c>
      <c r="B302" s="8" t="s">
        <v>279</v>
      </c>
      <c r="C302" s="8" t="s">
        <v>26</v>
      </c>
      <c r="D302" s="8" t="s">
        <v>352</v>
      </c>
      <c r="E302" s="8" t="s">
        <v>353</v>
      </c>
      <c r="F302" s="8" t="s">
        <v>354</v>
      </c>
      <c r="G302" s="8" t="s">
        <v>248</v>
      </c>
      <c r="H302" s="8" t="s">
        <v>249</v>
      </c>
      <c r="I302" s="8" t="s">
        <v>250</v>
      </c>
      <c r="J302" s="28">
        <v>45695.430995370371</v>
      </c>
      <c r="K302" s="28">
        <v>45863.464583333334</v>
      </c>
      <c r="L302" s="8" t="s">
        <v>286</v>
      </c>
      <c r="M302" s="8" t="s">
        <v>287</v>
      </c>
      <c r="N302" s="29">
        <v>0</v>
      </c>
      <c r="O302" s="29">
        <v>1</v>
      </c>
      <c r="P302" s="8" t="s">
        <v>35</v>
      </c>
      <c r="Q302" s="8" t="s">
        <v>36</v>
      </c>
      <c r="R302" s="8" t="s">
        <v>355</v>
      </c>
      <c r="S302" s="8" t="s">
        <v>38</v>
      </c>
      <c r="V302" s="26" t="str">
        <f>VLOOKUP(MID(Table1[[#This Row],[Nodo]],1,12),Tabla2[#Data],2,FALSE)</f>
        <v>ESTACION DE FORMADO</v>
      </c>
      <c r="W302" s="26" t="str">
        <f t="shared" si="5"/>
        <v>MEC</v>
      </c>
      <c r="X302" s="26" t="e">
        <f>VLOOKUP(MID([1]!Table1[[#This Row],[Nodo]],1,7),[1]!Tabla5[#Data],2,FALSE)</f>
        <v>#N/A</v>
      </c>
    </row>
    <row r="303" spans="1:24" x14ac:dyDescent="0.3">
      <c r="A303" s="8" t="s">
        <v>24</v>
      </c>
      <c r="B303" s="8" t="s">
        <v>279</v>
      </c>
      <c r="C303" s="8" t="s">
        <v>26</v>
      </c>
      <c r="D303" s="8" t="s">
        <v>352</v>
      </c>
      <c r="E303" s="8" t="s">
        <v>353</v>
      </c>
      <c r="F303" s="8" t="s">
        <v>356</v>
      </c>
      <c r="G303" s="8" t="s">
        <v>248</v>
      </c>
      <c r="H303" s="8" t="s">
        <v>249</v>
      </c>
      <c r="I303" s="8" t="s">
        <v>250</v>
      </c>
      <c r="J303" s="28">
        <v>45695.430995370371</v>
      </c>
      <c r="K303" s="28">
        <v>45863.464583333334</v>
      </c>
      <c r="L303" s="8" t="s">
        <v>286</v>
      </c>
      <c r="M303" s="8" t="s">
        <v>287</v>
      </c>
      <c r="N303" s="29">
        <v>0</v>
      </c>
      <c r="O303" s="29">
        <v>1</v>
      </c>
      <c r="P303" s="8" t="s">
        <v>35</v>
      </c>
      <c r="Q303" s="8" t="s">
        <v>36</v>
      </c>
      <c r="R303" s="8" t="s">
        <v>355</v>
      </c>
      <c r="S303" s="8" t="s">
        <v>38</v>
      </c>
      <c r="V303" s="26" t="str">
        <f>VLOOKUP(MID(Table1[[#This Row],[Nodo]],1,12),Tabla2[#Data],2,FALSE)</f>
        <v>ESTACION DE FORMADO</v>
      </c>
      <c r="W303" s="26" t="str">
        <f t="shared" si="5"/>
        <v>MEC</v>
      </c>
      <c r="X303" s="26" t="e">
        <f>VLOOKUP(MID([1]!Table1[[#This Row],[Nodo]],1,7),[1]!Tabla5[#Data],2,FALSE)</f>
        <v>#N/A</v>
      </c>
    </row>
    <row r="304" spans="1:24" x14ac:dyDescent="0.3">
      <c r="A304" s="8" t="s">
        <v>24</v>
      </c>
      <c r="B304" s="8" t="s">
        <v>279</v>
      </c>
      <c r="C304" s="8" t="s">
        <v>26</v>
      </c>
      <c r="D304" s="8" t="s">
        <v>352</v>
      </c>
      <c r="E304" s="8" t="s">
        <v>353</v>
      </c>
      <c r="F304" s="8" t="s">
        <v>357</v>
      </c>
      <c r="G304" s="8" t="s">
        <v>248</v>
      </c>
      <c r="H304" s="8" t="s">
        <v>249</v>
      </c>
      <c r="I304" s="8" t="s">
        <v>250</v>
      </c>
      <c r="J304" s="28">
        <v>45695.430995370371</v>
      </c>
      <c r="K304" s="28">
        <v>45863.464583333334</v>
      </c>
      <c r="L304" s="8" t="s">
        <v>286</v>
      </c>
      <c r="M304" s="8" t="s">
        <v>287</v>
      </c>
      <c r="N304" s="29">
        <v>0</v>
      </c>
      <c r="O304" s="29">
        <v>1</v>
      </c>
      <c r="P304" s="8" t="s">
        <v>35</v>
      </c>
      <c r="Q304" s="8" t="s">
        <v>36</v>
      </c>
      <c r="R304" s="8" t="s">
        <v>355</v>
      </c>
      <c r="S304" s="8" t="s">
        <v>38</v>
      </c>
      <c r="V304" s="26" t="str">
        <f>VLOOKUP(MID(Table1[[#This Row],[Nodo]],1,12),Tabla2[#Data],2,FALSE)</f>
        <v>ESTACION DE FORMADO</v>
      </c>
      <c r="W304" s="26" t="str">
        <f t="shared" si="5"/>
        <v>MEC</v>
      </c>
      <c r="X304" s="26" t="e">
        <f>VLOOKUP(MID([1]!Table1[[#This Row],[Nodo]],1,7),[1]!Tabla5[#Data],2,FALSE)</f>
        <v>#N/A</v>
      </c>
    </row>
    <row r="305" spans="1:24" x14ac:dyDescent="0.3">
      <c r="A305" s="8" t="s">
        <v>24</v>
      </c>
      <c r="B305" s="8" t="s">
        <v>279</v>
      </c>
      <c r="C305" s="8" t="s">
        <v>26</v>
      </c>
      <c r="D305" s="8" t="s">
        <v>352</v>
      </c>
      <c r="E305" s="8" t="s">
        <v>353</v>
      </c>
      <c r="F305" s="8" t="s">
        <v>358</v>
      </c>
      <c r="G305" s="8" t="s">
        <v>248</v>
      </c>
      <c r="H305" s="8" t="s">
        <v>249</v>
      </c>
      <c r="I305" s="8" t="s">
        <v>250</v>
      </c>
      <c r="J305" s="28">
        <v>45695.430995370371</v>
      </c>
      <c r="K305" s="28">
        <v>45863.464583333334</v>
      </c>
      <c r="L305" s="8" t="s">
        <v>286</v>
      </c>
      <c r="M305" s="8" t="s">
        <v>287</v>
      </c>
      <c r="N305" s="29">
        <v>0</v>
      </c>
      <c r="O305" s="29">
        <v>1</v>
      </c>
      <c r="P305" s="8" t="s">
        <v>35</v>
      </c>
      <c r="Q305" s="8" t="s">
        <v>36</v>
      </c>
      <c r="R305" s="8" t="s">
        <v>355</v>
      </c>
      <c r="S305" s="8" t="s">
        <v>38</v>
      </c>
      <c r="V305" s="26" t="str">
        <f>VLOOKUP(MID(Table1[[#This Row],[Nodo]],1,12),Tabla2[#Data],2,FALSE)</f>
        <v>ESTACION DE FORMADO</v>
      </c>
      <c r="W305" s="26" t="str">
        <f t="shared" si="5"/>
        <v>MEC</v>
      </c>
      <c r="X305" s="26" t="e">
        <f>VLOOKUP(MID([1]!Table1[[#This Row],[Nodo]],1,7),[1]!Tabla5[#Data],2,FALSE)</f>
        <v>#N/A</v>
      </c>
    </row>
    <row r="306" spans="1:24" x14ac:dyDescent="0.3">
      <c r="A306" s="8" t="s">
        <v>24</v>
      </c>
      <c r="B306" s="8" t="s">
        <v>279</v>
      </c>
      <c r="C306" s="8" t="s">
        <v>26</v>
      </c>
      <c r="D306" s="8" t="s">
        <v>359</v>
      </c>
      <c r="E306" s="8" t="s">
        <v>360</v>
      </c>
      <c r="F306" s="8" t="s">
        <v>361</v>
      </c>
      <c r="G306" s="8" t="s">
        <v>248</v>
      </c>
      <c r="H306" s="8" t="s">
        <v>249</v>
      </c>
      <c r="I306" s="8" t="s">
        <v>250</v>
      </c>
      <c r="J306" s="28">
        <v>45695.430995370371</v>
      </c>
      <c r="K306" s="28">
        <v>45863.464583333334</v>
      </c>
      <c r="L306" s="8" t="s">
        <v>286</v>
      </c>
      <c r="M306" s="8" t="s">
        <v>287</v>
      </c>
      <c r="N306" s="29">
        <v>0</v>
      </c>
      <c r="O306" s="29">
        <v>1</v>
      </c>
      <c r="P306" s="8" t="s">
        <v>35</v>
      </c>
      <c r="Q306" s="8" t="s">
        <v>36</v>
      </c>
      <c r="R306" s="8" t="s">
        <v>362</v>
      </c>
      <c r="S306" s="8" t="s">
        <v>38</v>
      </c>
      <c r="V306" s="26" t="str">
        <f>VLOOKUP(MID(Table1[[#This Row],[Nodo]],1,12),Tabla2[#Data],2,FALSE)</f>
        <v>ESTACION DE FORMADO</v>
      </c>
      <c r="W306" s="26" t="str">
        <f t="shared" si="5"/>
        <v>MEC</v>
      </c>
      <c r="X306" s="26" t="e">
        <f>VLOOKUP(MID([1]!Table1[[#This Row],[Nodo]],1,7),[1]!Tabla5[#Data],2,FALSE)</f>
        <v>#N/A</v>
      </c>
    </row>
    <row r="307" spans="1:24" x14ac:dyDescent="0.3">
      <c r="A307" s="8" t="s">
        <v>24</v>
      </c>
      <c r="B307" s="8" t="s">
        <v>279</v>
      </c>
      <c r="C307" s="8" t="s">
        <v>26</v>
      </c>
      <c r="D307" s="8" t="s">
        <v>363</v>
      </c>
      <c r="E307" s="8" t="s">
        <v>364</v>
      </c>
      <c r="F307" s="8" t="s">
        <v>365</v>
      </c>
      <c r="G307" s="8" t="s">
        <v>248</v>
      </c>
      <c r="H307" s="8" t="s">
        <v>249</v>
      </c>
      <c r="I307" s="8" t="s">
        <v>250</v>
      </c>
      <c r="J307" s="28">
        <v>45695.431006944447</v>
      </c>
      <c r="K307" s="28">
        <v>45863.464583333334</v>
      </c>
      <c r="L307" s="8" t="s">
        <v>286</v>
      </c>
      <c r="M307" s="8" t="s">
        <v>287</v>
      </c>
      <c r="N307" s="29">
        <v>0</v>
      </c>
      <c r="O307" s="29">
        <v>1</v>
      </c>
      <c r="P307" s="8" t="s">
        <v>35</v>
      </c>
      <c r="Q307" s="8" t="s">
        <v>36</v>
      </c>
      <c r="R307" s="8" t="s">
        <v>366</v>
      </c>
      <c r="S307" s="8" t="s">
        <v>38</v>
      </c>
      <c r="V307" s="26" t="str">
        <f>VLOOKUP(MID(Table1[[#This Row],[Nodo]],1,12),Tabla2[#Data],2,FALSE)</f>
        <v>ESTACION DE FORMADO</v>
      </c>
      <c r="W307" s="26" t="str">
        <f t="shared" si="5"/>
        <v>MEC</v>
      </c>
      <c r="X307" s="26" t="e">
        <f>VLOOKUP(MID([1]!Table1[[#This Row],[Nodo]],1,7),[1]!Tabla5[#Data],2,FALSE)</f>
        <v>#N/A</v>
      </c>
    </row>
    <row r="308" spans="1:24" x14ac:dyDescent="0.3">
      <c r="A308" s="8" t="s">
        <v>24</v>
      </c>
      <c r="B308" s="8" t="s">
        <v>279</v>
      </c>
      <c r="C308" s="8" t="s">
        <v>26</v>
      </c>
      <c r="D308" s="8" t="s">
        <v>363</v>
      </c>
      <c r="E308" s="8" t="s">
        <v>364</v>
      </c>
      <c r="F308" s="8" t="s">
        <v>367</v>
      </c>
      <c r="G308" s="8" t="s">
        <v>248</v>
      </c>
      <c r="H308" s="8" t="s">
        <v>249</v>
      </c>
      <c r="I308" s="8" t="s">
        <v>250</v>
      </c>
      <c r="J308" s="28">
        <v>45695.431006944447</v>
      </c>
      <c r="K308" s="28">
        <v>45863.464583333334</v>
      </c>
      <c r="L308" s="8" t="s">
        <v>286</v>
      </c>
      <c r="M308" s="8" t="s">
        <v>287</v>
      </c>
      <c r="N308" s="29">
        <v>0</v>
      </c>
      <c r="O308" s="29">
        <v>1</v>
      </c>
      <c r="P308" s="8" t="s">
        <v>35</v>
      </c>
      <c r="Q308" s="8" t="s">
        <v>36</v>
      </c>
      <c r="R308" s="8" t="s">
        <v>366</v>
      </c>
      <c r="S308" s="8" t="s">
        <v>38</v>
      </c>
      <c r="V308" s="26" t="str">
        <f>VLOOKUP(MID(Table1[[#This Row],[Nodo]],1,12),Tabla2[#Data],2,FALSE)</f>
        <v>ESTACION DE FORMADO</v>
      </c>
      <c r="W308" s="26" t="str">
        <f t="shared" si="5"/>
        <v>MEC</v>
      </c>
      <c r="X308" s="26" t="e">
        <f>VLOOKUP(MID([1]!Table1[[#This Row],[Nodo]],1,7),[1]!Tabla5[#Data],2,FALSE)</f>
        <v>#N/A</v>
      </c>
    </row>
    <row r="309" spans="1:24" x14ac:dyDescent="0.3">
      <c r="A309" s="8" t="s">
        <v>24</v>
      </c>
      <c r="B309" s="8" t="s">
        <v>279</v>
      </c>
      <c r="C309" s="8" t="s">
        <v>26</v>
      </c>
      <c r="D309" s="8" t="s">
        <v>368</v>
      </c>
      <c r="E309" s="8" t="s">
        <v>369</v>
      </c>
      <c r="F309" s="8" t="s">
        <v>370</v>
      </c>
      <c r="G309" s="8" t="s">
        <v>248</v>
      </c>
      <c r="H309" s="8" t="s">
        <v>249</v>
      </c>
      <c r="I309" s="8" t="s">
        <v>250</v>
      </c>
      <c r="J309" s="28">
        <v>45695.431006944447</v>
      </c>
      <c r="K309" s="28">
        <v>45863.464583333334</v>
      </c>
      <c r="L309" s="8" t="s">
        <v>286</v>
      </c>
      <c r="M309" s="8" t="s">
        <v>287</v>
      </c>
      <c r="N309" s="29">
        <v>0</v>
      </c>
      <c r="O309" s="29">
        <v>1</v>
      </c>
      <c r="P309" s="8" t="s">
        <v>35</v>
      </c>
      <c r="Q309" s="8" t="s">
        <v>36</v>
      </c>
      <c r="R309" s="8" t="s">
        <v>371</v>
      </c>
      <c r="S309" s="8" t="s">
        <v>38</v>
      </c>
      <c r="V309" s="26" t="str">
        <f>VLOOKUP(MID(Table1[[#This Row],[Nodo]],1,12),Tabla2[#Data],2,FALSE)</f>
        <v>ESTACION DE FORMADO</v>
      </c>
      <c r="W309" s="26" t="str">
        <f t="shared" si="5"/>
        <v>MEC</v>
      </c>
      <c r="X309" s="26" t="e">
        <f>VLOOKUP(MID([1]!Table1[[#This Row],[Nodo]],1,7),[1]!Tabla5[#Data],2,FALSE)</f>
        <v>#N/A</v>
      </c>
    </row>
    <row r="310" spans="1:24" x14ac:dyDescent="0.3">
      <c r="A310" s="8" t="s">
        <v>24</v>
      </c>
      <c r="B310" s="8" t="s">
        <v>279</v>
      </c>
      <c r="C310" s="8" t="s">
        <v>26</v>
      </c>
      <c r="D310" s="8" t="s">
        <v>368</v>
      </c>
      <c r="E310" s="8" t="s">
        <v>369</v>
      </c>
      <c r="F310" s="8" t="s">
        <v>372</v>
      </c>
      <c r="G310" s="8" t="s">
        <v>248</v>
      </c>
      <c r="H310" s="8" t="s">
        <v>249</v>
      </c>
      <c r="I310" s="8" t="s">
        <v>250</v>
      </c>
      <c r="J310" s="28">
        <v>45695.431006944447</v>
      </c>
      <c r="K310" s="28">
        <v>45863.464583333334</v>
      </c>
      <c r="L310" s="8" t="s">
        <v>286</v>
      </c>
      <c r="M310" s="8" t="s">
        <v>287</v>
      </c>
      <c r="N310" s="29">
        <v>0</v>
      </c>
      <c r="O310" s="29">
        <v>1</v>
      </c>
      <c r="P310" s="8" t="s">
        <v>35</v>
      </c>
      <c r="Q310" s="8" t="s">
        <v>36</v>
      </c>
      <c r="R310" s="8" t="s">
        <v>371</v>
      </c>
      <c r="S310" s="8" t="s">
        <v>38</v>
      </c>
      <c r="V310" s="26" t="str">
        <f>VLOOKUP(MID(Table1[[#This Row],[Nodo]],1,12),Tabla2[#Data],2,FALSE)</f>
        <v>ESTACION DE FORMADO</v>
      </c>
      <c r="W310" s="26" t="str">
        <f t="shared" si="5"/>
        <v>MEC</v>
      </c>
      <c r="X310" s="26" t="e">
        <f>VLOOKUP(MID([1]!Table1[[#This Row],[Nodo]],1,7),[1]!Tabla5[#Data],2,FALSE)</f>
        <v>#N/A</v>
      </c>
    </row>
    <row r="311" spans="1:24" x14ac:dyDescent="0.3">
      <c r="A311" s="8" t="s">
        <v>24</v>
      </c>
      <c r="B311" s="8" t="s">
        <v>279</v>
      </c>
      <c r="C311" s="8" t="s">
        <v>26</v>
      </c>
      <c r="D311" s="8" t="s">
        <v>373</v>
      </c>
      <c r="E311" s="8" t="s">
        <v>374</v>
      </c>
      <c r="F311" s="8" t="s">
        <v>301</v>
      </c>
      <c r="G311" s="8" t="s">
        <v>225</v>
      </c>
      <c r="H311" s="8" t="s">
        <v>226</v>
      </c>
      <c r="I311" s="8" t="s">
        <v>227</v>
      </c>
      <c r="J311" s="28">
        <v>45695.430972222224</v>
      </c>
      <c r="K311" s="28">
        <v>45863.464583333334</v>
      </c>
      <c r="L311" s="8" t="s">
        <v>286</v>
      </c>
      <c r="M311" s="8" t="s">
        <v>287</v>
      </c>
      <c r="N311" s="29">
        <v>0</v>
      </c>
      <c r="O311" s="29">
        <v>1</v>
      </c>
      <c r="P311" s="8" t="s">
        <v>35</v>
      </c>
      <c r="Q311" s="8" t="s">
        <v>36</v>
      </c>
      <c r="R311" s="8" t="s">
        <v>375</v>
      </c>
      <c r="S311" s="8" t="s">
        <v>38</v>
      </c>
      <c r="V311" s="26" t="str">
        <f>VLOOKUP(MID(Table1[[#This Row],[Nodo]],1,12),Tabla2[#Data],2,FALSE)</f>
        <v>DESEMBOBINADOR</v>
      </c>
      <c r="W311" s="26" t="str">
        <f t="shared" si="5"/>
        <v>MEC</v>
      </c>
      <c r="X311" s="26" t="e">
        <f>VLOOKUP(MID([1]!Table1[[#This Row],[Nodo]],1,7),[1]!Tabla5[#Data],2,FALSE)</f>
        <v>#N/A</v>
      </c>
    </row>
    <row r="312" spans="1:24" x14ac:dyDescent="0.3">
      <c r="A312" s="8" t="s">
        <v>24</v>
      </c>
      <c r="B312" s="8" t="s">
        <v>279</v>
      </c>
      <c r="C312" s="8" t="s">
        <v>26</v>
      </c>
      <c r="D312" s="8" t="s">
        <v>373</v>
      </c>
      <c r="E312" s="8" t="s">
        <v>374</v>
      </c>
      <c r="F312" s="8" t="s">
        <v>303</v>
      </c>
      <c r="G312" s="8" t="s">
        <v>225</v>
      </c>
      <c r="H312" s="8" t="s">
        <v>226</v>
      </c>
      <c r="I312" s="8" t="s">
        <v>227</v>
      </c>
      <c r="J312" s="28">
        <v>45695.430972222224</v>
      </c>
      <c r="K312" s="28">
        <v>45863.464583333334</v>
      </c>
      <c r="L312" s="8" t="s">
        <v>286</v>
      </c>
      <c r="M312" s="8" t="s">
        <v>287</v>
      </c>
      <c r="N312" s="29">
        <v>0</v>
      </c>
      <c r="O312" s="29">
        <v>1</v>
      </c>
      <c r="P312" s="8" t="s">
        <v>35</v>
      </c>
      <c r="Q312" s="8" t="s">
        <v>36</v>
      </c>
      <c r="R312" s="8" t="s">
        <v>375</v>
      </c>
      <c r="S312" s="8" t="s">
        <v>38</v>
      </c>
      <c r="V312" s="26" t="str">
        <f>VLOOKUP(MID(Table1[[#This Row],[Nodo]],1,12),Tabla2[#Data],2,FALSE)</f>
        <v>DESEMBOBINADOR</v>
      </c>
      <c r="W312" s="26" t="str">
        <f t="shared" si="5"/>
        <v>MEC</v>
      </c>
      <c r="X312" s="26" t="e">
        <f>VLOOKUP(MID([1]!Table1[[#This Row],[Nodo]],1,7),[1]!Tabla5[#Data],2,FALSE)</f>
        <v>#N/A</v>
      </c>
    </row>
    <row r="313" spans="1:24" x14ac:dyDescent="0.3">
      <c r="A313" s="8" t="s">
        <v>24</v>
      </c>
      <c r="B313" s="8" t="s">
        <v>279</v>
      </c>
      <c r="C313" s="8" t="s">
        <v>26</v>
      </c>
      <c r="D313" s="8" t="s">
        <v>376</v>
      </c>
      <c r="E313" s="8" t="s">
        <v>377</v>
      </c>
      <c r="F313" s="8" t="s">
        <v>378</v>
      </c>
      <c r="G313" s="8" t="s">
        <v>262</v>
      </c>
      <c r="H313" s="8" t="s">
        <v>263</v>
      </c>
      <c r="I313" s="8" t="s">
        <v>264</v>
      </c>
      <c r="J313" s="28">
        <v>45695.430937500001</v>
      </c>
      <c r="K313" s="28">
        <v>45863.464583333334</v>
      </c>
      <c r="L313" s="8" t="s">
        <v>286</v>
      </c>
      <c r="M313" s="8" t="s">
        <v>287</v>
      </c>
      <c r="N313" s="29">
        <v>0</v>
      </c>
      <c r="O313" s="29">
        <v>1</v>
      </c>
      <c r="P313" s="8" t="s">
        <v>35</v>
      </c>
      <c r="Q313" s="8" t="s">
        <v>36</v>
      </c>
      <c r="R313" s="8" t="s">
        <v>379</v>
      </c>
      <c r="S313" s="8" t="s">
        <v>38</v>
      </c>
      <c r="V313" s="26" t="str">
        <f>VLOOKUP(MID(Table1[[#This Row],[Nodo]],1,12),Tabla2[#Data],2,FALSE)</f>
        <v>APILADOR APILADOR SISTEMA DE A</v>
      </c>
      <c r="W313" s="26" t="str">
        <f t="shared" si="5"/>
        <v>MEC</v>
      </c>
      <c r="X313" s="26" t="e">
        <f>VLOOKUP(MID([1]!Table1[[#This Row],[Nodo]],1,7),[1]!Tabla5[#Data],2,FALSE)</f>
        <v>#N/A</v>
      </c>
    </row>
    <row r="314" spans="1:24" x14ac:dyDescent="0.3">
      <c r="A314" s="8" t="s">
        <v>24</v>
      </c>
      <c r="B314" s="8" t="s">
        <v>279</v>
      </c>
      <c r="C314" s="8" t="s">
        <v>26</v>
      </c>
      <c r="D314" s="8" t="s">
        <v>376</v>
      </c>
      <c r="E314" s="8" t="s">
        <v>377</v>
      </c>
      <c r="F314" s="8" t="s">
        <v>380</v>
      </c>
      <c r="G314" s="8" t="s">
        <v>262</v>
      </c>
      <c r="H314" s="8" t="s">
        <v>263</v>
      </c>
      <c r="I314" s="8" t="s">
        <v>264</v>
      </c>
      <c r="J314" s="28">
        <v>45695.430937500001</v>
      </c>
      <c r="K314" s="28">
        <v>45863.464583333334</v>
      </c>
      <c r="L314" s="8" t="s">
        <v>286</v>
      </c>
      <c r="M314" s="8" t="s">
        <v>287</v>
      </c>
      <c r="N314" s="29">
        <v>0</v>
      </c>
      <c r="O314" s="29">
        <v>1</v>
      </c>
      <c r="P314" s="8" t="s">
        <v>35</v>
      </c>
      <c r="Q314" s="8" t="s">
        <v>36</v>
      </c>
      <c r="R314" s="8" t="s">
        <v>379</v>
      </c>
      <c r="S314" s="8" t="s">
        <v>38</v>
      </c>
      <c r="V314" s="26" t="str">
        <f>VLOOKUP(MID(Table1[[#This Row],[Nodo]],1,12),Tabla2[#Data],2,FALSE)</f>
        <v>APILADOR APILADOR SISTEMA DE A</v>
      </c>
      <c r="W314" s="26" t="str">
        <f t="shared" si="5"/>
        <v>MEC</v>
      </c>
      <c r="X314" s="26" t="e">
        <f>VLOOKUP(MID([1]!Table1[[#This Row],[Nodo]],1,7),[1]!Tabla5[#Data],2,FALSE)</f>
        <v>#N/A</v>
      </c>
    </row>
    <row r="315" spans="1:24" x14ac:dyDescent="0.3">
      <c r="A315" s="8" t="s">
        <v>24</v>
      </c>
      <c r="B315" s="8" t="s">
        <v>279</v>
      </c>
      <c r="C315" s="8" t="s">
        <v>26</v>
      </c>
      <c r="D315" s="8" t="s">
        <v>381</v>
      </c>
      <c r="E315" s="8" t="s">
        <v>382</v>
      </c>
      <c r="F315" s="8" t="s">
        <v>383</v>
      </c>
      <c r="G315" s="8" t="s">
        <v>384</v>
      </c>
      <c r="H315" s="8" t="s">
        <v>385</v>
      </c>
      <c r="I315" s="8" t="s">
        <v>386</v>
      </c>
      <c r="J315" s="28">
        <v>45695.430972222224</v>
      </c>
      <c r="K315" s="28">
        <v>45863.464583333334</v>
      </c>
      <c r="L315" s="8" t="s">
        <v>286</v>
      </c>
      <c r="M315" s="8" t="s">
        <v>287</v>
      </c>
      <c r="N315" s="29">
        <v>0</v>
      </c>
      <c r="O315" s="29">
        <v>1</v>
      </c>
      <c r="P315" s="8" t="s">
        <v>35</v>
      </c>
      <c r="Q315" s="8" t="s">
        <v>36</v>
      </c>
      <c r="R315" s="8" t="s">
        <v>387</v>
      </c>
      <c r="S315" s="8" t="s">
        <v>38</v>
      </c>
      <c r="V315" s="26" t="str">
        <f>VLOOKUP(MID(Table1[[#This Row],[Nodo]],1,12),Tabla2[#Data],2,FALSE)</f>
        <v>EMBOBINADOR DE SCRAP</v>
      </c>
      <c r="W315" s="26" t="str">
        <f t="shared" si="5"/>
        <v>MEC</v>
      </c>
      <c r="X315" s="26" t="e">
        <f>VLOOKUP(MID([1]!Table1[[#This Row],[Nodo]],1,7),[1]!Tabla5[#Data],2,FALSE)</f>
        <v>#N/A</v>
      </c>
    </row>
    <row r="316" spans="1:24" x14ac:dyDescent="0.3">
      <c r="A316" s="8" t="s">
        <v>24</v>
      </c>
      <c r="B316" s="8" t="s">
        <v>279</v>
      </c>
      <c r="C316" s="8" t="s">
        <v>26</v>
      </c>
      <c r="D316" s="8" t="s">
        <v>381</v>
      </c>
      <c r="E316" s="8" t="s">
        <v>382</v>
      </c>
      <c r="F316" s="8" t="s">
        <v>388</v>
      </c>
      <c r="G316" s="8" t="s">
        <v>384</v>
      </c>
      <c r="H316" s="8" t="s">
        <v>385</v>
      </c>
      <c r="I316" s="8" t="s">
        <v>386</v>
      </c>
      <c r="J316" s="28">
        <v>45695.430972222224</v>
      </c>
      <c r="K316" s="28">
        <v>45863.464583333334</v>
      </c>
      <c r="L316" s="8" t="s">
        <v>286</v>
      </c>
      <c r="M316" s="8" t="s">
        <v>287</v>
      </c>
      <c r="N316" s="29">
        <v>0</v>
      </c>
      <c r="O316" s="29">
        <v>1</v>
      </c>
      <c r="P316" s="8" t="s">
        <v>35</v>
      </c>
      <c r="Q316" s="8" t="s">
        <v>36</v>
      </c>
      <c r="R316" s="8" t="s">
        <v>387</v>
      </c>
      <c r="S316" s="8" t="s">
        <v>38</v>
      </c>
      <c r="V316" s="26" t="str">
        <f>VLOOKUP(MID(Table1[[#This Row],[Nodo]],1,12),Tabla2[#Data],2,FALSE)</f>
        <v>EMBOBINADOR DE SCRAP</v>
      </c>
      <c r="W316" s="26" t="str">
        <f t="shared" si="5"/>
        <v>MEC</v>
      </c>
      <c r="X316" s="26" t="e">
        <f>VLOOKUP(MID([1]!Table1[[#This Row],[Nodo]],1,7),[1]!Tabla5[#Data],2,FALSE)</f>
        <v>#N/A</v>
      </c>
    </row>
    <row r="317" spans="1:24" x14ac:dyDescent="0.3">
      <c r="A317" s="8" t="s">
        <v>24</v>
      </c>
      <c r="B317" s="8" t="s">
        <v>279</v>
      </c>
      <c r="C317" s="8" t="s">
        <v>26</v>
      </c>
      <c r="D317" s="8" t="s">
        <v>381</v>
      </c>
      <c r="E317" s="8" t="s">
        <v>382</v>
      </c>
      <c r="F317" s="8" t="s">
        <v>389</v>
      </c>
      <c r="G317" s="8" t="s">
        <v>384</v>
      </c>
      <c r="H317" s="8" t="s">
        <v>385</v>
      </c>
      <c r="I317" s="8" t="s">
        <v>386</v>
      </c>
      <c r="J317" s="28">
        <v>45695.430972222224</v>
      </c>
      <c r="K317" s="28">
        <v>45863.464583333334</v>
      </c>
      <c r="L317" s="8" t="s">
        <v>286</v>
      </c>
      <c r="M317" s="8" t="s">
        <v>287</v>
      </c>
      <c r="N317" s="29">
        <v>0</v>
      </c>
      <c r="O317" s="29">
        <v>1</v>
      </c>
      <c r="P317" s="8" t="s">
        <v>35</v>
      </c>
      <c r="Q317" s="8" t="s">
        <v>36</v>
      </c>
      <c r="R317" s="8" t="s">
        <v>387</v>
      </c>
      <c r="S317" s="8" t="s">
        <v>38</v>
      </c>
      <c r="V317" s="26" t="str">
        <f>VLOOKUP(MID(Table1[[#This Row],[Nodo]],1,12),Tabla2[#Data],2,FALSE)</f>
        <v>EMBOBINADOR DE SCRAP</v>
      </c>
      <c r="W317" s="26" t="str">
        <f t="shared" si="5"/>
        <v>MEC</v>
      </c>
      <c r="X317" s="26" t="e">
        <f>VLOOKUP(MID([1]!Table1[[#This Row],[Nodo]],1,7),[1]!Tabla5[#Data],2,FALSE)</f>
        <v>#N/A</v>
      </c>
    </row>
    <row r="318" spans="1:24" x14ac:dyDescent="0.3">
      <c r="A318" s="8" t="s">
        <v>24</v>
      </c>
      <c r="B318" s="8" t="s">
        <v>279</v>
      </c>
      <c r="C318" s="8" t="s">
        <v>26</v>
      </c>
      <c r="D318" s="8" t="s">
        <v>381</v>
      </c>
      <c r="E318" s="8" t="s">
        <v>382</v>
      </c>
      <c r="F318" s="8" t="s">
        <v>390</v>
      </c>
      <c r="G318" s="8" t="s">
        <v>384</v>
      </c>
      <c r="H318" s="8" t="s">
        <v>385</v>
      </c>
      <c r="I318" s="8" t="s">
        <v>386</v>
      </c>
      <c r="J318" s="28">
        <v>45695.430972222224</v>
      </c>
      <c r="K318" s="28">
        <v>45863.464583333334</v>
      </c>
      <c r="L318" s="8" t="s">
        <v>286</v>
      </c>
      <c r="M318" s="8" t="s">
        <v>287</v>
      </c>
      <c r="N318" s="29">
        <v>0</v>
      </c>
      <c r="O318" s="29">
        <v>1</v>
      </c>
      <c r="P318" s="8" t="s">
        <v>35</v>
      </c>
      <c r="Q318" s="8" t="s">
        <v>36</v>
      </c>
      <c r="R318" s="8" t="s">
        <v>387</v>
      </c>
      <c r="S318" s="8" t="s">
        <v>38</v>
      </c>
      <c r="V318" s="26" t="str">
        <f>VLOOKUP(MID(Table1[[#This Row],[Nodo]],1,12),Tabla2[#Data],2,FALSE)</f>
        <v>EMBOBINADOR DE SCRAP</v>
      </c>
      <c r="W318" s="26" t="str">
        <f t="shared" si="5"/>
        <v>MEC</v>
      </c>
      <c r="X318" s="26" t="e">
        <f>VLOOKUP(MID([1]!Table1[[#This Row],[Nodo]],1,7),[1]!Tabla5[#Data],2,FALSE)</f>
        <v>#N/A</v>
      </c>
    </row>
    <row r="319" spans="1:24" x14ac:dyDescent="0.3">
      <c r="A319" s="8" t="s">
        <v>24</v>
      </c>
      <c r="B319" s="8" t="s">
        <v>279</v>
      </c>
      <c r="C319" s="8" t="s">
        <v>26</v>
      </c>
      <c r="D319" s="8" t="s">
        <v>381</v>
      </c>
      <c r="E319" s="8" t="s">
        <v>382</v>
      </c>
      <c r="F319" s="8" t="s">
        <v>391</v>
      </c>
      <c r="G319" s="8" t="s">
        <v>384</v>
      </c>
      <c r="H319" s="8" t="s">
        <v>385</v>
      </c>
      <c r="I319" s="8" t="s">
        <v>386</v>
      </c>
      <c r="J319" s="28">
        <v>45695.430972222224</v>
      </c>
      <c r="K319" s="28">
        <v>45863.464583333334</v>
      </c>
      <c r="L319" s="8" t="s">
        <v>286</v>
      </c>
      <c r="M319" s="8" t="s">
        <v>287</v>
      </c>
      <c r="N319" s="29">
        <v>0</v>
      </c>
      <c r="O319" s="29">
        <v>1</v>
      </c>
      <c r="P319" s="8" t="s">
        <v>35</v>
      </c>
      <c r="Q319" s="8" t="s">
        <v>36</v>
      </c>
      <c r="R319" s="8" t="s">
        <v>387</v>
      </c>
      <c r="S319" s="8" t="s">
        <v>38</v>
      </c>
      <c r="V319" s="26" t="str">
        <f>VLOOKUP(MID(Table1[[#This Row],[Nodo]],1,12),Tabla2[#Data],2,FALSE)</f>
        <v>EMBOBINADOR DE SCRAP</v>
      </c>
      <c r="W319" s="26" t="str">
        <f t="shared" si="5"/>
        <v>MEC</v>
      </c>
      <c r="X319" s="26" t="e">
        <f>VLOOKUP(MID([1]!Table1[[#This Row],[Nodo]],1,7),[1]!Tabla5[#Data],2,FALSE)</f>
        <v>#N/A</v>
      </c>
    </row>
    <row r="320" spans="1:24" x14ac:dyDescent="0.3">
      <c r="A320" s="8" t="s">
        <v>24</v>
      </c>
      <c r="B320" s="8" t="s">
        <v>279</v>
      </c>
      <c r="C320" s="8" t="s">
        <v>26</v>
      </c>
      <c r="D320" s="8" t="s">
        <v>381</v>
      </c>
      <c r="E320" s="8" t="s">
        <v>382</v>
      </c>
      <c r="F320" s="8" t="s">
        <v>392</v>
      </c>
      <c r="G320" s="8" t="s">
        <v>384</v>
      </c>
      <c r="H320" s="8" t="s">
        <v>385</v>
      </c>
      <c r="I320" s="8" t="s">
        <v>386</v>
      </c>
      <c r="J320" s="28">
        <v>45695.430972222224</v>
      </c>
      <c r="K320" s="28">
        <v>45863.464583333334</v>
      </c>
      <c r="L320" s="8" t="s">
        <v>286</v>
      </c>
      <c r="M320" s="8" t="s">
        <v>287</v>
      </c>
      <c r="N320" s="29">
        <v>0</v>
      </c>
      <c r="O320" s="29">
        <v>1</v>
      </c>
      <c r="P320" s="8" t="s">
        <v>35</v>
      </c>
      <c r="Q320" s="8" t="s">
        <v>36</v>
      </c>
      <c r="R320" s="8" t="s">
        <v>387</v>
      </c>
      <c r="S320" s="8" t="s">
        <v>38</v>
      </c>
      <c r="V320" s="26" t="str">
        <f>VLOOKUP(MID(Table1[[#This Row],[Nodo]],1,12),Tabla2[#Data],2,FALSE)</f>
        <v>EMBOBINADOR DE SCRAP</v>
      </c>
      <c r="W320" s="26" t="str">
        <f t="shared" si="5"/>
        <v>MEC</v>
      </c>
      <c r="X320" s="26" t="e">
        <f>VLOOKUP(MID([1]!Table1[[#This Row],[Nodo]],1,7),[1]!Tabla5[#Data],2,FALSE)</f>
        <v>#N/A</v>
      </c>
    </row>
    <row r="321" spans="1:24" x14ac:dyDescent="0.3">
      <c r="A321" s="8" t="s">
        <v>24</v>
      </c>
      <c r="B321" s="8" t="s">
        <v>279</v>
      </c>
      <c r="C321" s="8" t="s">
        <v>26</v>
      </c>
      <c r="D321" s="8" t="s">
        <v>381</v>
      </c>
      <c r="E321" s="8" t="s">
        <v>382</v>
      </c>
      <c r="F321" s="8" t="s">
        <v>393</v>
      </c>
      <c r="G321" s="8" t="s">
        <v>384</v>
      </c>
      <c r="H321" s="8" t="s">
        <v>385</v>
      </c>
      <c r="I321" s="8" t="s">
        <v>386</v>
      </c>
      <c r="J321" s="28">
        <v>45695.430972222224</v>
      </c>
      <c r="K321" s="28">
        <v>45863.464583333334</v>
      </c>
      <c r="L321" s="8" t="s">
        <v>286</v>
      </c>
      <c r="M321" s="8" t="s">
        <v>287</v>
      </c>
      <c r="N321" s="29">
        <v>0</v>
      </c>
      <c r="O321" s="29">
        <v>1</v>
      </c>
      <c r="P321" s="8" t="s">
        <v>35</v>
      </c>
      <c r="Q321" s="8" t="s">
        <v>36</v>
      </c>
      <c r="R321" s="8" t="s">
        <v>387</v>
      </c>
      <c r="S321" s="8" t="s">
        <v>38</v>
      </c>
      <c r="V321" s="26" t="str">
        <f>VLOOKUP(MID(Table1[[#This Row],[Nodo]],1,12),Tabla2[#Data],2,FALSE)</f>
        <v>EMBOBINADOR DE SCRAP</v>
      </c>
      <c r="W321" s="26" t="str">
        <f t="shared" si="5"/>
        <v>MEC</v>
      </c>
      <c r="X321" s="26" t="e">
        <f>VLOOKUP(MID([1]!Table1[[#This Row],[Nodo]],1,7),[1]!Tabla5[#Data],2,FALSE)</f>
        <v>#N/A</v>
      </c>
    </row>
    <row r="322" spans="1:24" x14ac:dyDescent="0.3">
      <c r="A322" s="8" t="s">
        <v>24</v>
      </c>
      <c r="B322" s="8" t="s">
        <v>279</v>
      </c>
      <c r="C322" s="8" t="s">
        <v>26</v>
      </c>
      <c r="D322" s="8" t="s">
        <v>394</v>
      </c>
      <c r="E322" s="8" t="s">
        <v>395</v>
      </c>
      <c r="F322" s="8" t="s">
        <v>396</v>
      </c>
      <c r="G322" s="8" t="s">
        <v>384</v>
      </c>
      <c r="H322" s="8" t="s">
        <v>385</v>
      </c>
      <c r="I322" s="8" t="s">
        <v>386</v>
      </c>
      <c r="J322" s="28">
        <v>45695.430972222224</v>
      </c>
      <c r="K322" s="28">
        <v>45863.464583333334</v>
      </c>
      <c r="L322" s="8" t="s">
        <v>286</v>
      </c>
      <c r="M322" s="8" t="s">
        <v>287</v>
      </c>
      <c r="N322" s="29">
        <v>0</v>
      </c>
      <c r="O322" s="29">
        <v>1</v>
      </c>
      <c r="P322" s="8" t="s">
        <v>35</v>
      </c>
      <c r="Q322" s="8" t="s">
        <v>36</v>
      </c>
      <c r="R322" s="8" t="s">
        <v>397</v>
      </c>
      <c r="S322" s="8" t="s">
        <v>38</v>
      </c>
      <c r="V322" s="26" t="str">
        <f>VLOOKUP(MID(Table1[[#This Row],[Nodo]],1,12),Tabla2[#Data],2,FALSE)</f>
        <v>EMBOBINADOR DE SCRAP</v>
      </c>
      <c r="W322" s="26" t="str">
        <f t="shared" si="5"/>
        <v>MEC</v>
      </c>
      <c r="X322" s="26" t="e">
        <f>VLOOKUP(MID([1]!Table1[[#This Row],[Nodo]],1,7),[1]!Tabla5[#Data],2,FALSE)</f>
        <v>#N/A</v>
      </c>
    </row>
    <row r="323" spans="1:24" x14ac:dyDescent="0.3">
      <c r="A323" s="8" t="s">
        <v>24</v>
      </c>
      <c r="B323" s="8" t="s">
        <v>279</v>
      </c>
      <c r="C323" s="8" t="s">
        <v>26</v>
      </c>
      <c r="D323" s="8" t="s">
        <v>394</v>
      </c>
      <c r="E323" s="8" t="s">
        <v>395</v>
      </c>
      <c r="F323" s="8" t="s">
        <v>398</v>
      </c>
      <c r="G323" s="8" t="s">
        <v>384</v>
      </c>
      <c r="H323" s="8" t="s">
        <v>385</v>
      </c>
      <c r="I323" s="8" t="s">
        <v>386</v>
      </c>
      <c r="J323" s="28">
        <v>45695.430972222224</v>
      </c>
      <c r="K323" s="28">
        <v>45863.464583333334</v>
      </c>
      <c r="L323" s="8" t="s">
        <v>286</v>
      </c>
      <c r="M323" s="8" t="s">
        <v>287</v>
      </c>
      <c r="N323" s="29">
        <v>0</v>
      </c>
      <c r="O323" s="29">
        <v>1</v>
      </c>
      <c r="P323" s="8" t="s">
        <v>35</v>
      </c>
      <c r="Q323" s="8" t="s">
        <v>36</v>
      </c>
      <c r="R323" s="8" t="s">
        <v>397</v>
      </c>
      <c r="S323" s="8" t="s">
        <v>38</v>
      </c>
      <c r="V323" s="26" t="str">
        <f>VLOOKUP(MID(Table1[[#This Row],[Nodo]],1,12),Tabla2[#Data],2,FALSE)</f>
        <v>EMBOBINADOR DE SCRAP</v>
      </c>
      <c r="W323" s="26" t="str">
        <f t="shared" ref="W323:W386" si="6">IF(MID(E323,1,3)="ELE","ELE",IF(MID(E323,1,3)="INS","ELE",IF(MID(E323,1,3)="MEC","MEC",IF(MID(E323,1,3)="LUB","MEC",IF(MID(E323,1,3)="IST","ELE"," ")))))</f>
        <v>MEC</v>
      </c>
      <c r="X323" s="26" t="e">
        <f>VLOOKUP(MID([1]!Table1[[#This Row],[Nodo]],1,7),[1]!Tabla5[#Data],2,FALSE)</f>
        <v>#N/A</v>
      </c>
    </row>
    <row r="324" spans="1:24" x14ac:dyDescent="0.3">
      <c r="A324" s="8" t="s">
        <v>24</v>
      </c>
      <c r="B324" s="8" t="s">
        <v>279</v>
      </c>
      <c r="C324" s="8" t="s">
        <v>26</v>
      </c>
      <c r="D324" s="8" t="s">
        <v>399</v>
      </c>
      <c r="E324" s="8" t="s">
        <v>400</v>
      </c>
      <c r="F324" s="8" t="s">
        <v>401</v>
      </c>
      <c r="G324" s="8" t="s">
        <v>402</v>
      </c>
      <c r="H324" s="8" t="s">
        <v>403</v>
      </c>
      <c r="I324" s="8" t="s">
        <v>404</v>
      </c>
      <c r="J324" s="28">
        <v>45695.430972222224</v>
      </c>
      <c r="K324" s="28">
        <v>45863.464583333334</v>
      </c>
      <c r="L324" s="8" t="s">
        <v>286</v>
      </c>
      <c r="M324" s="8" t="s">
        <v>287</v>
      </c>
      <c r="N324" s="29">
        <v>0</v>
      </c>
      <c r="O324" s="29">
        <v>1</v>
      </c>
      <c r="P324" s="8" t="s">
        <v>35</v>
      </c>
      <c r="Q324" s="8" t="s">
        <v>36</v>
      </c>
      <c r="R324" s="8" t="s">
        <v>405</v>
      </c>
      <c r="S324" s="8" t="s">
        <v>38</v>
      </c>
      <c r="V324" s="26" t="str">
        <f>VLOOKUP(MID(Table1[[#This Row],[Nodo]],1,12),Tabla2[#Data],2,FALSE)</f>
        <v>EMBOBINADOR DE SCRAP</v>
      </c>
      <c r="W324" s="26" t="str">
        <f t="shared" si="6"/>
        <v>MEC</v>
      </c>
      <c r="X324" s="26" t="e">
        <f>VLOOKUP(MID([1]!Table1[[#This Row],[Nodo]],1,7),[1]!Tabla5[#Data],2,FALSE)</f>
        <v>#N/A</v>
      </c>
    </row>
    <row r="325" spans="1:24" x14ac:dyDescent="0.3">
      <c r="A325" s="8" t="s">
        <v>24</v>
      </c>
      <c r="B325" s="8" t="s">
        <v>279</v>
      </c>
      <c r="C325" s="8" t="s">
        <v>26</v>
      </c>
      <c r="D325" s="8" t="s">
        <v>399</v>
      </c>
      <c r="E325" s="8" t="s">
        <v>400</v>
      </c>
      <c r="F325" s="8" t="s">
        <v>406</v>
      </c>
      <c r="G325" s="8" t="s">
        <v>402</v>
      </c>
      <c r="H325" s="8" t="s">
        <v>403</v>
      </c>
      <c r="I325" s="8" t="s">
        <v>404</v>
      </c>
      <c r="J325" s="28">
        <v>45695.430972222224</v>
      </c>
      <c r="K325" s="28">
        <v>45863.464583333334</v>
      </c>
      <c r="L325" s="8" t="s">
        <v>286</v>
      </c>
      <c r="M325" s="8" t="s">
        <v>287</v>
      </c>
      <c r="N325" s="29">
        <v>0</v>
      </c>
      <c r="O325" s="29">
        <v>1</v>
      </c>
      <c r="P325" s="8" t="s">
        <v>35</v>
      </c>
      <c r="Q325" s="8" t="s">
        <v>36</v>
      </c>
      <c r="R325" s="8" t="s">
        <v>405</v>
      </c>
      <c r="S325" s="8" t="s">
        <v>38</v>
      </c>
      <c r="V325" s="26" t="str">
        <f>VLOOKUP(MID(Table1[[#This Row],[Nodo]],1,12),Tabla2[#Data],2,FALSE)</f>
        <v>EMBOBINADOR DE SCRAP</v>
      </c>
      <c r="W325" s="26" t="str">
        <f t="shared" si="6"/>
        <v>MEC</v>
      </c>
      <c r="X325" s="26" t="e">
        <f>VLOOKUP(MID([1]!Table1[[#This Row],[Nodo]],1,7),[1]!Tabla5[#Data],2,FALSE)</f>
        <v>#N/A</v>
      </c>
    </row>
    <row r="326" spans="1:24" x14ac:dyDescent="0.3">
      <c r="A326" s="8" t="s">
        <v>24</v>
      </c>
      <c r="B326" s="8" t="s">
        <v>279</v>
      </c>
      <c r="C326" s="8" t="s">
        <v>26</v>
      </c>
      <c r="D326" s="8" t="s">
        <v>407</v>
      </c>
      <c r="E326" s="8" t="s">
        <v>408</v>
      </c>
      <c r="F326" s="8" t="s">
        <v>409</v>
      </c>
      <c r="G326" s="8" t="s">
        <v>225</v>
      </c>
      <c r="H326" s="8" t="s">
        <v>226</v>
      </c>
      <c r="I326" s="8" t="s">
        <v>227</v>
      </c>
      <c r="J326" s="28">
        <v>45695.430972222224</v>
      </c>
      <c r="K326" s="28">
        <v>45863.464583333334</v>
      </c>
      <c r="L326" s="8" t="s">
        <v>286</v>
      </c>
      <c r="M326" s="8" t="s">
        <v>287</v>
      </c>
      <c r="N326" s="29">
        <v>0</v>
      </c>
      <c r="O326" s="29">
        <v>1</v>
      </c>
      <c r="P326" s="8" t="s">
        <v>35</v>
      </c>
      <c r="Q326" s="8" t="s">
        <v>36</v>
      </c>
      <c r="R326" s="8" t="s">
        <v>410</v>
      </c>
      <c r="S326" s="8" t="s">
        <v>38</v>
      </c>
      <c r="V326" s="26" t="str">
        <f>VLOOKUP(MID(Table1[[#This Row],[Nodo]],1,12),Tabla2[#Data],2,FALSE)</f>
        <v>DESEMBOBINADOR</v>
      </c>
      <c r="W326" s="26" t="str">
        <f t="shared" si="6"/>
        <v>MEC</v>
      </c>
      <c r="X326" s="26" t="e">
        <f>VLOOKUP(MID([1]!Table1[[#This Row],[Nodo]],1,7),[1]!Tabla5[#Data],2,FALSE)</f>
        <v>#N/A</v>
      </c>
    </row>
    <row r="327" spans="1:24" x14ac:dyDescent="0.3">
      <c r="A327" s="8" t="s">
        <v>24</v>
      </c>
      <c r="B327" s="8" t="s">
        <v>279</v>
      </c>
      <c r="C327" s="8" t="s">
        <v>26</v>
      </c>
      <c r="D327" s="8" t="s">
        <v>407</v>
      </c>
      <c r="E327" s="8" t="s">
        <v>408</v>
      </c>
      <c r="F327" s="8" t="s">
        <v>411</v>
      </c>
      <c r="G327" s="8" t="s">
        <v>225</v>
      </c>
      <c r="H327" s="8" t="s">
        <v>226</v>
      </c>
      <c r="I327" s="8" t="s">
        <v>227</v>
      </c>
      <c r="J327" s="28">
        <v>45695.430972222224</v>
      </c>
      <c r="K327" s="28">
        <v>45863.464583333334</v>
      </c>
      <c r="L327" s="8" t="s">
        <v>286</v>
      </c>
      <c r="M327" s="8" t="s">
        <v>287</v>
      </c>
      <c r="N327" s="29">
        <v>0</v>
      </c>
      <c r="O327" s="29">
        <v>1</v>
      </c>
      <c r="P327" s="8" t="s">
        <v>35</v>
      </c>
      <c r="Q327" s="8" t="s">
        <v>36</v>
      </c>
      <c r="R327" s="8" t="s">
        <v>410</v>
      </c>
      <c r="S327" s="8" t="s">
        <v>38</v>
      </c>
      <c r="V327" s="26" t="str">
        <f>VLOOKUP(MID(Table1[[#This Row],[Nodo]],1,12),Tabla2[#Data],2,FALSE)</f>
        <v>DESEMBOBINADOR</v>
      </c>
      <c r="W327" s="26" t="str">
        <f t="shared" si="6"/>
        <v>MEC</v>
      </c>
      <c r="X327" s="26" t="e">
        <f>VLOOKUP(MID([1]!Table1[[#This Row],[Nodo]],1,7),[1]!Tabla5[#Data],2,FALSE)</f>
        <v>#N/A</v>
      </c>
    </row>
    <row r="328" spans="1:24" x14ac:dyDescent="0.3">
      <c r="A328" s="8" t="s">
        <v>24</v>
      </c>
      <c r="B328" s="8" t="s">
        <v>279</v>
      </c>
      <c r="C328" s="8" t="s">
        <v>26</v>
      </c>
      <c r="D328" s="8" t="s">
        <v>407</v>
      </c>
      <c r="E328" s="8" t="s">
        <v>408</v>
      </c>
      <c r="F328" s="8" t="s">
        <v>412</v>
      </c>
      <c r="G328" s="8" t="s">
        <v>225</v>
      </c>
      <c r="H328" s="8" t="s">
        <v>226</v>
      </c>
      <c r="I328" s="8" t="s">
        <v>227</v>
      </c>
      <c r="J328" s="28">
        <v>45695.430972222224</v>
      </c>
      <c r="K328" s="28">
        <v>45863.464583333334</v>
      </c>
      <c r="L328" s="8" t="s">
        <v>286</v>
      </c>
      <c r="M328" s="8" t="s">
        <v>287</v>
      </c>
      <c r="N328" s="29">
        <v>0</v>
      </c>
      <c r="O328" s="29">
        <v>1</v>
      </c>
      <c r="P328" s="8" t="s">
        <v>35</v>
      </c>
      <c r="Q328" s="8" t="s">
        <v>36</v>
      </c>
      <c r="R328" s="8" t="s">
        <v>410</v>
      </c>
      <c r="S328" s="8" t="s">
        <v>38</v>
      </c>
      <c r="V328" s="26" t="str">
        <f>VLOOKUP(MID(Table1[[#This Row],[Nodo]],1,12),Tabla2[#Data],2,FALSE)</f>
        <v>DESEMBOBINADOR</v>
      </c>
      <c r="W328" s="26" t="str">
        <f t="shared" si="6"/>
        <v>MEC</v>
      </c>
      <c r="X328" s="26" t="e">
        <f>VLOOKUP(MID([1]!Table1[[#This Row],[Nodo]],1,7),[1]!Tabla5[#Data],2,FALSE)</f>
        <v>#N/A</v>
      </c>
    </row>
    <row r="329" spans="1:24" x14ac:dyDescent="0.3">
      <c r="A329" s="8" t="s">
        <v>24</v>
      </c>
      <c r="B329" s="8" t="s">
        <v>279</v>
      </c>
      <c r="C329" s="8" t="s">
        <v>26</v>
      </c>
      <c r="D329" s="8" t="s">
        <v>407</v>
      </c>
      <c r="E329" s="8" t="s">
        <v>408</v>
      </c>
      <c r="F329" s="8" t="s">
        <v>413</v>
      </c>
      <c r="G329" s="8" t="s">
        <v>225</v>
      </c>
      <c r="H329" s="8" t="s">
        <v>226</v>
      </c>
      <c r="I329" s="8" t="s">
        <v>227</v>
      </c>
      <c r="J329" s="28">
        <v>45695.430972222224</v>
      </c>
      <c r="K329" s="28">
        <v>45863.464583333334</v>
      </c>
      <c r="L329" s="8" t="s">
        <v>286</v>
      </c>
      <c r="M329" s="8" t="s">
        <v>287</v>
      </c>
      <c r="N329" s="29">
        <v>0</v>
      </c>
      <c r="O329" s="29">
        <v>1</v>
      </c>
      <c r="P329" s="8" t="s">
        <v>35</v>
      </c>
      <c r="Q329" s="8" t="s">
        <v>36</v>
      </c>
      <c r="R329" s="8" t="s">
        <v>410</v>
      </c>
      <c r="S329" s="8" t="s">
        <v>38</v>
      </c>
      <c r="V329" s="26" t="str">
        <f>VLOOKUP(MID(Table1[[#This Row],[Nodo]],1,12),Tabla2[#Data],2,FALSE)</f>
        <v>DESEMBOBINADOR</v>
      </c>
      <c r="W329" s="26" t="str">
        <f t="shared" si="6"/>
        <v>MEC</v>
      </c>
      <c r="X329" s="26" t="e">
        <f>VLOOKUP(MID([1]!Table1[[#This Row],[Nodo]],1,7),[1]!Tabla5[#Data],2,FALSE)</f>
        <v>#N/A</v>
      </c>
    </row>
    <row r="330" spans="1:24" x14ac:dyDescent="0.3">
      <c r="A330" s="8" t="s">
        <v>24</v>
      </c>
      <c r="B330" s="8" t="s">
        <v>279</v>
      </c>
      <c r="C330" s="8" t="s">
        <v>26</v>
      </c>
      <c r="D330" s="8" t="s">
        <v>414</v>
      </c>
      <c r="E330" s="8" t="s">
        <v>415</v>
      </c>
      <c r="F330" s="8" t="s">
        <v>411</v>
      </c>
      <c r="G330" s="8" t="s">
        <v>237</v>
      </c>
      <c r="H330" s="8" t="s">
        <v>238</v>
      </c>
      <c r="I330" s="8" t="s">
        <v>239</v>
      </c>
      <c r="J330" s="28">
        <v>45695.431030092594</v>
      </c>
      <c r="K330" s="28">
        <v>45863.464583333334</v>
      </c>
      <c r="L330" s="8" t="s">
        <v>286</v>
      </c>
      <c r="M330" s="8" t="s">
        <v>287</v>
      </c>
      <c r="N330" s="29">
        <v>0</v>
      </c>
      <c r="O330" s="29">
        <v>1</v>
      </c>
      <c r="P330" s="8" t="s">
        <v>35</v>
      </c>
      <c r="Q330" s="8" t="s">
        <v>36</v>
      </c>
      <c r="R330" s="8" t="s">
        <v>416</v>
      </c>
      <c r="S330" s="8" t="s">
        <v>38</v>
      </c>
      <c r="V330" s="26" t="str">
        <f>VLOOKUP(MID(Table1[[#This Row],[Nodo]],1,12),Tabla2[#Data],2,FALSE)</f>
        <v>PRECALENTADOR</v>
      </c>
      <c r="W330" s="26" t="str">
        <f t="shared" si="6"/>
        <v>MEC</v>
      </c>
      <c r="X330" s="26" t="e">
        <f>VLOOKUP(MID([1]!Table1[[#This Row],[Nodo]],1,7),[1]!Tabla5[#Data],2,FALSE)</f>
        <v>#N/A</v>
      </c>
    </row>
    <row r="331" spans="1:24" x14ac:dyDescent="0.3">
      <c r="A331" s="8" t="s">
        <v>24</v>
      </c>
      <c r="B331" s="8" t="s">
        <v>279</v>
      </c>
      <c r="C331" s="8" t="s">
        <v>26</v>
      </c>
      <c r="D331" s="8" t="s">
        <v>414</v>
      </c>
      <c r="E331" s="8" t="s">
        <v>415</v>
      </c>
      <c r="F331" s="8" t="s">
        <v>412</v>
      </c>
      <c r="G331" s="8" t="s">
        <v>237</v>
      </c>
      <c r="H331" s="8" t="s">
        <v>238</v>
      </c>
      <c r="I331" s="8" t="s">
        <v>239</v>
      </c>
      <c r="J331" s="28">
        <v>45695.431030092594</v>
      </c>
      <c r="K331" s="28">
        <v>45863.464583333334</v>
      </c>
      <c r="L331" s="8" t="s">
        <v>286</v>
      </c>
      <c r="M331" s="8" t="s">
        <v>287</v>
      </c>
      <c r="N331" s="29">
        <v>0</v>
      </c>
      <c r="O331" s="29">
        <v>1</v>
      </c>
      <c r="P331" s="8" t="s">
        <v>35</v>
      </c>
      <c r="Q331" s="8" t="s">
        <v>36</v>
      </c>
      <c r="R331" s="8" t="s">
        <v>416</v>
      </c>
      <c r="S331" s="8" t="s">
        <v>38</v>
      </c>
      <c r="V331" s="26" t="str">
        <f>VLOOKUP(MID(Table1[[#This Row],[Nodo]],1,12),Tabla2[#Data],2,FALSE)</f>
        <v>PRECALENTADOR</v>
      </c>
      <c r="W331" s="26" t="str">
        <f t="shared" si="6"/>
        <v>MEC</v>
      </c>
      <c r="X331" s="26" t="e">
        <f>VLOOKUP(MID([1]!Table1[[#This Row],[Nodo]],1,7),[1]!Tabla5[#Data],2,FALSE)</f>
        <v>#N/A</v>
      </c>
    </row>
    <row r="332" spans="1:24" x14ac:dyDescent="0.3">
      <c r="A332" s="8" t="s">
        <v>24</v>
      </c>
      <c r="B332" s="8" t="s">
        <v>279</v>
      </c>
      <c r="C332" s="8" t="s">
        <v>26</v>
      </c>
      <c r="D332" s="8" t="s">
        <v>414</v>
      </c>
      <c r="E332" s="8" t="s">
        <v>415</v>
      </c>
      <c r="F332" s="8" t="s">
        <v>413</v>
      </c>
      <c r="G332" s="8" t="s">
        <v>237</v>
      </c>
      <c r="H332" s="8" t="s">
        <v>238</v>
      </c>
      <c r="I332" s="8" t="s">
        <v>239</v>
      </c>
      <c r="J332" s="28">
        <v>45695.431030092594</v>
      </c>
      <c r="K332" s="28">
        <v>45863.464583333334</v>
      </c>
      <c r="L332" s="8" t="s">
        <v>286</v>
      </c>
      <c r="M332" s="8" t="s">
        <v>287</v>
      </c>
      <c r="N332" s="29">
        <v>0</v>
      </c>
      <c r="O332" s="29">
        <v>1</v>
      </c>
      <c r="P332" s="8" t="s">
        <v>35</v>
      </c>
      <c r="Q332" s="8" t="s">
        <v>36</v>
      </c>
      <c r="R332" s="8" t="s">
        <v>416</v>
      </c>
      <c r="S332" s="8" t="s">
        <v>38</v>
      </c>
      <c r="V332" s="26" t="str">
        <f>VLOOKUP(MID(Table1[[#This Row],[Nodo]],1,12),Tabla2[#Data],2,FALSE)</f>
        <v>PRECALENTADOR</v>
      </c>
      <c r="W332" s="26" t="str">
        <f t="shared" si="6"/>
        <v>MEC</v>
      </c>
      <c r="X332" s="26" t="e">
        <f>VLOOKUP(MID([1]!Table1[[#This Row],[Nodo]],1,7),[1]!Tabla5[#Data],2,FALSE)</f>
        <v>#N/A</v>
      </c>
    </row>
    <row r="333" spans="1:24" x14ac:dyDescent="0.3">
      <c r="A333" s="8" t="s">
        <v>24</v>
      </c>
      <c r="B333" s="8" t="s">
        <v>279</v>
      </c>
      <c r="C333" s="8" t="s">
        <v>26</v>
      </c>
      <c r="D333" s="8" t="s">
        <v>417</v>
      </c>
      <c r="E333" s="8" t="s">
        <v>418</v>
      </c>
      <c r="F333" s="8" t="s">
        <v>419</v>
      </c>
      <c r="G333" s="8" t="s">
        <v>187</v>
      </c>
      <c r="H333" s="8" t="s">
        <v>188</v>
      </c>
      <c r="I333" s="8" t="s">
        <v>189</v>
      </c>
      <c r="J333" s="28">
        <v>45695.43105324074</v>
      </c>
      <c r="K333" s="28">
        <v>45863.464583333334</v>
      </c>
      <c r="L333" s="8" t="s">
        <v>286</v>
      </c>
      <c r="M333" s="8" t="s">
        <v>287</v>
      </c>
      <c r="N333" s="29">
        <v>0</v>
      </c>
      <c r="O333" s="29">
        <v>1</v>
      </c>
      <c r="P333" s="8" t="s">
        <v>35</v>
      </c>
      <c r="Q333" s="8" t="s">
        <v>36</v>
      </c>
      <c r="R333" s="8" t="s">
        <v>420</v>
      </c>
      <c r="S333" s="8" t="s">
        <v>38</v>
      </c>
      <c r="V333" s="26" t="str">
        <f>VLOOKUP(MID(Table1[[#This Row],[Nodo]],1,12),Tabla2[#Data],2,FALSE)</f>
        <v>HORNO</v>
      </c>
      <c r="W333" s="26" t="str">
        <f t="shared" si="6"/>
        <v>MEC</v>
      </c>
      <c r="X333" s="26" t="e">
        <f>VLOOKUP(MID([1]!Table1[[#This Row],[Nodo]],1,7),[1]!Tabla5[#Data],2,FALSE)</f>
        <v>#N/A</v>
      </c>
    </row>
    <row r="334" spans="1:24" x14ac:dyDescent="0.3">
      <c r="A334" s="8" t="s">
        <v>24</v>
      </c>
      <c r="B334" s="8" t="s">
        <v>279</v>
      </c>
      <c r="C334" s="8" t="s">
        <v>26</v>
      </c>
      <c r="D334" s="8" t="s">
        <v>417</v>
      </c>
      <c r="E334" s="8" t="s">
        <v>418</v>
      </c>
      <c r="F334" s="8" t="s">
        <v>421</v>
      </c>
      <c r="G334" s="8" t="s">
        <v>187</v>
      </c>
      <c r="H334" s="8" t="s">
        <v>188</v>
      </c>
      <c r="I334" s="8" t="s">
        <v>189</v>
      </c>
      <c r="J334" s="28">
        <v>45695.43105324074</v>
      </c>
      <c r="K334" s="28">
        <v>45863.464583333334</v>
      </c>
      <c r="L334" s="8" t="s">
        <v>286</v>
      </c>
      <c r="M334" s="8" t="s">
        <v>287</v>
      </c>
      <c r="N334" s="29">
        <v>0</v>
      </c>
      <c r="O334" s="29">
        <v>1</v>
      </c>
      <c r="P334" s="8" t="s">
        <v>35</v>
      </c>
      <c r="Q334" s="8" t="s">
        <v>36</v>
      </c>
      <c r="R334" s="8" t="s">
        <v>420</v>
      </c>
      <c r="S334" s="8" t="s">
        <v>38</v>
      </c>
      <c r="V334" s="26" t="str">
        <f>VLOOKUP(MID(Table1[[#This Row],[Nodo]],1,12),Tabla2[#Data],2,FALSE)</f>
        <v>HORNO</v>
      </c>
      <c r="W334" s="26" t="str">
        <f t="shared" si="6"/>
        <v>MEC</v>
      </c>
      <c r="X334" s="26" t="e">
        <f>VLOOKUP(MID([1]!Table1[[#This Row],[Nodo]],1,7),[1]!Tabla5[#Data],2,FALSE)</f>
        <v>#N/A</v>
      </c>
    </row>
    <row r="335" spans="1:24" x14ac:dyDescent="0.3">
      <c r="A335" s="8" t="s">
        <v>24</v>
      </c>
      <c r="B335" s="8" t="s">
        <v>279</v>
      </c>
      <c r="C335" s="8" t="s">
        <v>26</v>
      </c>
      <c r="D335" s="8" t="s">
        <v>422</v>
      </c>
      <c r="E335" s="8" t="s">
        <v>423</v>
      </c>
      <c r="F335" s="8" t="s">
        <v>424</v>
      </c>
      <c r="G335" s="8" t="s">
        <v>248</v>
      </c>
      <c r="H335" s="8" t="s">
        <v>249</v>
      </c>
      <c r="I335" s="8" t="s">
        <v>250</v>
      </c>
      <c r="J335" s="28">
        <v>45695.431006944447</v>
      </c>
      <c r="K335" s="28">
        <v>45863.464583333334</v>
      </c>
      <c r="L335" s="8" t="s">
        <v>286</v>
      </c>
      <c r="M335" s="8" t="s">
        <v>287</v>
      </c>
      <c r="N335" s="29">
        <v>0</v>
      </c>
      <c r="O335" s="29">
        <v>1</v>
      </c>
      <c r="P335" s="8" t="s">
        <v>35</v>
      </c>
      <c r="Q335" s="8" t="s">
        <v>36</v>
      </c>
      <c r="R335" s="8" t="s">
        <v>425</v>
      </c>
      <c r="S335" s="8" t="s">
        <v>38</v>
      </c>
      <c r="V335" s="26" t="str">
        <f>VLOOKUP(MID(Table1[[#This Row],[Nodo]],1,12),Tabla2[#Data],2,FALSE)</f>
        <v>ESTACION DE FORMADO</v>
      </c>
      <c r="W335" s="26" t="str">
        <f t="shared" si="6"/>
        <v>MEC</v>
      </c>
      <c r="X335" s="26" t="e">
        <f>VLOOKUP(MID([1]!Table1[[#This Row],[Nodo]],1,7),[1]!Tabla5[#Data],2,FALSE)</f>
        <v>#N/A</v>
      </c>
    </row>
    <row r="336" spans="1:24" x14ac:dyDescent="0.3">
      <c r="A336" s="8" t="s">
        <v>24</v>
      </c>
      <c r="B336" s="8" t="s">
        <v>279</v>
      </c>
      <c r="C336" s="8" t="s">
        <v>26</v>
      </c>
      <c r="D336" s="8" t="s">
        <v>422</v>
      </c>
      <c r="E336" s="8" t="s">
        <v>423</v>
      </c>
      <c r="F336" s="8" t="s">
        <v>426</v>
      </c>
      <c r="G336" s="8" t="s">
        <v>248</v>
      </c>
      <c r="H336" s="8" t="s">
        <v>249</v>
      </c>
      <c r="I336" s="8" t="s">
        <v>250</v>
      </c>
      <c r="J336" s="28">
        <v>45695.431006944447</v>
      </c>
      <c r="K336" s="28">
        <v>45863.464583333334</v>
      </c>
      <c r="L336" s="8" t="s">
        <v>286</v>
      </c>
      <c r="M336" s="8" t="s">
        <v>287</v>
      </c>
      <c r="N336" s="29">
        <v>0</v>
      </c>
      <c r="O336" s="29">
        <v>1</v>
      </c>
      <c r="P336" s="8" t="s">
        <v>35</v>
      </c>
      <c r="Q336" s="8" t="s">
        <v>36</v>
      </c>
      <c r="R336" s="8" t="s">
        <v>425</v>
      </c>
      <c r="S336" s="8" t="s">
        <v>38</v>
      </c>
      <c r="V336" s="26" t="str">
        <f>VLOOKUP(MID(Table1[[#This Row],[Nodo]],1,12),Tabla2[#Data],2,FALSE)</f>
        <v>ESTACION DE FORMADO</v>
      </c>
      <c r="W336" s="26" t="str">
        <f t="shared" si="6"/>
        <v>MEC</v>
      </c>
      <c r="X336" s="26" t="e">
        <f>VLOOKUP(MID([1]!Table1[[#This Row],[Nodo]],1,7),[1]!Tabla5[#Data],2,FALSE)</f>
        <v>#N/A</v>
      </c>
    </row>
    <row r="337" spans="1:24" x14ac:dyDescent="0.3">
      <c r="A337" s="8" t="s">
        <v>24</v>
      </c>
      <c r="B337" s="8" t="s">
        <v>279</v>
      </c>
      <c r="C337" s="8" t="s">
        <v>26</v>
      </c>
      <c r="D337" s="8" t="s">
        <v>422</v>
      </c>
      <c r="E337" s="8" t="s">
        <v>423</v>
      </c>
      <c r="F337" s="8" t="s">
        <v>351</v>
      </c>
      <c r="G337" s="8" t="s">
        <v>248</v>
      </c>
      <c r="H337" s="8" t="s">
        <v>249</v>
      </c>
      <c r="I337" s="8" t="s">
        <v>250</v>
      </c>
      <c r="J337" s="28">
        <v>45695.431006944447</v>
      </c>
      <c r="K337" s="28">
        <v>45863.464583333334</v>
      </c>
      <c r="L337" s="8" t="s">
        <v>286</v>
      </c>
      <c r="M337" s="8" t="s">
        <v>287</v>
      </c>
      <c r="N337" s="29">
        <v>0</v>
      </c>
      <c r="O337" s="29">
        <v>1</v>
      </c>
      <c r="P337" s="8" t="s">
        <v>35</v>
      </c>
      <c r="Q337" s="8" t="s">
        <v>36</v>
      </c>
      <c r="R337" s="8" t="s">
        <v>425</v>
      </c>
      <c r="S337" s="8" t="s">
        <v>38</v>
      </c>
      <c r="V337" s="26" t="str">
        <f>VLOOKUP(MID(Table1[[#This Row],[Nodo]],1,12),Tabla2[#Data],2,FALSE)</f>
        <v>ESTACION DE FORMADO</v>
      </c>
      <c r="W337" s="26" t="str">
        <f t="shared" si="6"/>
        <v>MEC</v>
      </c>
      <c r="X337" s="26" t="e">
        <f>VLOOKUP(MID([1]!Table1[[#This Row],[Nodo]],1,7),[1]!Tabla5[#Data],2,FALSE)</f>
        <v>#N/A</v>
      </c>
    </row>
    <row r="338" spans="1:24" x14ac:dyDescent="0.3">
      <c r="A338" s="8" t="s">
        <v>24</v>
      </c>
      <c r="B338" s="8" t="s">
        <v>279</v>
      </c>
      <c r="C338" s="8" t="s">
        <v>26</v>
      </c>
      <c r="D338" s="8" t="s">
        <v>422</v>
      </c>
      <c r="E338" s="8" t="s">
        <v>423</v>
      </c>
      <c r="F338" s="8" t="s">
        <v>427</v>
      </c>
      <c r="G338" s="8" t="s">
        <v>248</v>
      </c>
      <c r="H338" s="8" t="s">
        <v>249</v>
      </c>
      <c r="I338" s="8" t="s">
        <v>250</v>
      </c>
      <c r="J338" s="28">
        <v>45695.431006944447</v>
      </c>
      <c r="K338" s="28">
        <v>45863.464583333334</v>
      </c>
      <c r="L338" s="8" t="s">
        <v>286</v>
      </c>
      <c r="M338" s="8" t="s">
        <v>287</v>
      </c>
      <c r="N338" s="29">
        <v>0</v>
      </c>
      <c r="O338" s="29">
        <v>1</v>
      </c>
      <c r="P338" s="8" t="s">
        <v>35</v>
      </c>
      <c r="Q338" s="8" t="s">
        <v>36</v>
      </c>
      <c r="R338" s="8" t="s">
        <v>425</v>
      </c>
      <c r="S338" s="8" t="s">
        <v>38</v>
      </c>
      <c r="V338" s="26" t="str">
        <f>VLOOKUP(MID(Table1[[#This Row],[Nodo]],1,12),Tabla2[#Data],2,FALSE)</f>
        <v>ESTACION DE FORMADO</v>
      </c>
      <c r="W338" s="26" t="str">
        <f t="shared" si="6"/>
        <v>MEC</v>
      </c>
      <c r="X338" s="26" t="e">
        <f>VLOOKUP(MID([1]!Table1[[#This Row],[Nodo]],1,7),[1]!Tabla5[#Data],2,FALSE)</f>
        <v>#N/A</v>
      </c>
    </row>
    <row r="339" spans="1:24" x14ac:dyDescent="0.3">
      <c r="A339" s="8" t="s">
        <v>24</v>
      </c>
      <c r="B339" s="8" t="s">
        <v>279</v>
      </c>
      <c r="C339" s="8" t="s">
        <v>26</v>
      </c>
      <c r="D339" s="8" t="s">
        <v>422</v>
      </c>
      <c r="E339" s="8" t="s">
        <v>423</v>
      </c>
      <c r="F339" s="8" t="s">
        <v>221</v>
      </c>
      <c r="G339" s="8" t="s">
        <v>248</v>
      </c>
      <c r="H339" s="8" t="s">
        <v>249</v>
      </c>
      <c r="I339" s="8" t="s">
        <v>250</v>
      </c>
      <c r="J339" s="28">
        <v>45695.431006944447</v>
      </c>
      <c r="K339" s="28">
        <v>45863.464583333334</v>
      </c>
      <c r="L339" s="8" t="s">
        <v>286</v>
      </c>
      <c r="M339" s="8" t="s">
        <v>287</v>
      </c>
      <c r="N339" s="29">
        <v>0</v>
      </c>
      <c r="O339" s="29">
        <v>1</v>
      </c>
      <c r="P339" s="8" t="s">
        <v>35</v>
      </c>
      <c r="Q339" s="8" t="s">
        <v>36</v>
      </c>
      <c r="R339" s="8" t="s">
        <v>425</v>
      </c>
      <c r="S339" s="8" t="s">
        <v>38</v>
      </c>
      <c r="V339" s="26" t="str">
        <f>VLOOKUP(MID(Table1[[#This Row],[Nodo]],1,12),Tabla2[#Data],2,FALSE)</f>
        <v>ESTACION DE FORMADO</v>
      </c>
      <c r="W339" s="26" t="str">
        <f t="shared" si="6"/>
        <v>MEC</v>
      </c>
      <c r="X339" s="26" t="e">
        <f>VLOOKUP(MID([1]!Table1[[#This Row],[Nodo]],1,7),[1]!Tabla5[#Data],2,FALSE)</f>
        <v>#N/A</v>
      </c>
    </row>
    <row r="340" spans="1:24" x14ac:dyDescent="0.3">
      <c r="A340" s="8" t="s">
        <v>24</v>
      </c>
      <c r="B340" s="8" t="s">
        <v>279</v>
      </c>
      <c r="C340" s="8" t="s">
        <v>26</v>
      </c>
      <c r="D340" s="8" t="s">
        <v>422</v>
      </c>
      <c r="E340" s="8" t="s">
        <v>423</v>
      </c>
      <c r="F340" s="8" t="s">
        <v>428</v>
      </c>
      <c r="G340" s="8" t="s">
        <v>248</v>
      </c>
      <c r="H340" s="8" t="s">
        <v>249</v>
      </c>
      <c r="I340" s="8" t="s">
        <v>250</v>
      </c>
      <c r="J340" s="28">
        <v>45695.431006944447</v>
      </c>
      <c r="K340" s="28">
        <v>45863.464583333334</v>
      </c>
      <c r="L340" s="8" t="s">
        <v>286</v>
      </c>
      <c r="M340" s="8" t="s">
        <v>287</v>
      </c>
      <c r="N340" s="29">
        <v>0</v>
      </c>
      <c r="O340" s="29">
        <v>1</v>
      </c>
      <c r="P340" s="8" t="s">
        <v>35</v>
      </c>
      <c r="Q340" s="8" t="s">
        <v>36</v>
      </c>
      <c r="R340" s="8" t="s">
        <v>425</v>
      </c>
      <c r="S340" s="8" t="s">
        <v>38</v>
      </c>
      <c r="V340" s="26" t="str">
        <f>VLOOKUP(MID(Table1[[#This Row],[Nodo]],1,12),Tabla2[#Data],2,FALSE)</f>
        <v>ESTACION DE FORMADO</v>
      </c>
      <c r="W340" s="26" t="str">
        <f t="shared" si="6"/>
        <v>MEC</v>
      </c>
      <c r="X340" s="26" t="e">
        <f>VLOOKUP(MID([1]!Table1[[#This Row],[Nodo]],1,7),[1]!Tabla5[#Data],2,FALSE)</f>
        <v>#N/A</v>
      </c>
    </row>
    <row r="341" spans="1:24" x14ac:dyDescent="0.3">
      <c r="A341" s="8" t="s">
        <v>24</v>
      </c>
      <c r="B341" s="8" t="s">
        <v>279</v>
      </c>
      <c r="C341" s="8" t="s">
        <v>26</v>
      </c>
      <c r="D341" s="8" t="s">
        <v>429</v>
      </c>
      <c r="E341" s="8" t="s">
        <v>430</v>
      </c>
      <c r="F341" s="8" t="s">
        <v>431</v>
      </c>
      <c r="G341" s="8" t="s">
        <v>262</v>
      </c>
      <c r="H341" s="8" t="s">
        <v>263</v>
      </c>
      <c r="I341" s="8" t="s">
        <v>264</v>
      </c>
      <c r="J341" s="28">
        <v>45695.430937500001</v>
      </c>
      <c r="K341" s="28">
        <v>45863.464583333334</v>
      </c>
      <c r="L341" s="8" t="s">
        <v>286</v>
      </c>
      <c r="M341" s="8" t="s">
        <v>287</v>
      </c>
      <c r="N341" s="29">
        <v>0</v>
      </c>
      <c r="O341" s="29">
        <v>1</v>
      </c>
      <c r="P341" s="8" t="s">
        <v>35</v>
      </c>
      <c r="Q341" s="8" t="s">
        <v>36</v>
      </c>
      <c r="R341" s="8" t="s">
        <v>432</v>
      </c>
      <c r="S341" s="8" t="s">
        <v>38</v>
      </c>
      <c r="V341" s="26" t="str">
        <f>VLOOKUP(MID(Table1[[#This Row],[Nodo]],1,12),Tabla2[#Data],2,FALSE)</f>
        <v>APILADOR APILADOR SISTEMA DE A</v>
      </c>
      <c r="W341" s="26" t="str">
        <f t="shared" si="6"/>
        <v>MEC</v>
      </c>
      <c r="X341" s="26" t="e">
        <f>VLOOKUP(MID([1]!Table1[[#This Row],[Nodo]],1,7),[1]!Tabla5[#Data],2,FALSE)</f>
        <v>#N/A</v>
      </c>
    </row>
    <row r="342" spans="1:24" x14ac:dyDescent="0.3">
      <c r="A342" s="8" t="s">
        <v>24</v>
      </c>
      <c r="B342" s="8" t="s">
        <v>279</v>
      </c>
      <c r="C342" s="8" t="s">
        <v>26</v>
      </c>
      <c r="D342" s="8" t="s">
        <v>429</v>
      </c>
      <c r="E342" s="8" t="s">
        <v>430</v>
      </c>
      <c r="F342" s="8" t="s">
        <v>426</v>
      </c>
      <c r="G342" s="8" t="s">
        <v>262</v>
      </c>
      <c r="H342" s="8" t="s">
        <v>263</v>
      </c>
      <c r="I342" s="8" t="s">
        <v>264</v>
      </c>
      <c r="J342" s="28">
        <v>45695.430937500001</v>
      </c>
      <c r="K342" s="28">
        <v>45863.464583333334</v>
      </c>
      <c r="L342" s="8" t="s">
        <v>286</v>
      </c>
      <c r="M342" s="8" t="s">
        <v>287</v>
      </c>
      <c r="N342" s="29">
        <v>0</v>
      </c>
      <c r="O342" s="29">
        <v>1</v>
      </c>
      <c r="P342" s="8" t="s">
        <v>35</v>
      </c>
      <c r="Q342" s="8" t="s">
        <v>36</v>
      </c>
      <c r="R342" s="8" t="s">
        <v>432</v>
      </c>
      <c r="S342" s="8" t="s">
        <v>38</v>
      </c>
      <c r="V342" s="26" t="str">
        <f>VLOOKUP(MID(Table1[[#This Row],[Nodo]],1,12),Tabla2[#Data],2,FALSE)</f>
        <v>APILADOR APILADOR SISTEMA DE A</v>
      </c>
      <c r="W342" s="26" t="str">
        <f t="shared" si="6"/>
        <v>MEC</v>
      </c>
      <c r="X342" s="26" t="e">
        <f>VLOOKUP(MID([1]!Table1[[#This Row],[Nodo]],1,7),[1]!Tabla5[#Data],2,FALSE)</f>
        <v>#N/A</v>
      </c>
    </row>
    <row r="343" spans="1:24" x14ac:dyDescent="0.3">
      <c r="A343" s="8" t="s">
        <v>24</v>
      </c>
      <c r="B343" s="8" t="s">
        <v>279</v>
      </c>
      <c r="C343" s="8" t="s">
        <v>26</v>
      </c>
      <c r="D343" s="8" t="s">
        <v>429</v>
      </c>
      <c r="E343" s="8" t="s">
        <v>430</v>
      </c>
      <c r="F343" s="8" t="s">
        <v>427</v>
      </c>
      <c r="G343" s="8" t="s">
        <v>262</v>
      </c>
      <c r="H343" s="8" t="s">
        <v>263</v>
      </c>
      <c r="I343" s="8" t="s">
        <v>264</v>
      </c>
      <c r="J343" s="28">
        <v>45695.430937500001</v>
      </c>
      <c r="K343" s="28">
        <v>45863.464583333334</v>
      </c>
      <c r="L343" s="8" t="s">
        <v>286</v>
      </c>
      <c r="M343" s="8" t="s">
        <v>287</v>
      </c>
      <c r="N343" s="29">
        <v>0</v>
      </c>
      <c r="O343" s="29">
        <v>1</v>
      </c>
      <c r="P343" s="8" t="s">
        <v>35</v>
      </c>
      <c r="Q343" s="8" t="s">
        <v>36</v>
      </c>
      <c r="R343" s="8" t="s">
        <v>432</v>
      </c>
      <c r="S343" s="8" t="s">
        <v>38</v>
      </c>
      <c r="V343" s="26" t="str">
        <f>VLOOKUP(MID(Table1[[#This Row],[Nodo]],1,12),Tabla2[#Data],2,FALSE)</f>
        <v>APILADOR APILADOR SISTEMA DE A</v>
      </c>
      <c r="W343" s="26" t="str">
        <f t="shared" si="6"/>
        <v>MEC</v>
      </c>
      <c r="X343" s="26" t="e">
        <f>VLOOKUP(MID([1]!Table1[[#This Row],[Nodo]],1,7),[1]!Tabla5[#Data],2,FALSE)</f>
        <v>#N/A</v>
      </c>
    </row>
    <row r="344" spans="1:24" x14ac:dyDescent="0.3">
      <c r="A344" s="8" t="s">
        <v>24</v>
      </c>
      <c r="B344" s="8" t="s">
        <v>279</v>
      </c>
      <c r="C344" s="8" t="s">
        <v>26</v>
      </c>
      <c r="D344" s="8" t="s">
        <v>429</v>
      </c>
      <c r="E344" s="8" t="s">
        <v>430</v>
      </c>
      <c r="F344" s="8" t="s">
        <v>221</v>
      </c>
      <c r="G344" s="8" t="s">
        <v>262</v>
      </c>
      <c r="H344" s="8" t="s">
        <v>263</v>
      </c>
      <c r="I344" s="8" t="s">
        <v>264</v>
      </c>
      <c r="J344" s="28">
        <v>45695.430937500001</v>
      </c>
      <c r="K344" s="28">
        <v>45863.464583333334</v>
      </c>
      <c r="L344" s="8" t="s">
        <v>286</v>
      </c>
      <c r="M344" s="8" t="s">
        <v>287</v>
      </c>
      <c r="N344" s="29">
        <v>0</v>
      </c>
      <c r="O344" s="29">
        <v>1</v>
      </c>
      <c r="P344" s="8" t="s">
        <v>35</v>
      </c>
      <c r="Q344" s="8" t="s">
        <v>36</v>
      </c>
      <c r="R344" s="8" t="s">
        <v>432</v>
      </c>
      <c r="S344" s="8" t="s">
        <v>38</v>
      </c>
      <c r="V344" s="26" t="str">
        <f>VLOOKUP(MID(Table1[[#This Row],[Nodo]],1,12),Tabla2[#Data],2,FALSE)</f>
        <v>APILADOR APILADOR SISTEMA DE A</v>
      </c>
      <c r="W344" s="26" t="str">
        <f t="shared" si="6"/>
        <v>MEC</v>
      </c>
      <c r="X344" s="26" t="e">
        <f>VLOOKUP(MID([1]!Table1[[#This Row],[Nodo]],1,7),[1]!Tabla5[#Data],2,FALSE)</f>
        <v>#N/A</v>
      </c>
    </row>
    <row r="345" spans="1:24" x14ac:dyDescent="0.3">
      <c r="A345" s="8" t="s">
        <v>24</v>
      </c>
      <c r="B345" s="8" t="s">
        <v>279</v>
      </c>
      <c r="C345" s="8" t="s">
        <v>26</v>
      </c>
      <c r="D345" s="8" t="s">
        <v>433</v>
      </c>
      <c r="E345" s="8" t="s">
        <v>434</v>
      </c>
      <c r="F345" s="8" t="s">
        <v>435</v>
      </c>
      <c r="G345" s="8" t="s">
        <v>436</v>
      </c>
      <c r="H345" s="8" t="s">
        <v>437</v>
      </c>
      <c r="I345" s="8" t="s">
        <v>438</v>
      </c>
      <c r="J345" s="28">
        <v>45695.431064814817</v>
      </c>
      <c r="K345" s="28">
        <v>45863.464583333334</v>
      </c>
      <c r="L345" s="8" t="s">
        <v>286</v>
      </c>
      <c r="M345" s="8" t="s">
        <v>287</v>
      </c>
      <c r="N345" s="29">
        <v>0</v>
      </c>
      <c r="O345" s="29">
        <v>1</v>
      </c>
      <c r="P345" s="8" t="s">
        <v>35</v>
      </c>
      <c r="Q345" s="8" t="s">
        <v>36</v>
      </c>
      <c r="R345" s="8" t="s">
        <v>439</v>
      </c>
      <c r="S345" s="8" t="s">
        <v>38</v>
      </c>
      <c r="V345" s="26" t="str">
        <f>VLOOKUP(MID(Table1[[#This Row],[Nodo]],1,12),Tabla2[#Data],2,FALSE)</f>
        <v>SISTEMA NEUMATICO</v>
      </c>
      <c r="W345" s="26" t="str">
        <f t="shared" si="6"/>
        <v>MEC</v>
      </c>
      <c r="X345" s="26" t="e">
        <f>VLOOKUP(MID([1]!Table1[[#This Row],[Nodo]],1,7),[1]!Tabla5[#Data],2,FALSE)</f>
        <v>#N/A</v>
      </c>
    </row>
    <row r="346" spans="1:24" x14ac:dyDescent="0.3">
      <c r="A346" s="8" t="s">
        <v>24</v>
      </c>
      <c r="B346" s="8" t="s">
        <v>279</v>
      </c>
      <c r="C346" s="8" t="s">
        <v>26</v>
      </c>
      <c r="D346" s="8" t="s">
        <v>433</v>
      </c>
      <c r="E346" s="8" t="s">
        <v>434</v>
      </c>
      <c r="F346" s="8" t="s">
        <v>431</v>
      </c>
      <c r="G346" s="8" t="s">
        <v>436</v>
      </c>
      <c r="H346" s="8" t="s">
        <v>437</v>
      </c>
      <c r="I346" s="8" t="s">
        <v>438</v>
      </c>
      <c r="J346" s="28">
        <v>45695.431064814817</v>
      </c>
      <c r="K346" s="28">
        <v>45863.464583333334</v>
      </c>
      <c r="L346" s="8" t="s">
        <v>286</v>
      </c>
      <c r="M346" s="8" t="s">
        <v>287</v>
      </c>
      <c r="N346" s="29">
        <v>0</v>
      </c>
      <c r="O346" s="29">
        <v>1</v>
      </c>
      <c r="P346" s="8" t="s">
        <v>35</v>
      </c>
      <c r="Q346" s="8" t="s">
        <v>36</v>
      </c>
      <c r="R346" s="8" t="s">
        <v>439</v>
      </c>
      <c r="S346" s="8" t="s">
        <v>38</v>
      </c>
      <c r="V346" s="26" t="str">
        <f>VLOOKUP(MID(Table1[[#This Row],[Nodo]],1,12),Tabla2[#Data],2,FALSE)</f>
        <v>SISTEMA NEUMATICO</v>
      </c>
      <c r="W346" s="26" t="str">
        <f t="shared" si="6"/>
        <v>MEC</v>
      </c>
      <c r="X346" s="26" t="e">
        <f>VLOOKUP(MID([1]!Table1[[#This Row],[Nodo]],1,7),[1]!Tabla5[#Data],2,FALSE)</f>
        <v>#N/A</v>
      </c>
    </row>
    <row r="347" spans="1:24" x14ac:dyDescent="0.3">
      <c r="A347" s="8" t="s">
        <v>24</v>
      </c>
      <c r="B347" s="8" t="s">
        <v>279</v>
      </c>
      <c r="C347" s="8" t="s">
        <v>26</v>
      </c>
      <c r="D347" s="8" t="s">
        <v>433</v>
      </c>
      <c r="E347" s="8" t="s">
        <v>434</v>
      </c>
      <c r="F347" s="8" t="s">
        <v>426</v>
      </c>
      <c r="G347" s="8" t="s">
        <v>436</v>
      </c>
      <c r="H347" s="8" t="s">
        <v>437</v>
      </c>
      <c r="I347" s="8" t="s">
        <v>438</v>
      </c>
      <c r="J347" s="28">
        <v>45695.431064814817</v>
      </c>
      <c r="K347" s="28">
        <v>45863.464583333334</v>
      </c>
      <c r="L347" s="8" t="s">
        <v>286</v>
      </c>
      <c r="M347" s="8" t="s">
        <v>287</v>
      </c>
      <c r="N347" s="29">
        <v>0</v>
      </c>
      <c r="O347" s="29">
        <v>1</v>
      </c>
      <c r="P347" s="8" t="s">
        <v>35</v>
      </c>
      <c r="Q347" s="8" t="s">
        <v>36</v>
      </c>
      <c r="R347" s="8" t="s">
        <v>439</v>
      </c>
      <c r="S347" s="8" t="s">
        <v>38</v>
      </c>
      <c r="V347" s="26" t="str">
        <f>VLOOKUP(MID(Table1[[#This Row],[Nodo]],1,12),Tabla2[#Data],2,FALSE)</f>
        <v>SISTEMA NEUMATICO</v>
      </c>
      <c r="W347" s="26" t="str">
        <f t="shared" si="6"/>
        <v>MEC</v>
      </c>
      <c r="X347" s="26" t="e">
        <f>VLOOKUP(MID([1]!Table1[[#This Row],[Nodo]],1,7),[1]!Tabla5[#Data],2,FALSE)</f>
        <v>#N/A</v>
      </c>
    </row>
    <row r="348" spans="1:24" x14ac:dyDescent="0.3">
      <c r="A348" s="8" t="s">
        <v>24</v>
      </c>
      <c r="B348" s="8" t="s">
        <v>279</v>
      </c>
      <c r="C348" s="8" t="s">
        <v>26</v>
      </c>
      <c r="D348" s="8" t="s">
        <v>433</v>
      </c>
      <c r="E348" s="8" t="s">
        <v>434</v>
      </c>
      <c r="F348" s="8" t="s">
        <v>440</v>
      </c>
      <c r="G348" s="8" t="s">
        <v>436</v>
      </c>
      <c r="H348" s="8" t="s">
        <v>437</v>
      </c>
      <c r="I348" s="8" t="s">
        <v>438</v>
      </c>
      <c r="J348" s="28">
        <v>45695.431064814817</v>
      </c>
      <c r="K348" s="28">
        <v>45863.464583333334</v>
      </c>
      <c r="L348" s="8" t="s">
        <v>286</v>
      </c>
      <c r="M348" s="8" t="s">
        <v>287</v>
      </c>
      <c r="N348" s="29">
        <v>0</v>
      </c>
      <c r="O348" s="29">
        <v>1</v>
      </c>
      <c r="P348" s="8" t="s">
        <v>35</v>
      </c>
      <c r="Q348" s="8" t="s">
        <v>36</v>
      </c>
      <c r="R348" s="8" t="s">
        <v>439</v>
      </c>
      <c r="S348" s="8" t="s">
        <v>38</v>
      </c>
      <c r="V348" s="26" t="str">
        <f>VLOOKUP(MID(Table1[[#This Row],[Nodo]],1,12),Tabla2[#Data],2,FALSE)</f>
        <v>SISTEMA NEUMATICO</v>
      </c>
      <c r="W348" s="26" t="str">
        <f t="shared" si="6"/>
        <v>MEC</v>
      </c>
      <c r="X348" s="26" t="e">
        <f>VLOOKUP(MID([1]!Table1[[#This Row],[Nodo]],1,7),[1]!Tabla5[#Data],2,FALSE)</f>
        <v>#N/A</v>
      </c>
    </row>
    <row r="349" spans="1:24" x14ac:dyDescent="0.3">
      <c r="A349" s="8" t="s">
        <v>24</v>
      </c>
      <c r="B349" s="8" t="s">
        <v>279</v>
      </c>
      <c r="C349" s="8" t="s">
        <v>26</v>
      </c>
      <c r="D349" s="8" t="s">
        <v>433</v>
      </c>
      <c r="E349" s="8" t="s">
        <v>434</v>
      </c>
      <c r="F349" s="8" t="s">
        <v>427</v>
      </c>
      <c r="G349" s="8" t="s">
        <v>436</v>
      </c>
      <c r="H349" s="8" t="s">
        <v>437</v>
      </c>
      <c r="I349" s="8" t="s">
        <v>438</v>
      </c>
      <c r="J349" s="28">
        <v>45695.431064814817</v>
      </c>
      <c r="K349" s="28">
        <v>45863.464583333334</v>
      </c>
      <c r="L349" s="8" t="s">
        <v>286</v>
      </c>
      <c r="M349" s="8" t="s">
        <v>287</v>
      </c>
      <c r="N349" s="29">
        <v>0</v>
      </c>
      <c r="O349" s="29">
        <v>1</v>
      </c>
      <c r="P349" s="8" t="s">
        <v>35</v>
      </c>
      <c r="Q349" s="8" t="s">
        <v>36</v>
      </c>
      <c r="R349" s="8" t="s">
        <v>439</v>
      </c>
      <c r="S349" s="8" t="s">
        <v>38</v>
      </c>
      <c r="V349" s="26" t="str">
        <f>VLOOKUP(MID(Table1[[#This Row],[Nodo]],1,12),Tabla2[#Data],2,FALSE)</f>
        <v>SISTEMA NEUMATICO</v>
      </c>
      <c r="W349" s="26" t="str">
        <f t="shared" si="6"/>
        <v>MEC</v>
      </c>
      <c r="X349" s="26" t="e">
        <f>VLOOKUP(MID([1]!Table1[[#This Row],[Nodo]],1,7),[1]!Tabla5[#Data],2,FALSE)</f>
        <v>#N/A</v>
      </c>
    </row>
    <row r="350" spans="1:24" x14ac:dyDescent="0.3">
      <c r="A350" s="8" t="s">
        <v>24</v>
      </c>
      <c r="B350" s="8" t="s">
        <v>279</v>
      </c>
      <c r="C350" s="8" t="s">
        <v>26</v>
      </c>
      <c r="D350" s="8" t="s">
        <v>433</v>
      </c>
      <c r="E350" s="8" t="s">
        <v>434</v>
      </c>
      <c r="F350" s="8" t="s">
        <v>221</v>
      </c>
      <c r="G350" s="8" t="s">
        <v>436</v>
      </c>
      <c r="H350" s="8" t="s">
        <v>437</v>
      </c>
      <c r="I350" s="8" t="s">
        <v>438</v>
      </c>
      <c r="J350" s="28">
        <v>45695.431064814817</v>
      </c>
      <c r="K350" s="28">
        <v>45863.464583333334</v>
      </c>
      <c r="L350" s="8" t="s">
        <v>286</v>
      </c>
      <c r="M350" s="8" t="s">
        <v>287</v>
      </c>
      <c r="N350" s="29">
        <v>0</v>
      </c>
      <c r="O350" s="29">
        <v>1</v>
      </c>
      <c r="P350" s="8" t="s">
        <v>35</v>
      </c>
      <c r="Q350" s="8" t="s">
        <v>36</v>
      </c>
      <c r="R350" s="8" t="s">
        <v>439</v>
      </c>
      <c r="S350" s="8" t="s">
        <v>38</v>
      </c>
      <c r="V350" s="26" t="str">
        <f>VLOOKUP(MID(Table1[[#This Row],[Nodo]],1,12),Tabla2[#Data],2,FALSE)</f>
        <v>SISTEMA NEUMATICO</v>
      </c>
      <c r="W350" s="26" t="str">
        <f t="shared" si="6"/>
        <v>MEC</v>
      </c>
      <c r="X350" s="26" t="e">
        <f>VLOOKUP(MID([1]!Table1[[#This Row],[Nodo]],1,7),[1]!Tabla5[#Data],2,FALSE)</f>
        <v>#N/A</v>
      </c>
    </row>
    <row r="351" spans="1:24" x14ac:dyDescent="0.3">
      <c r="A351" s="8" t="s">
        <v>24</v>
      </c>
      <c r="B351" s="8" t="s">
        <v>279</v>
      </c>
      <c r="C351" s="8" t="s">
        <v>26</v>
      </c>
      <c r="D351" s="8" t="s">
        <v>433</v>
      </c>
      <c r="E351" s="8" t="s">
        <v>434</v>
      </c>
      <c r="F351" s="8" t="s">
        <v>428</v>
      </c>
      <c r="G351" s="8" t="s">
        <v>436</v>
      </c>
      <c r="H351" s="8" t="s">
        <v>437</v>
      </c>
      <c r="I351" s="8" t="s">
        <v>438</v>
      </c>
      <c r="J351" s="28">
        <v>45695.431064814817</v>
      </c>
      <c r="K351" s="28">
        <v>45863.464583333334</v>
      </c>
      <c r="L351" s="8" t="s">
        <v>286</v>
      </c>
      <c r="M351" s="8" t="s">
        <v>287</v>
      </c>
      <c r="N351" s="29">
        <v>0</v>
      </c>
      <c r="O351" s="29">
        <v>1</v>
      </c>
      <c r="P351" s="8" t="s">
        <v>35</v>
      </c>
      <c r="Q351" s="8" t="s">
        <v>36</v>
      </c>
      <c r="R351" s="8" t="s">
        <v>439</v>
      </c>
      <c r="S351" s="8" t="s">
        <v>38</v>
      </c>
      <c r="V351" s="26" t="str">
        <f>VLOOKUP(MID(Table1[[#This Row],[Nodo]],1,12),Tabla2[#Data],2,FALSE)</f>
        <v>SISTEMA NEUMATICO</v>
      </c>
      <c r="W351" s="26" t="str">
        <f t="shared" si="6"/>
        <v>MEC</v>
      </c>
      <c r="X351" s="26" t="e">
        <f>VLOOKUP(MID([1]!Table1[[#This Row],[Nodo]],1,7),[1]!Tabla5[#Data],2,FALSE)</f>
        <v>#N/A</v>
      </c>
    </row>
    <row r="352" spans="1:24" x14ac:dyDescent="0.3">
      <c r="A352" s="8" t="s">
        <v>24</v>
      </c>
      <c r="B352" s="8" t="s">
        <v>279</v>
      </c>
      <c r="C352" s="8" t="s">
        <v>26</v>
      </c>
      <c r="D352" s="8" t="s">
        <v>441</v>
      </c>
      <c r="E352" s="8" t="s">
        <v>442</v>
      </c>
      <c r="F352" s="8" t="s">
        <v>443</v>
      </c>
      <c r="G352" s="8" t="s">
        <v>283</v>
      </c>
      <c r="H352" s="8" t="s">
        <v>284</v>
      </c>
      <c r="I352" s="8" t="s">
        <v>285</v>
      </c>
      <c r="J352" s="28">
        <v>45695.430949074071</v>
      </c>
      <c r="K352" s="28">
        <v>45863.464583333334</v>
      </c>
      <c r="L352" s="8" t="s">
        <v>286</v>
      </c>
      <c r="M352" s="8" t="s">
        <v>287</v>
      </c>
      <c r="N352" s="29">
        <v>0</v>
      </c>
      <c r="O352" s="29">
        <v>1</v>
      </c>
      <c r="P352" s="8" t="s">
        <v>35</v>
      </c>
      <c r="Q352" s="8" t="s">
        <v>36</v>
      </c>
      <c r="R352" s="8" t="s">
        <v>444</v>
      </c>
      <c r="S352" s="8" t="s">
        <v>38</v>
      </c>
      <c r="V352" s="26" t="str">
        <f>VLOOKUP(MID(Table1[[#This Row],[Nodo]],1,12),Tabla2[#Data],2,FALSE)</f>
        <v>APILADOR APILADOR SISTEMA DE A</v>
      </c>
      <c r="W352" s="26" t="str">
        <f t="shared" si="6"/>
        <v>MEC</v>
      </c>
      <c r="X352" s="26" t="e">
        <f>VLOOKUP(MID([1]!Table1[[#This Row],[Nodo]],1,7),[1]!Tabla5[#Data],2,FALSE)</f>
        <v>#N/A</v>
      </c>
    </row>
    <row r="353" spans="1:24" x14ac:dyDescent="0.3">
      <c r="A353" s="8" t="s">
        <v>24</v>
      </c>
      <c r="B353" s="8" t="s">
        <v>279</v>
      </c>
      <c r="C353" s="8" t="s">
        <v>26</v>
      </c>
      <c r="D353" s="8" t="s">
        <v>441</v>
      </c>
      <c r="E353" s="8" t="s">
        <v>442</v>
      </c>
      <c r="F353" s="8" t="s">
        <v>445</v>
      </c>
      <c r="G353" s="8" t="s">
        <v>283</v>
      </c>
      <c r="H353" s="8" t="s">
        <v>284</v>
      </c>
      <c r="I353" s="8" t="s">
        <v>285</v>
      </c>
      <c r="J353" s="28">
        <v>45695.430949074071</v>
      </c>
      <c r="K353" s="28">
        <v>45863.464583333334</v>
      </c>
      <c r="L353" s="8" t="s">
        <v>286</v>
      </c>
      <c r="M353" s="8" t="s">
        <v>287</v>
      </c>
      <c r="N353" s="29">
        <v>0</v>
      </c>
      <c r="O353" s="29">
        <v>1</v>
      </c>
      <c r="P353" s="8" t="s">
        <v>35</v>
      </c>
      <c r="Q353" s="8" t="s">
        <v>36</v>
      </c>
      <c r="R353" s="8" t="s">
        <v>444</v>
      </c>
      <c r="S353" s="8" t="s">
        <v>38</v>
      </c>
      <c r="V353" s="26" t="str">
        <f>VLOOKUP(MID(Table1[[#This Row],[Nodo]],1,12),Tabla2[#Data],2,FALSE)</f>
        <v>APILADOR APILADOR SISTEMA DE A</v>
      </c>
      <c r="W353" s="26" t="str">
        <f t="shared" si="6"/>
        <v>MEC</v>
      </c>
      <c r="X353" s="26" t="e">
        <f>VLOOKUP(MID([1]!Table1[[#This Row],[Nodo]],1,7),[1]!Tabla5[#Data],2,FALSE)</f>
        <v>#N/A</v>
      </c>
    </row>
    <row r="354" spans="1:24" x14ac:dyDescent="0.3">
      <c r="A354" s="8" t="s">
        <v>24</v>
      </c>
      <c r="B354" s="8" t="s">
        <v>279</v>
      </c>
      <c r="C354" s="8" t="s">
        <v>26</v>
      </c>
      <c r="D354" s="8" t="s">
        <v>441</v>
      </c>
      <c r="E354" s="8" t="s">
        <v>442</v>
      </c>
      <c r="F354" s="8" t="s">
        <v>446</v>
      </c>
      <c r="G354" s="8" t="s">
        <v>283</v>
      </c>
      <c r="H354" s="8" t="s">
        <v>284</v>
      </c>
      <c r="I354" s="8" t="s">
        <v>285</v>
      </c>
      <c r="J354" s="28">
        <v>45695.430949074071</v>
      </c>
      <c r="K354" s="28">
        <v>45863.464583333334</v>
      </c>
      <c r="L354" s="8" t="s">
        <v>286</v>
      </c>
      <c r="M354" s="8" t="s">
        <v>287</v>
      </c>
      <c r="N354" s="29">
        <v>0</v>
      </c>
      <c r="O354" s="29">
        <v>1</v>
      </c>
      <c r="P354" s="8" t="s">
        <v>35</v>
      </c>
      <c r="Q354" s="8" t="s">
        <v>36</v>
      </c>
      <c r="R354" s="8" t="s">
        <v>444</v>
      </c>
      <c r="S354" s="8" t="s">
        <v>38</v>
      </c>
      <c r="V354" s="26" t="str">
        <f>VLOOKUP(MID(Table1[[#This Row],[Nodo]],1,12),Tabla2[#Data],2,FALSE)</f>
        <v>APILADOR APILADOR SISTEMA DE A</v>
      </c>
      <c r="W354" s="26" t="str">
        <f t="shared" si="6"/>
        <v>MEC</v>
      </c>
      <c r="X354" s="26" t="e">
        <f>VLOOKUP(MID([1]!Table1[[#This Row],[Nodo]],1,7),[1]!Tabla5[#Data],2,FALSE)</f>
        <v>#N/A</v>
      </c>
    </row>
    <row r="355" spans="1:24" x14ac:dyDescent="0.3">
      <c r="A355" s="8" t="s">
        <v>24</v>
      </c>
      <c r="B355" s="8" t="s">
        <v>279</v>
      </c>
      <c r="C355" s="8" t="s">
        <v>26</v>
      </c>
      <c r="D355" s="8" t="s">
        <v>441</v>
      </c>
      <c r="E355" s="8" t="s">
        <v>442</v>
      </c>
      <c r="F355" s="8" t="s">
        <v>443</v>
      </c>
      <c r="G355" s="8" t="s">
        <v>290</v>
      </c>
      <c r="H355" s="8" t="s">
        <v>291</v>
      </c>
      <c r="I355" s="8" t="s">
        <v>292</v>
      </c>
      <c r="J355" s="28">
        <v>45695.430983796294</v>
      </c>
      <c r="K355" s="28">
        <v>45863.464583333334</v>
      </c>
      <c r="L355" s="8" t="s">
        <v>286</v>
      </c>
      <c r="M355" s="8" t="s">
        <v>287</v>
      </c>
      <c r="N355" s="29">
        <v>0</v>
      </c>
      <c r="O355" s="29">
        <v>1</v>
      </c>
      <c r="P355" s="8" t="s">
        <v>35</v>
      </c>
      <c r="Q355" s="8" t="s">
        <v>36</v>
      </c>
      <c r="R355" s="8" t="s">
        <v>444</v>
      </c>
      <c r="S355" s="8" t="s">
        <v>38</v>
      </c>
      <c r="V355" s="26" t="str">
        <f>VLOOKUP(MID(Table1[[#This Row],[Nodo]],1,12),Tabla2[#Data],2,FALSE)</f>
        <v>EMBOBINADOR DE SCRAP</v>
      </c>
      <c r="W355" s="26" t="str">
        <f t="shared" si="6"/>
        <v>MEC</v>
      </c>
      <c r="X355" s="26" t="e">
        <f>VLOOKUP(MID([1]!Table1[[#This Row],[Nodo]],1,7),[1]!Tabla5[#Data],2,FALSE)</f>
        <v>#N/A</v>
      </c>
    </row>
    <row r="356" spans="1:24" x14ac:dyDescent="0.3">
      <c r="A356" s="8" t="s">
        <v>24</v>
      </c>
      <c r="B356" s="8" t="s">
        <v>279</v>
      </c>
      <c r="C356" s="8" t="s">
        <v>26</v>
      </c>
      <c r="D356" s="8" t="s">
        <v>441</v>
      </c>
      <c r="E356" s="8" t="s">
        <v>442</v>
      </c>
      <c r="F356" s="8" t="s">
        <v>445</v>
      </c>
      <c r="G356" s="8" t="s">
        <v>290</v>
      </c>
      <c r="H356" s="8" t="s">
        <v>291</v>
      </c>
      <c r="I356" s="8" t="s">
        <v>292</v>
      </c>
      <c r="J356" s="28">
        <v>45695.430983796294</v>
      </c>
      <c r="K356" s="28">
        <v>45863.464583333334</v>
      </c>
      <c r="L356" s="8" t="s">
        <v>286</v>
      </c>
      <c r="M356" s="8" t="s">
        <v>287</v>
      </c>
      <c r="N356" s="29">
        <v>0</v>
      </c>
      <c r="O356" s="29">
        <v>1</v>
      </c>
      <c r="P356" s="8" t="s">
        <v>35</v>
      </c>
      <c r="Q356" s="8" t="s">
        <v>36</v>
      </c>
      <c r="R356" s="8" t="s">
        <v>444</v>
      </c>
      <c r="S356" s="8" t="s">
        <v>38</v>
      </c>
      <c r="V356" s="26" t="str">
        <f>VLOOKUP(MID(Table1[[#This Row],[Nodo]],1,12),Tabla2[#Data],2,FALSE)</f>
        <v>EMBOBINADOR DE SCRAP</v>
      </c>
      <c r="W356" s="26" t="str">
        <f t="shared" si="6"/>
        <v>MEC</v>
      </c>
      <c r="X356" s="26" t="e">
        <f>VLOOKUP(MID([1]!Table1[[#This Row],[Nodo]],1,7),[1]!Tabla5[#Data],2,FALSE)</f>
        <v>#N/A</v>
      </c>
    </row>
    <row r="357" spans="1:24" x14ac:dyDescent="0.3">
      <c r="A357" s="8" t="s">
        <v>24</v>
      </c>
      <c r="B357" s="8" t="s">
        <v>279</v>
      </c>
      <c r="C357" s="8" t="s">
        <v>26</v>
      </c>
      <c r="D357" s="8" t="s">
        <v>441</v>
      </c>
      <c r="E357" s="8" t="s">
        <v>442</v>
      </c>
      <c r="F357" s="8" t="s">
        <v>446</v>
      </c>
      <c r="G357" s="8" t="s">
        <v>290</v>
      </c>
      <c r="H357" s="8" t="s">
        <v>291</v>
      </c>
      <c r="I357" s="8" t="s">
        <v>292</v>
      </c>
      <c r="J357" s="28">
        <v>45695.430983796294</v>
      </c>
      <c r="K357" s="28">
        <v>45863.464583333334</v>
      </c>
      <c r="L357" s="8" t="s">
        <v>286</v>
      </c>
      <c r="M357" s="8" t="s">
        <v>287</v>
      </c>
      <c r="N357" s="29">
        <v>0</v>
      </c>
      <c r="O357" s="29">
        <v>1</v>
      </c>
      <c r="P357" s="8" t="s">
        <v>35</v>
      </c>
      <c r="Q357" s="8" t="s">
        <v>36</v>
      </c>
      <c r="R357" s="8" t="s">
        <v>444</v>
      </c>
      <c r="S357" s="8" t="s">
        <v>38</v>
      </c>
      <c r="V357" s="26" t="str">
        <f>VLOOKUP(MID(Table1[[#This Row],[Nodo]],1,12),Tabla2[#Data],2,FALSE)</f>
        <v>EMBOBINADOR DE SCRAP</v>
      </c>
      <c r="W357" s="26" t="str">
        <f t="shared" si="6"/>
        <v>MEC</v>
      </c>
      <c r="X357" s="26" t="e">
        <f>VLOOKUP(MID([1]!Table1[[#This Row],[Nodo]],1,7),[1]!Tabla5[#Data],2,FALSE)</f>
        <v>#N/A</v>
      </c>
    </row>
    <row r="358" spans="1:24" x14ac:dyDescent="0.3">
      <c r="A358" s="8" t="s">
        <v>24</v>
      </c>
      <c r="B358" s="8" t="s">
        <v>279</v>
      </c>
      <c r="C358" s="8" t="s">
        <v>26</v>
      </c>
      <c r="D358" s="8" t="s">
        <v>441</v>
      </c>
      <c r="E358" s="8" t="s">
        <v>442</v>
      </c>
      <c r="F358" s="8" t="s">
        <v>443</v>
      </c>
      <c r="G358" s="8" t="s">
        <v>293</v>
      </c>
      <c r="H358" s="8" t="s">
        <v>294</v>
      </c>
      <c r="I358" s="8" t="s">
        <v>295</v>
      </c>
      <c r="J358" s="28">
        <v>45695.431018518517</v>
      </c>
      <c r="K358" s="28">
        <v>45863.464583333334</v>
      </c>
      <c r="L358" s="8" t="s">
        <v>286</v>
      </c>
      <c r="M358" s="8" t="s">
        <v>287</v>
      </c>
      <c r="N358" s="29">
        <v>0</v>
      </c>
      <c r="O358" s="29">
        <v>1</v>
      </c>
      <c r="P358" s="8" t="s">
        <v>35</v>
      </c>
      <c r="Q358" s="8" t="s">
        <v>36</v>
      </c>
      <c r="R358" s="8" t="s">
        <v>444</v>
      </c>
      <c r="S358" s="8" t="s">
        <v>38</v>
      </c>
      <c r="V358" s="26" t="str">
        <f>VLOOKUP(MID(Table1[[#This Row],[Nodo]],1,12),Tabla2[#Data],2,FALSE)</f>
        <v>ESTACION DE FORMADO</v>
      </c>
      <c r="W358" s="26" t="str">
        <f t="shared" si="6"/>
        <v>MEC</v>
      </c>
      <c r="X358" s="26" t="e">
        <f>VLOOKUP(MID([1]!Table1[[#This Row],[Nodo]],1,7),[1]!Tabla5[#Data],2,FALSE)</f>
        <v>#N/A</v>
      </c>
    </row>
    <row r="359" spans="1:24" x14ac:dyDescent="0.3">
      <c r="A359" s="8" t="s">
        <v>24</v>
      </c>
      <c r="B359" s="8" t="s">
        <v>279</v>
      </c>
      <c r="C359" s="8" t="s">
        <v>26</v>
      </c>
      <c r="D359" s="8" t="s">
        <v>441</v>
      </c>
      <c r="E359" s="8" t="s">
        <v>442</v>
      </c>
      <c r="F359" s="8" t="s">
        <v>445</v>
      </c>
      <c r="G359" s="8" t="s">
        <v>293</v>
      </c>
      <c r="H359" s="8" t="s">
        <v>294</v>
      </c>
      <c r="I359" s="8" t="s">
        <v>295</v>
      </c>
      <c r="J359" s="28">
        <v>45695.431018518517</v>
      </c>
      <c r="K359" s="28">
        <v>45863.464583333334</v>
      </c>
      <c r="L359" s="8" t="s">
        <v>286</v>
      </c>
      <c r="M359" s="8" t="s">
        <v>287</v>
      </c>
      <c r="N359" s="29">
        <v>0</v>
      </c>
      <c r="O359" s="29">
        <v>1</v>
      </c>
      <c r="P359" s="8" t="s">
        <v>35</v>
      </c>
      <c r="Q359" s="8" t="s">
        <v>36</v>
      </c>
      <c r="R359" s="8" t="s">
        <v>444</v>
      </c>
      <c r="S359" s="8" t="s">
        <v>38</v>
      </c>
      <c r="V359" s="26" t="str">
        <f>VLOOKUP(MID(Table1[[#This Row],[Nodo]],1,12),Tabla2[#Data],2,FALSE)</f>
        <v>ESTACION DE FORMADO</v>
      </c>
      <c r="W359" s="26" t="str">
        <f t="shared" si="6"/>
        <v>MEC</v>
      </c>
      <c r="X359" s="26" t="e">
        <f>VLOOKUP(MID([1]!Table1[[#This Row],[Nodo]],1,7),[1]!Tabla5[#Data],2,FALSE)</f>
        <v>#N/A</v>
      </c>
    </row>
    <row r="360" spans="1:24" x14ac:dyDescent="0.3">
      <c r="A360" s="8" t="s">
        <v>24</v>
      </c>
      <c r="B360" s="8" t="s">
        <v>279</v>
      </c>
      <c r="C360" s="8" t="s">
        <v>26</v>
      </c>
      <c r="D360" s="8" t="s">
        <v>441</v>
      </c>
      <c r="E360" s="8" t="s">
        <v>442</v>
      </c>
      <c r="F360" s="8" t="s">
        <v>446</v>
      </c>
      <c r="G360" s="8" t="s">
        <v>293</v>
      </c>
      <c r="H360" s="8" t="s">
        <v>294</v>
      </c>
      <c r="I360" s="8" t="s">
        <v>295</v>
      </c>
      <c r="J360" s="28">
        <v>45695.431018518517</v>
      </c>
      <c r="K360" s="28">
        <v>45863.464583333334</v>
      </c>
      <c r="L360" s="8" t="s">
        <v>286</v>
      </c>
      <c r="M360" s="8" t="s">
        <v>287</v>
      </c>
      <c r="N360" s="29">
        <v>0</v>
      </c>
      <c r="O360" s="29">
        <v>1</v>
      </c>
      <c r="P360" s="8" t="s">
        <v>35</v>
      </c>
      <c r="Q360" s="8" t="s">
        <v>36</v>
      </c>
      <c r="R360" s="8" t="s">
        <v>444</v>
      </c>
      <c r="S360" s="8" t="s">
        <v>38</v>
      </c>
      <c r="V360" s="26" t="str">
        <f>VLOOKUP(MID(Table1[[#This Row],[Nodo]],1,12),Tabla2[#Data],2,FALSE)</f>
        <v>ESTACION DE FORMADO</v>
      </c>
      <c r="W360" s="26" t="str">
        <f t="shared" si="6"/>
        <v>MEC</v>
      </c>
      <c r="X360" s="26" t="e">
        <f>VLOOKUP(MID([1]!Table1[[#This Row],[Nodo]],1,7),[1]!Tabla5[#Data],2,FALSE)</f>
        <v>#N/A</v>
      </c>
    </row>
    <row r="361" spans="1:24" x14ac:dyDescent="0.3">
      <c r="A361" s="8" t="s">
        <v>24</v>
      </c>
      <c r="B361" s="8" t="s">
        <v>279</v>
      </c>
      <c r="C361" s="8" t="s">
        <v>26</v>
      </c>
      <c r="D361" s="8" t="s">
        <v>441</v>
      </c>
      <c r="E361" s="8" t="s">
        <v>442</v>
      </c>
      <c r="F361" s="8" t="s">
        <v>443</v>
      </c>
      <c r="G361" s="8" t="s">
        <v>296</v>
      </c>
      <c r="H361" s="8" t="s">
        <v>297</v>
      </c>
      <c r="I361" s="8" t="s">
        <v>298</v>
      </c>
      <c r="J361" s="28">
        <v>45695.431041666663</v>
      </c>
      <c r="K361" s="28">
        <v>45863.464583333334</v>
      </c>
      <c r="L361" s="8" t="s">
        <v>286</v>
      </c>
      <c r="M361" s="8" t="s">
        <v>287</v>
      </c>
      <c r="N361" s="29">
        <v>0</v>
      </c>
      <c r="O361" s="29">
        <v>1</v>
      </c>
      <c r="P361" s="8" t="s">
        <v>35</v>
      </c>
      <c r="Q361" s="8" t="s">
        <v>36</v>
      </c>
      <c r="R361" s="8" t="s">
        <v>444</v>
      </c>
      <c r="S361" s="8" t="s">
        <v>38</v>
      </c>
      <c r="V361" s="26" t="str">
        <f>VLOOKUP(MID(Table1[[#This Row],[Nodo]],1,12),Tabla2[#Data],2,FALSE)</f>
        <v>PRECALENTADOR</v>
      </c>
      <c r="W361" s="26" t="str">
        <f t="shared" si="6"/>
        <v>MEC</v>
      </c>
      <c r="X361" s="26" t="e">
        <f>VLOOKUP(MID([1]!Table1[[#This Row],[Nodo]],1,7),[1]!Tabla5[#Data],2,FALSE)</f>
        <v>#N/A</v>
      </c>
    </row>
    <row r="362" spans="1:24" x14ac:dyDescent="0.3">
      <c r="A362" s="8" t="s">
        <v>24</v>
      </c>
      <c r="B362" s="8" t="s">
        <v>279</v>
      </c>
      <c r="C362" s="8" t="s">
        <v>26</v>
      </c>
      <c r="D362" s="8" t="s">
        <v>441</v>
      </c>
      <c r="E362" s="8" t="s">
        <v>442</v>
      </c>
      <c r="F362" s="8" t="s">
        <v>445</v>
      </c>
      <c r="G362" s="8" t="s">
        <v>296</v>
      </c>
      <c r="H362" s="8" t="s">
        <v>297</v>
      </c>
      <c r="I362" s="8" t="s">
        <v>298</v>
      </c>
      <c r="J362" s="28">
        <v>45695.431041666663</v>
      </c>
      <c r="K362" s="28">
        <v>45863.464583333334</v>
      </c>
      <c r="L362" s="8" t="s">
        <v>286</v>
      </c>
      <c r="M362" s="8" t="s">
        <v>287</v>
      </c>
      <c r="N362" s="29">
        <v>0</v>
      </c>
      <c r="O362" s="29">
        <v>1</v>
      </c>
      <c r="P362" s="8" t="s">
        <v>35</v>
      </c>
      <c r="Q362" s="8" t="s">
        <v>36</v>
      </c>
      <c r="R362" s="8" t="s">
        <v>444</v>
      </c>
      <c r="S362" s="8" t="s">
        <v>38</v>
      </c>
      <c r="V362" s="26" t="str">
        <f>VLOOKUP(MID(Table1[[#This Row],[Nodo]],1,12),Tabla2[#Data],2,FALSE)</f>
        <v>PRECALENTADOR</v>
      </c>
      <c r="W362" s="26" t="str">
        <f t="shared" si="6"/>
        <v>MEC</v>
      </c>
      <c r="X362" s="26" t="e">
        <f>VLOOKUP(MID([1]!Table1[[#This Row],[Nodo]],1,7),[1]!Tabla5[#Data],2,FALSE)</f>
        <v>#N/A</v>
      </c>
    </row>
    <row r="363" spans="1:24" x14ac:dyDescent="0.3">
      <c r="A363" s="8" t="s">
        <v>24</v>
      </c>
      <c r="B363" s="8" t="s">
        <v>279</v>
      </c>
      <c r="C363" s="8" t="s">
        <v>26</v>
      </c>
      <c r="D363" s="8" t="s">
        <v>441</v>
      </c>
      <c r="E363" s="8" t="s">
        <v>442</v>
      </c>
      <c r="F363" s="8" t="s">
        <v>446</v>
      </c>
      <c r="G363" s="8" t="s">
        <v>296</v>
      </c>
      <c r="H363" s="8" t="s">
        <v>297</v>
      </c>
      <c r="I363" s="8" t="s">
        <v>298</v>
      </c>
      <c r="J363" s="28">
        <v>45695.431041666663</v>
      </c>
      <c r="K363" s="28">
        <v>45863.464583333334</v>
      </c>
      <c r="L363" s="8" t="s">
        <v>286</v>
      </c>
      <c r="M363" s="8" t="s">
        <v>287</v>
      </c>
      <c r="N363" s="29">
        <v>0</v>
      </c>
      <c r="O363" s="29">
        <v>1</v>
      </c>
      <c r="P363" s="8" t="s">
        <v>35</v>
      </c>
      <c r="Q363" s="8" t="s">
        <v>36</v>
      </c>
      <c r="R363" s="8" t="s">
        <v>444</v>
      </c>
      <c r="S363" s="8" t="s">
        <v>38</v>
      </c>
      <c r="V363" s="26" t="str">
        <f>VLOOKUP(MID(Table1[[#This Row],[Nodo]],1,12),Tabla2[#Data],2,FALSE)</f>
        <v>PRECALENTADOR</v>
      </c>
      <c r="W363" s="26" t="str">
        <f t="shared" si="6"/>
        <v>MEC</v>
      </c>
      <c r="X363" s="26" t="e">
        <f>VLOOKUP(MID([1]!Table1[[#This Row],[Nodo]],1,7),[1]!Tabla5[#Data],2,FALSE)</f>
        <v>#N/A</v>
      </c>
    </row>
    <row r="364" spans="1:24" x14ac:dyDescent="0.3">
      <c r="A364" s="8" t="s">
        <v>24</v>
      </c>
      <c r="B364" s="8" t="s">
        <v>279</v>
      </c>
      <c r="C364" s="8" t="s">
        <v>26</v>
      </c>
      <c r="D364" s="8" t="s">
        <v>447</v>
      </c>
      <c r="E364" s="8" t="s">
        <v>448</v>
      </c>
      <c r="F364" s="8" t="s">
        <v>449</v>
      </c>
      <c r="G364" s="8" t="s">
        <v>30</v>
      </c>
      <c r="H364" s="8" t="s">
        <v>31</v>
      </c>
      <c r="I364" s="8" t="s">
        <v>32</v>
      </c>
      <c r="J364" s="28">
        <v>45695.431006944447</v>
      </c>
      <c r="K364" s="28">
        <v>45863.464583333334</v>
      </c>
      <c r="L364" s="8" t="s">
        <v>286</v>
      </c>
      <c r="M364" s="8" t="s">
        <v>287</v>
      </c>
      <c r="N364" s="29">
        <v>0</v>
      </c>
      <c r="O364" s="29">
        <v>1</v>
      </c>
      <c r="P364" s="8" t="s">
        <v>35</v>
      </c>
      <c r="Q364" s="8" t="s">
        <v>36</v>
      </c>
      <c r="R364" s="8" t="s">
        <v>450</v>
      </c>
      <c r="S364" s="8" t="s">
        <v>38</v>
      </c>
      <c r="V364" s="26" t="str">
        <f>VLOOKUP(MID(Table1[[#This Row],[Nodo]],1,12),Tabla2[#Data],2,FALSE)</f>
        <v>ESTACION DE FORMADO</v>
      </c>
      <c r="W364" s="26" t="str">
        <f t="shared" si="6"/>
        <v>MEC</v>
      </c>
      <c r="X364" s="26" t="e">
        <f>VLOOKUP(MID([1]!Table1[[#This Row],[Nodo]],1,7),[1]!Tabla5[#Data],2,FALSE)</f>
        <v>#N/A</v>
      </c>
    </row>
    <row r="365" spans="1:24" x14ac:dyDescent="0.3">
      <c r="A365" s="8" t="s">
        <v>24</v>
      </c>
      <c r="B365" s="8" t="s">
        <v>279</v>
      </c>
      <c r="C365" s="8" t="s">
        <v>26</v>
      </c>
      <c r="D365" s="8" t="s">
        <v>447</v>
      </c>
      <c r="E365" s="8" t="s">
        <v>448</v>
      </c>
      <c r="F365" s="8" t="s">
        <v>451</v>
      </c>
      <c r="G365" s="8" t="s">
        <v>30</v>
      </c>
      <c r="H365" s="8" t="s">
        <v>31</v>
      </c>
      <c r="I365" s="8" t="s">
        <v>32</v>
      </c>
      <c r="J365" s="28">
        <v>45695.431006944447</v>
      </c>
      <c r="K365" s="28">
        <v>45863.464583333334</v>
      </c>
      <c r="L365" s="8" t="s">
        <v>286</v>
      </c>
      <c r="M365" s="8" t="s">
        <v>287</v>
      </c>
      <c r="N365" s="29">
        <v>0</v>
      </c>
      <c r="O365" s="29">
        <v>1</v>
      </c>
      <c r="P365" s="8" t="s">
        <v>35</v>
      </c>
      <c r="Q365" s="8" t="s">
        <v>36</v>
      </c>
      <c r="R365" s="8" t="s">
        <v>450</v>
      </c>
      <c r="S365" s="8" t="s">
        <v>38</v>
      </c>
      <c r="V365" s="26" t="str">
        <f>VLOOKUP(MID(Table1[[#This Row],[Nodo]],1,12),Tabla2[#Data],2,FALSE)</f>
        <v>ESTACION DE FORMADO</v>
      </c>
      <c r="W365" s="26" t="str">
        <f t="shared" si="6"/>
        <v>MEC</v>
      </c>
      <c r="X365" s="26" t="e">
        <f>VLOOKUP(MID([1]!Table1[[#This Row],[Nodo]],1,7),[1]!Tabla5[#Data],2,FALSE)</f>
        <v>#N/A</v>
      </c>
    </row>
    <row r="366" spans="1:24" x14ac:dyDescent="0.3">
      <c r="A366" s="8" t="s">
        <v>24</v>
      </c>
      <c r="B366" s="8" t="s">
        <v>279</v>
      </c>
      <c r="C366" s="8" t="s">
        <v>26</v>
      </c>
      <c r="D366" s="8" t="s">
        <v>447</v>
      </c>
      <c r="E366" s="8" t="s">
        <v>448</v>
      </c>
      <c r="F366" s="8" t="s">
        <v>449</v>
      </c>
      <c r="G366" s="8" t="s">
        <v>40</v>
      </c>
      <c r="H366" s="8" t="s">
        <v>41</v>
      </c>
      <c r="I366" s="8" t="s">
        <v>42</v>
      </c>
      <c r="J366" s="28">
        <v>45695.431006944447</v>
      </c>
      <c r="K366" s="28">
        <v>45863.464583333334</v>
      </c>
      <c r="L366" s="8" t="s">
        <v>286</v>
      </c>
      <c r="M366" s="8" t="s">
        <v>287</v>
      </c>
      <c r="N366" s="29">
        <v>0</v>
      </c>
      <c r="O366" s="29">
        <v>1</v>
      </c>
      <c r="P366" s="8" t="s">
        <v>35</v>
      </c>
      <c r="Q366" s="8" t="s">
        <v>36</v>
      </c>
      <c r="R366" s="8" t="s">
        <v>450</v>
      </c>
      <c r="S366" s="8" t="s">
        <v>38</v>
      </c>
      <c r="V366" s="26" t="str">
        <f>VLOOKUP(MID(Table1[[#This Row],[Nodo]],1,12),Tabla2[#Data],2,FALSE)</f>
        <v>ESTACION DE FORMADO</v>
      </c>
      <c r="W366" s="26" t="str">
        <f t="shared" si="6"/>
        <v>MEC</v>
      </c>
      <c r="X366" s="26" t="e">
        <f>VLOOKUP(MID([1]!Table1[[#This Row],[Nodo]],1,7),[1]!Tabla5[#Data],2,FALSE)</f>
        <v>#N/A</v>
      </c>
    </row>
    <row r="367" spans="1:24" x14ac:dyDescent="0.3">
      <c r="A367" s="8" t="s">
        <v>24</v>
      </c>
      <c r="B367" s="8" t="s">
        <v>279</v>
      </c>
      <c r="C367" s="8" t="s">
        <v>26</v>
      </c>
      <c r="D367" s="8" t="s">
        <v>447</v>
      </c>
      <c r="E367" s="8" t="s">
        <v>448</v>
      </c>
      <c r="F367" s="8" t="s">
        <v>451</v>
      </c>
      <c r="G367" s="8" t="s">
        <v>40</v>
      </c>
      <c r="H367" s="8" t="s">
        <v>41</v>
      </c>
      <c r="I367" s="8" t="s">
        <v>42</v>
      </c>
      <c r="J367" s="28">
        <v>45695.431006944447</v>
      </c>
      <c r="K367" s="28">
        <v>45863.464583333334</v>
      </c>
      <c r="L367" s="8" t="s">
        <v>286</v>
      </c>
      <c r="M367" s="8" t="s">
        <v>287</v>
      </c>
      <c r="N367" s="29">
        <v>0</v>
      </c>
      <c r="O367" s="29">
        <v>1</v>
      </c>
      <c r="P367" s="8" t="s">
        <v>35</v>
      </c>
      <c r="Q367" s="8" t="s">
        <v>36</v>
      </c>
      <c r="R367" s="8" t="s">
        <v>450</v>
      </c>
      <c r="S367" s="8" t="s">
        <v>38</v>
      </c>
      <c r="V367" s="26" t="str">
        <f>VLOOKUP(MID(Table1[[#This Row],[Nodo]],1,12),Tabla2[#Data],2,FALSE)</f>
        <v>ESTACION DE FORMADO</v>
      </c>
      <c r="W367" s="26" t="str">
        <f t="shared" si="6"/>
        <v>MEC</v>
      </c>
      <c r="X367" s="26" t="e">
        <f>VLOOKUP(MID([1]!Table1[[#This Row],[Nodo]],1,7),[1]!Tabla5[#Data],2,FALSE)</f>
        <v>#N/A</v>
      </c>
    </row>
    <row r="368" spans="1:24" x14ac:dyDescent="0.3">
      <c r="A368" s="8" t="s">
        <v>24</v>
      </c>
      <c r="B368" s="8" t="s">
        <v>279</v>
      </c>
      <c r="C368" s="8" t="s">
        <v>26</v>
      </c>
      <c r="D368" s="8" t="s">
        <v>447</v>
      </c>
      <c r="E368" s="8" t="s">
        <v>448</v>
      </c>
      <c r="F368" s="8" t="s">
        <v>449</v>
      </c>
      <c r="G368" s="8" t="s">
        <v>43</v>
      </c>
      <c r="H368" s="8" t="s">
        <v>44</v>
      </c>
      <c r="I368" s="8" t="s">
        <v>45</v>
      </c>
      <c r="J368" s="28">
        <v>45695.431018518517</v>
      </c>
      <c r="K368" s="28">
        <v>45863.464583333334</v>
      </c>
      <c r="L368" s="8" t="s">
        <v>286</v>
      </c>
      <c r="M368" s="8" t="s">
        <v>287</v>
      </c>
      <c r="N368" s="29">
        <v>0</v>
      </c>
      <c r="O368" s="29">
        <v>1</v>
      </c>
      <c r="P368" s="8" t="s">
        <v>35</v>
      </c>
      <c r="Q368" s="8" t="s">
        <v>36</v>
      </c>
      <c r="R368" s="8" t="s">
        <v>450</v>
      </c>
      <c r="S368" s="8" t="s">
        <v>38</v>
      </c>
      <c r="V368" s="26" t="str">
        <f>VLOOKUP(MID(Table1[[#This Row],[Nodo]],1,12),Tabla2[#Data],2,FALSE)</f>
        <v>ESTACION DE FORMADO</v>
      </c>
      <c r="W368" s="26" t="str">
        <f t="shared" si="6"/>
        <v>MEC</v>
      </c>
      <c r="X368" s="26" t="e">
        <f>VLOOKUP(MID([1]!Table1[[#This Row],[Nodo]],1,7),[1]!Tabla5[#Data],2,FALSE)</f>
        <v>#N/A</v>
      </c>
    </row>
    <row r="369" spans="1:24" x14ac:dyDescent="0.3">
      <c r="A369" s="8" t="s">
        <v>24</v>
      </c>
      <c r="B369" s="8" t="s">
        <v>279</v>
      </c>
      <c r="C369" s="8" t="s">
        <v>26</v>
      </c>
      <c r="D369" s="8" t="s">
        <v>447</v>
      </c>
      <c r="E369" s="8" t="s">
        <v>448</v>
      </c>
      <c r="F369" s="8" t="s">
        <v>451</v>
      </c>
      <c r="G369" s="8" t="s">
        <v>43</v>
      </c>
      <c r="H369" s="8" t="s">
        <v>44</v>
      </c>
      <c r="I369" s="8" t="s">
        <v>45</v>
      </c>
      <c r="J369" s="28">
        <v>45695.431018518517</v>
      </c>
      <c r="K369" s="28">
        <v>45863.464583333334</v>
      </c>
      <c r="L369" s="8" t="s">
        <v>286</v>
      </c>
      <c r="M369" s="8" t="s">
        <v>287</v>
      </c>
      <c r="N369" s="29">
        <v>0</v>
      </c>
      <c r="O369" s="29">
        <v>1</v>
      </c>
      <c r="P369" s="8" t="s">
        <v>35</v>
      </c>
      <c r="Q369" s="8" t="s">
        <v>36</v>
      </c>
      <c r="R369" s="8" t="s">
        <v>450</v>
      </c>
      <c r="S369" s="8" t="s">
        <v>38</v>
      </c>
      <c r="V369" s="26" t="str">
        <f>VLOOKUP(MID(Table1[[#This Row],[Nodo]],1,12),Tabla2[#Data],2,FALSE)</f>
        <v>ESTACION DE FORMADO</v>
      </c>
      <c r="W369" s="26" t="str">
        <f t="shared" si="6"/>
        <v>MEC</v>
      </c>
      <c r="X369" s="26" t="e">
        <f>VLOOKUP(MID([1]!Table1[[#This Row],[Nodo]],1,7),[1]!Tabla5[#Data],2,FALSE)</f>
        <v>#N/A</v>
      </c>
    </row>
    <row r="370" spans="1:24" x14ac:dyDescent="0.3">
      <c r="A370" s="8" t="s">
        <v>24</v>
      </c>
      <c r="B370" s="8" t="s">
        <v>279</v>
      </c>
      <c r="C370" s="8" t="s">
        <v>26</v>
      </c>
      <c r="D370" s="8" t="s">
        <v>452</v>
      </c>
      <c r="E370" s="8" t="s">
        <v>453</v>
      </c>
      <c r="F370" s="8" t="s">
        <v>454</v>
      </c>
      <c r="G370" s="8" t="s">
        <v>290</v>
      </c>
      <c r="H370" s="8" t="s">
        <v>291</v>
      </c>
      <c r="I370" s="8" t="s">
        <v>292</v>
      </c>
      <c r="J370" s="28">
        <v>45695.430983796294</v>
      </c>
      <c r="K370" s="28">
        <v>45863.464583333334</v>
      </c>
      <c r="L370" s="8" t="s">
        <v>286</v>
      </c>
      <c r="M370" s="8" t="s">
        <v>287</v>
      </c>
      <c r="N370" s="29">
        <v>0</v>
      </c>
      <c r="O370" s="29">
        <v>1</v>
      </c>
      <c r="P370" s="8" t="s">
        <v>35</v>
      </c>
      <c r="Q370" s="8" t="s">
        <v>36</v>
      </c>
      <c r="R370" s="8" t="s">
        <v>455</v>
      </c>
      <c r="S370" s="8" t="s">
        <v>38</v>
      </c>
      <c r="V370" s="26" t="str">
        <f>VLOOKUP(MID(Table1[[#This Row],[Nodo]],1,12),Tabla2[#Data],2,FALSE)</f>
        <v>EMBOBINADOR DE SCRAP</v>
      </c>
      <c r="W370" s="26" t="str">
        <f t="shared" si="6"/>
        <v>MEC</v>
      </c>
      <c r="X370" s="26" t="e">
        <f>VLOOKUP(MID([1]!Table1[[#This Row],[Nodo]],1,7),[1]!Tabla5[#Data],2,FALSE)</f>
        <v>#N/A</v>
      </c>
    </row>
    <row r="371" spans="1:24" x14ac:dyDescent="0.3">
      <c r="A371" s="8" t="s">
        <v>24</v>
      </c>
      <c r="B371" s="8" t="s">
        <v>279</v>
      </c>
      <c r="C371" s="8" t="s">
        <v>26</v>
      </c>
      <c r="D371" s="8" t="s">
        <v>452</v>
      </c>
      <c r="E371" s="8" t="s">
        <v>453</v>
      </c>
      <c r="F371" s="8" t="s">
        <v>456</v>
      </c>
      <c r="G371" s="8" t="s">
        <v>290</v>
      </c>
      <c r="H371" s="8" t="s">
        <v>291</v>
      </c>
      <c r="I371" s="8" t="s">
        <v>292</v>
      </c>
      <c r="J371" s="28">
        <v>45695.430983796294</v>
      </c>
      <c r="K371" s="28">
        <v>45863.464583333334</v>
      </c>
      <c r="L371" s="8" t="s">
        <v>286</v>
      </c>
      <c r="M371" s="8" t="s">
        <v>287</v>
      </c>
      <c r="N371" s="29">
        <v>0</v>
      </c>
      <c r="O371" s="29">
        <v>1</v>
      </c>
      <c r="P371" s="8" t="s">
        <v>35</v>
      </c>
      <c r="Q371" s="8" t="s">
        <v>36</v>
      </c>
      <c r="R371" s="8" t="s">
        <v>455</v>
      </c>
      <c r="S371" s="8" t="s">
        <v>38</v>
      </c>
      <c r="V371" s="26" t="str">
        <f>VLOOKUP(MID(Table1[[#This Row],[Nodo]],1,12),Tabla2[#Data],2,FALSE)</f>
        <v>EMBOBINADOR DE SCRAP</v>
      </c>
      <c r="W371" s="26" t="str">
        <f t="shared" si="6"/>
        <v>MEC</v>
      </c>
      <c r="X371" s="26" t="e">
        <f>VLOOKUP(MID([1]!Table1[[#This Row],[Nodo]],1,7),[1]!Tabla5[#Data],2,FALSE)</f>
        <v>#N/A</v>
      </c>
    </row>
    <row r="372" spans="1:24" x14ac:dyDescent="0.3">
      <c r="A372" s="8" t="s">
        <v>24</v>
      </c>
      <c r="B372" s="8" t="s">
        <v>279</v>
      </c>
      <c r="C372" s="8" t="s">
        <v>26</v>
      </c>
      <c r="D372" s="8" t="s">
        <v>452</v>
      </c>
      <c r="E372" s="8" t="s">
        <v>453</v>
      </c>
      <c r="F372" s="8" t="s">
        <v>457</v>
      </c>
      <c r="G372" s="8" t="s">
        <v>290</v>
      </c>
      <c r="H372" s="8" t="s">
        <v>291</v>
      </c>
      <c r="I372" s="8" t="s">
        <v>292</v>
      </c>
      <c r="J372" s="28">
        <v>45695.430983796294</v>
      </c>
      <c r="K372" s="28">
        <v>45863.464583333334</v>
      </c>
      <c r="L372" s="8" t="s">
        <v>286</v>
      </c>
      <c r="M372" s="8" t="s">
        <v>287</v>
      </c>
      <c r="N372" s="29">
        <v>0</v>
      </c>
      <c r="O372" s="29">
        <v>1</v>
      </c>
      <c r="P372" s="8" t="s">
        <v>35</v>
      </c>
      <c r="Q372" s="8" t="s">
        <v>36</v>
      </c>
      <c r="R372" s="8" t="s">
        <v>455</v>
      </c>
      <c r="S372" s="8" t="s">
        <v>38</v>
      </c>
      <c r="V372" s="26" t="str">
        <f>VLOOKUP(MID(Table1[[#This Row],[Nodo]],1,12),Tabla2[#Data],2,FALSE)</f>
        <v>EMBOBINADOR DE SCRAP</v>
      </c>
      <c r="W372" s="26" t="str">
        <f t="shared" si="6"/>
        <v>MEC</v>
      </c>
      <c r="X372" s="26" t="e">
        <f>VLOOKUP(MID([1]!Table1[[#This Row],[Nodo]],1,7),[1]!Tabla5[#Data],2,FALSE)</f>
        <v>#N/A</v>
      </c>
    </row>
    <row r="373" spans="1:24" x14ac:dyDescent="0.3">
      <c r="A373" s="8" t="s">
        <v>24</v>
      </c>
      <c r="B373" s="8" t="s">
        <v>279</v>
      </c>
      <c r="C373" s="8" t="s">
        <v>26</v>
      </c>
      <c r="D373" s="8" t="s">
        <v>452</v>
      </c>
      <c r="E373" s="8" t="s">
        <v>453</v>
      </c>
      <c r="F373" s="8" t="s">
        <v>458</v>
      </c>
      <c r="G373" s="8" t="s">
        <v>290</v>
      </c>
      <c r="H373" s="8" t="s">
        <v>291</v>
      </c>
      <c r="I373" s="8" t="s">
        <v>292</v>
      </c>
      <c r="J373" s="28">
        <v>45695.430983796294</v>
      </c>
      <c r="K373" s="28">
        <v>45863.464583333334</v>
      </c>
      <c r="L373" s="8" t="s">
        <v>286</v>
      </c>
      <c r="M373" s="8" t="s">
        <v>287</v>
      </c>
      <c r="N373" s="29">
        <v>0</v>
      </c>
      <c r="O373" s="29">
        <v>1</v>
      </c>
      <c r="P373" s="8" t="s">
        <v>35</v>
      </c>
      <c r="Q373" s="8" t="s">
        <v>36</v>
      </c>
      <c r="R373" s="8" t="s">
        <v>455</v>
      </c>
      <c r="S373" s="8" t="s">
        <v>38</v>
      </c>
      <c r="V373" s="26" t="str">
        <f>VLOOKUP(MID(Table1[[#This Row],[Nodo]],1,12),Tabla2[#Data],2,FALSE)</f>
        <v>EMBOBINADOR DE SCRAP</v>
      </c>
      <c r="W373" s="26" t="str">
        <f t="shared" si="6"/>
        <v>MEC</v>
      </c>
      <c r="X373" s="26" t="e">
        <f>VLOOKUP(MID([1]!Table1[[#This Row],[Nodo]],1,7),[1]!Tabla5[#Data],2,FALSE)</f>
        <v>#N/A</v>
      </c>
    </row>
    <row r="374" spans="1:24" x14ac:dyDescent="0.3">
      <c r="A374" s="8" t="s">
        <v>24</v>
      </c>
      <c r="B374" s="8" t="s">
        <v>279</v>
      </c>
      <c r="C374" s="8" t="s">
        <v>26</v>
      </c>
      <c r="D374" s="8" t="s">
        <v>452</v>
      </c>
      <c r="E374" s="8" t="s">
        <v>453</v>
      </c>
      <c r="F374" s="8" t="s">
        <v>459</v>
      </c>
      <c r="G374" s="8" t="s">
        <v>290</v>
      </c>
      <c r="H374" s="8" t="s">
        <v>291</v>
      </c>
      <c r="I374" s="8" t="s">
        <v>292</v>
      </c>
      <c r="J374" s="28">
        <v>45695.430983796294</v>
      </c>
      <c r="K374" s="28">
        <v>45863.464583333334</v>
      </c>
      <c r="L374" s="8" t="s">
        <v>286</v>
      </c>
      <c r="M374" s="8" t="s">
        <v>287</v>
      </c>
      <c r="N374" s="29">
        <v>0</v>
      </c>
      <c r="O374" s="29">
        <v>1</v>
      </c>
      <c r="P374" s="8" t="s">
        <v>35</v>
      </c>
      <c r="Q374" s="8" t="s">
        <v>36</v>
      </c>
      <c r="R374" s="8" t="s">
        <v>455</v>
      </c>
      <c r="S374" s="8" t="s">
        <v>38</v>
      </c>
      <c r="V374" s="26" t="str">
        <f>VLOOKUP(MID(Table1[[#This Row],[Nodo]],1,12),Tabla2[#Data],2,FALSE)</f>
        <v>EMBOBINADOR DE SCRAP</v>
      </c>
      <c r="W374" s="26" t="str">
        <f t="shared" si="6"/>
        <v>MEC</v>
      </c>
      <c r="X374" s="26" t="e">
        <f>VLOOKUP(MID([1]!Table1[[#This Row],[Nodo]],1,7),[1]!Tabla5[#Data],2,FALSE)</f>
        <v>#N/A</v>
      </c>
    </row>
    <row r="375" spans="1:24" x14ac:dyDescent="0.3">
      <c r="A375" s="8" t="s">
        <v>24</v>
      </c>
      <c r="B375" s="8" t="s">
        <v>279</v>
      </c>
      <c r="C375" s="8" t="s">
        <v>26</v>
      </c>
      <c r="D375" s="8" t="s">
        <v>452</v>
      </c>
      <c r="E375" s="8" t="s">
        <v>453</v>
      </c>
      <c r="F375" s="8" t="s">
        <v>460</v>
      </c>
      <c r="G375" s="8" t="s">
        <v>290</v>
      </c>
      <c r="H375" s="8" t="s">
        <v>291</v>
      </c>
      <c r="I375" s="8" t="s">
        <v>292</v>
      </c>
      <c r="J375" s="28">
        <v>45695.430983796294</v>
      </c>
      <c r="K375" s="28">
        <v>45863.464583333334</v>
      </c>
      <c r="L375" s="8" t="s">
        <v>286</v>
      </c>
      <c r="M375" s="8" t="s">
        <v>287</v>
      </c>
      <c r="N375" s="29">
        <v>0</v>
      </c>
      <c r="O375" s="29">
        <v>1</v>
      </c>
      <c r="P375" s="8" t="s">
        <v>35</v>
      </c>
      <c r="Q375" s="8" t="s">
        <v>36</v>
      </c>
      <c r="R375" s="8" t="s">
        <v>455</v>
      </c>
      <c r="S375" s="8" t="s">
        <v>38</v>
      </c>
      <c r="V375" s="26" t="str">
        <f>VLOOKUP(MID(Table1[[#This Row],[Nodo]],1,12),Tabla2[#Data],2,FALSE)</f>
        <v>EMBOBINADOR DE SCRAP</v>
      </c>
      <c r="W375" s="26" t="str">
        <f t="shared" si="6"/>
        <v>MEC</v>
      </c>
      <c r="X375" s="26" t="e">
        <f>VLOOKUP(MID([1]!Table1[[#This Row],[Nodo]],1,7),[1]!Tabla5[#Data],2,FALSE)</f>
        <v>#N/A</v>
      </c>
    </row>
    <row r="376" spans="1:24" x14ac:dyDescent="0.3">
      <c r="A376" s="8" t="s">
        <v>24</v>
      </c>
      <c r="B376" s="8" t="s">
        <v>279</v>
      </c>
      <c r="C376" s="8" t="s">
        <v>26</v>
      </c>
      <c r="D376" s="8" t="s">
        <v>452</v>
      </c>
      <c r="E376" s="8" t="s">
        <v>453</v>
      </c>
      <c r="F376" s="8" t="s">
        <v>454</v>
      </c>
      <c r="G376" s="8" t="s">
        <v>293</v>
      </c>
      <c r="H376" s="8" t="s">
        <v>294</v>
      </c>
      <c r="I376" s="8" t="s">
        <v>295</v>
      </c>
      <c r="J376" s="28">
        <v>45695.431018518517</v>
      </c>
      <c r="K376" s="28">
        <v>45863.464583333334</v>
      </c>
      <c r="L376" s="8" t="s">
        <v>286</v>
      </c>
      <c r="M376" s="8" t="s">
        <v>287</v>
      </c>
      <c r="N376" s="29">
        <v>0</v>
      </c>
      <c r="O376" s="29">
        <v>1</v>
      </c>
      <c r="P376" s="8" t="s">
        <v>35</v>
      </c>
      <c r="Q376" s="8" t="s">
        <v>36</v>
      </c>
      <c r="R376" s="8" t="s">
        <v>455</v>
      </c>
      <c r="S376" s="8" t="s">
        <v>38</v>
      </c>
      <c r="V376" s="26" t="str">
        <f>VLOOKUP(MID(Table1[[#This Row],[Nodo]],1,12),Tabla2[#Data],2,FALSE)</f>
        <v>ESTACION DE FORMADO</v>
      </c>
      <c r="W376" s="26" t="str">
        <f t="shared" si="6"/>
        <v>MEC</v>
      </c>
      <c r="X376" s="26" t="e">
        <f>VLOOKUP(MID([1]!Table1[[#This Row],[Nodo]],1,7),[1]!Tabla5[#Data],2,FALSE)</f>
        <v>#N/A</v>
      </c>
    </row>
    <row r="377" spans="1:24" x14ac:dyDescent="0.3">
      <c r="A377" s="8" t="s">
        <v>24</v>
      </c>
      <c r="B377" s="8" t="s">
        <v>279</v>
      </c>
      <c r="C377" s="8" t="s">
        <v>26</v>
      </c>
      <c r="D377" s="8" t="s">
        <v>452</v>
      </c>
      <c r="E377" s="8" t="s">
        <v>453</v>
      </c>
      <c r="F377" s="8" t="s">
        <v>456</v>
      </c>
      <c r="G377" s="8" t="s">
        <v>293</v>
      </c>
      <c r="H377" s="8" t="s">
        <v>294</v>
      </c>
      <c r="I377" s="8" t="s">
        <v>295</v>
      </c>
      <c r="J377" s="28">
        <v>45695.431018518517</v>
      </c>
      <c r="K377" s="28">
        <v>45863.464583333334</v>
      </c>
      <c r="L377" s="8" t="s">
        <v>286</v>
      </c>
      <c r="M377" s="8" t="s">
        <v>287</v>
      </c>
      <c r="N377" s="29">
        <v>0</v>
      </c>
      <c r="O377" s="29">
        <v>1</v>
      </c>
      <c r="P377" s="8" t="s">
        <v>35</v>
      </c>
      <c r="Q377" s="8" t="s">
        <v>36</v>
      </c>
      <c r="R377" s="8" t="s">
        <v>455</v>
      </c>
      <c r="S377" s="8" t="s">
        <v>38</v>
      </c>
      <c r="V377" s="26" t="str">
        <f>VLOOKUP(MID(Table1[[#This Row],[Nodo]],1,12),Tabla2[#Data],2,FALSE)</f>
        <v>ESTACION DE FORMADO</v>
      </c>
      <c r="W377" s="26" t="str">
        <f t="shared" si="6"/>
        <v>MEC</v>
      </c>
      <c r="X377" s="26" t="e">
        <f>VLOOKUP(MID([1]!Table1[[#This Row],[Nodo]],1,7),[1]!Tabla5[#Data],2,FALSE)</f>
        <v>#N/A</v>
      </c>
    </row>
    <row r="378" spans="1:24" x14ac:dyDescent="0.3">
      <c r="A378" s="8" t="s">
        <v>24</v>
      </c>
      <c r="B378" s="8" t="s">
        <v>279</v>
      </c>
      <c r="C378" s="8" t="s">
        <v>26</v>
      </c>
      <c r="D378" s="8" t="s">
        <v>452</v>
      </c>
      <c r="E378" s="8" t="s">
        <v>453</v>
      </c>
      <c r="F378" s="8" t="s">
        <v>457</v>
      </c>
      <c r="G378" s="8" t="s">
        <v>293</v>
      </c>
      <c r="H378" s="8" t="s">
        <v>294</v>
      </c>
      <c r="I378" s="8" t="s">
        <v>295</v>
      </c>
      <c r="J378" s="28">
        <v>45695.431018518517</v>
      </c>
      <c r="K378" s="28">
        <v>45863.464583333334</v>
      </c>
      <c r="L378" s="8" t="s">
        <v>286</v>
      </c>
      <c r="M378" s="8" t="s">
        <v>287</v>
      </c>
      <c r="N378" s="29">
        <v>0</v>
      </c>
      <c r="O378" s="29">
        <v>1</v>
      </c>
      <c r="P378" s="8" t="s">
        <v>35</v>
      </c>
      <c r="Q378" s="8" t="s">
        <v>36</v>
      </c>
      <c r="R378" s="8" t="s">
        <v>455</v>
      </c>
      <c r="S378" s="8" t="s">
        <v>38</v>
      </c>
      <c r="V378" s="26" t="str">
        <f>VLOOKUP(MID(Table1[[#This Row],[Nodo]],1,12),Tabla2[#Data],2,FALSE)</f>
        <v>ESTACION DE FORMADO</v>
      </c>
      <c r="W378" s="26" t="str">
        <f t="shared" si="6"/>
        <v>MEC</v>
      </c>
      <c r="X378" s="26" t="e">
        <f>VLOOKUP(MID([1]!Table1[[#This Row],[Nodo]],1,7),[1]!Tabla5[#Data],2,FALSE)</f>
        <v>#N/A</v>
      </c>
    </row>
    <row r="379" spans="1:24" x14ac:dyDescent="0.3">
      <c r="A379" s="8" t="s">
        <v>24</v>
      </c>
      <c r="B379" s="8" t="s">
        <v>279</v>
      </c>
      <c r="C379" s="8" t="s">
        <v>26</v>
      </c>
      <c r="D379" s="8" t="s">
        <v>452</v>
      </c>
      <c r="E379" s="8" t="s">
        <v>453</v>
      </c>
      <c r="F379" s="8" t="s">
        <v>458</v>
      </c>
      <c r="G379" s="8" t="s">
        <v>293</v>
      </c>
      <c r="H379" s="8" t="s">
        <v>294</v>
      </c>
      <c r="I379" s="8" t="s">
        <v>295</v>
      </c>
      <c r="J379" s="28">
        <v>45695.431018518517</v>
      </c>
      <c r="K379" s="28">
        <v>45863.464583333334</v>
      </c>
      <c r="L379" s="8" t="s">
        <v>286</v>
      </c>
      <c r="M379" s="8" t="s">
        <v>287</v>
      </c>
      <c r="N379" s="29">
        <v>0</v>
      </c>
      <c r="O379" s="29">
        <v>1</v>
      </c>
      <c r="P379" s="8" t="s">
        <v>35</v>
      </c>
      <c r="Q379" s="8" t="s">
        <v>36</v>
      </c>
      <c r="R379" s="8" t="s">
        <v>455</v>
      </c>
      <c r="S379" s="8" t="s">
        <v>38</v>
      </c>
      <c r="V379" s="26" t="str">
        <f>VLOOKUP(MID(Table1[[#This Row],[Nodo]],1,12),Tabla2[#Data],2,FALSE)</f>
        <v>ESTACION DE FORMADO</v>
      </c>
      <c r="W379" s="26" t="str">
        <f t="shared" si="6"/>
        <v>MEC</v>
      </c>
      <c r="X379" s="26" t="e">
        <f>VLOOKUP(MID([1]!Table1[[#This Row],[Nodo]],1,7),[1]!Tabla5[#Data],2,FALSE)</f>
        <v>#N/A</v>
      </c>
    </row>
    <row r="380" spans="1:24" x14ac:dyDescent="0.3">
      <c r="A380" s="8" t="s">
        <v>24</v>
      </c>
      <c r="B380" s="8" t="s">
        <v>279</v>
      </c>
      <c r="C380" s="8" t="s">
        <v>26</v>
      </c>
      <c r="D380" s="8" t="s">
        <v>452</v>
      </c>
      <c r="E380" s="8" t="s">
        <v>453</v>
      </c>
      <c r="F380" s="8" t="s">
        <v>459</v>
      </c>
      <c r="G380" s="8" t="s">
        <v>293</v>
      </c>
      <c r="H380" s="8" t="s">
        <v>294</v>
      </c>
      <c r="I380" s="8" t="s">
        <v>295</v>
      </c>
      <c r="J380" s="28">
        <v>45695.431018518517</v>
      </c>
      <c r="K380" s="28">
        <v>45863.464583333334</v>
      </c>
      <c r="L380" s="8" t="s">
        <v>286</v>
      </c>
      <c r="M380" s="8" t="s">
        <v>287</v>
      </c>
      <c r="N380" s="29">
        <v>0</v>
      </c>
      <c r="O380" s="29">
        <v>1</v>
      </c>
      <c r="P380" s="8" t="s">
        <v>35</v>
      </c>
      <c r="Q380" s="8" t="s">
        <v>36</v>
      </c>
      <c r="R380" s="8" t="s">
        <v>455</v>
      </c>
      <c r="S380" s="8" t="s">
        <v>38</v>
      </c>
      <c r="V380" s="26" t="str">
        <f>VLOOKUP(MID(Table1[[#This Row],[Nodo]],1,12),Tabla2[#Data],2,FALSE)</f>
        <v>ESTACION DE FORMADO</v>
      </c>
      <c r="W380" s="26" t="str">
        <f t="shared" si="6"/>
        <v>MEC</v>
      </c>
      <c r="X380" s="26" t="e">
        <f>VLOOKUP(MID([1]!Table1[[#This Row],[Nodo]],1,7),[1]!Tabla5[#Data],2,FALSE)</f>
        <v>#N/A</v>
      </c>
    </row>
    <row r="381" spans="1:24" x14ac:dyDescent="0.3">
      <c r="A381" s="8" t="s">
        <v>24</v>
      </c>
      <c r="B381" s="8" t="s">
        <v>279</v>
      </c>
      <c r="C381" s="8" t="s">
        <v>26</v>
      </c>
      <c r="D381" s="8" t="s">
        <v>452</v>
      </c>
      <c r="E381" s="8" t="s">
        <v>453</v>
      </c>
      <c r="F381" s="8" t="s">
        <v>460</v>
      </c>
      <c r="G381" s="8" t="s">
        <v>293</v>
      </c>
      <c r="H381" s="8" t="s">
        <v>294</v>
      </c>
      <c r="I381" s="8" t="s">
        <v>295</v>
      </c>
      <c r="J381" s="28">
        <v>45695.431018518517</v>
      </c>
      <c r="K381" s="28">
        <v>45863.464583333334</v>
      </c>
      <c r="L381" s="8" t="s">
        <v>286</v>
      </c>
      <c r="M381" s="8" t="s">
        <v>287</v>
      </c>
      <c r="N381" s="29">
        <v>0</v>
      </c>
      <c r="O381" s="29">
        <v>1</v>
      </c>
      <c r="P381" s="8" t="s">
        <v>35</v>
      </c>
      <c r="Q381" s="8" t="s">
        <v>36</v>
      </c>
      <c r="R381" s="8" t="s">
        <v>455</v>
      </c>
      <c r="S381" s="8" t="s">
        <v>38</v>
      </c>
      <c r="V381" s="26" t="str">
        <f>VLOOKUP(MID(Table1[[#This Row],[Nodo]],1,12),Tabla2[#Data],2,FALSE)</f>
        <v>ESTACION DE FORMADO</v>
      </c>
      <c r="W381" s="26" t="str">
        <f t="shared" si="6"/>
        <v>MEC</v>
      </c>
      <c r="X381" s="26" t="e">
        <f>VLOOKUP(MID([1]!Table1[[#This Row],[Nodo]],1,7),[1]!Tabla5[#Data],2,FALSE)</f>
        <v>#N/A</v>
      </c>
    </row>
    <row r="382" spans="1:24" x14ac:dyDescent="0.3">
      <c r="A382" s="8" t="s">
        <v>24</v>
      </c>
      <c r="B382" s="8" t="s">
        <v>279</v>
      </c>
      <c r="C382" s="8" t="s">
        <v>26</v>
      </c>
      <c r="D382" s="8" t="s">
        <v>452</v>
      </c>
      <c r="E382" s="8" t="s">
        <v>453</v>
      </c>
      <c r="F382" s="8" t="s">
        <v>454</v>
      </c>
      <c r="G382" s="8" t="s">
        <v>296</v>
      </c>
      <c r="H382" s="8" t="s">
        <v>297</v>
      </c>
      <c r="I382" s="8" t="s">
        <v>298</v>
      </c>
      <c r="J382" s="28">
        <v>45695.431041666663</v>
      </c>
      <c r="K382" s="28">
        <v>45863.464583333334</v>
      </c>
      <c r="L382" s="8" t="s">
        <v>286</v>
      </c>
      <c r="M382" s="8" t="s">
        <v>287</v>
      </c>
      <c r="N382" s="29">
        <v>0</v>
      </c>
      <c r="O382" s="29">
        <v>1</v>
      </c>
      <c r="P382" s="8" t="s">
        <v>35</v>
      </c>
      <c r="Q382" s="8" t="s">
        <v>36</v>
      </c>
      <c r="R382" s="8" t="s">
        <v>455</v>
      </c>
      <c r="S382" s="8" t="s">
        <v>38</v>
      </c>
      <c r="V382" s="26" t="str">
        <f>VLOOKUP(MID(Table1[[#This Row],[Nodo]],1,12),Tabla2[#Data],2,FALSE)</f>
        <v>PRECALENTADOR</v>
      </c>
      <c r="W382" s="26" t="str">
        <f t="shared" si="6"/>
        <v>MEC</v>
      </c>
      <c r="X382" s="26" t="e">
        <f>VLOOKUP(MID([1]!Table1[[#This Row],[Nodo]],1,7),[1]!Tabla5[#Data],2,FALSE)</f>
        <v>#N/A</v>
      </c>
    </row>
    <row r="383" spans="1:24" x14ac:dyDescent="0.3">
      <c r="A383" s="8" t="s">
        <v>24</v>
      </c>
      <c r="B383" s="8" t="s">
        <v>279</v>
      </c>
      <c r="C383" s="8" t="s">
        <v>26</v>
      </c>
      <c r="D383" s="8" t="s">
        <v>452</v>
      </c>
      <c r="E383" s="8" t="s">
        <v>453</v>
      </c>
      <c r="F383" s="8" t="s">
        <v>456</v>
      </c>
      <c r="G383" s="8" t="s">
        <v>296</v>
      </c>
      <c r="H383" s="8" t="s">
        <v>297</v>
      </c>
      <c r="I383" s="8" t="s">
        <v>298</v>
      </c>
      <c r="J383" s="28">
        <v>45695.431041666663</v>
      </c>
      <c r="K383" s="28">
        <v>45863.464583333334</v>
      </c>
      <c r="L383" s="8" t="s">
        <v>286</v>
      </c>
      <c r="M383" s="8" t="s">
        <v>287</v>
      </c>
      <c r="N383" s="29">
        <v>0</v>
      </c>
      <c r="O383" s="29">
        <v>1</v>
      </c>
      <c r="P383" s="8" t="s">
        <v>35</v>
      </c>
      <c r="Q383" s="8" t="s">
        <v>36</v>
      </c>
      <c r="R383" s="8" t="s">
        <v>455</v>
      </c>
      <c r="S383" s="8" t="s">
        <v>38</v>
      </c>
      <c r="V383" s="26" t="str">
        <f>VLOOKUP(MID(Table1[[#This Row],[Nodo]],1,12),Tabla2[#Data],2,FALSE)</f>
        <v>PRECALENTADOR</v>
      </c>
      <c r="W383" s="26" t="str">
        <f t="shared" si="6"/>
        <v>MEC</v>
      </c>
      <c r="X383" s="26" t="e">
        <f>VLOOKUP(MID([1]!Table1[[#This Row],[Nodo]],1,7),[1]!Tabla5[#Data],2,FALSE)</f>
        <v>#N/A</v>
      </c>
    </row>
    <row r="384" spans="1:24" x14ac:dyDescent="0.3">
      <c r="A384" s="8" t="s">
        <v>24</v>
      </c>
      <c r="B384" s="8" t="s">
        <v>279</v>
      </c>
      <c r="C384" s="8" t="s">
        <v>26</v>
      </c>
      <c r="D384" s="8" t="s">
        <v>452</v>
      </c>
      <c r="E384" s="8" t="s">
        <v>453</v>
      </c>
      <c r="F384" s="8" t="s">
        <v>457</v>
      </c>
      <c r="G384" s="8" t="s">
        <v>296</v>
      </c>
      <c r="H384" s="8" t="s">
        <v>297</v>
      </c>
      <c r="I384" s="8" t="s">
        <v>298</v>
      </c>
      <c r="J384" s="28">
        <v>45695.431041666663</v>
      </c>
      <c r="K384" s="28">
        <v>45863.464583333334</v>
      </c>
      <c r="L384" s="8" t="s">
        <v>286</v>
      </c>
      <c r="M384" s="8" t="s">
        <v>287</v>
      </c>
      <c r="N384" s="29">
        <v>0</v>
      </c>
      <c r="O384" s="29">
        <v>1</v>
      </c>
      <c r="P384" s="8" t="s">
        <v>35</v>
      </c>
      <c r="Q384" s="8" t="s">
        <v>36</v>
      </c>
      <c r="R384" s="8" t="s">
        <v>455</v>
      </c>
      <c r="S384" s="8" t="s">
        <v>38</v>
      </c>
      <c r="V384" s="26" t="str">
        <f>VLOOKUP(MID(Table1[[#This Row],[Nodo]],1,12),Tabla2[#Data],2,FALSE)</f>
        <v>PRECALENTADOR</v>
      </c>
      <c r="W384" s="26" t="str">
        <f t="shared" si="6"/>
        <v>MEC</v>
      </c>
      <c r="X384" s="26" t="e">
        <f>VLOOKUP(MID([1]!Table1[[#This Row],[Nodo]],1,7),[1]!Tabla5[#Data],2,FALSE)</f>
        <v>#N/A</v>
      </c>
    </row>
    <row r="385" spans="1:24" x14ac:dyDescent="0.3">
      <c r="A385" s="8" t="s">
        <v>24</v>
      </c>
      <c r="B385" s="8" t="s">
        <v>279</v>
      </c>
      <c r="C385" s="8" t="s">
        <v>26</v>
      </c>
      <c r="D385" s="8" t="s">
        <v>452</v>
      </c>
      <c r="E385" s="8" t="s">
        <v>453</v>
      </c>
      <c r="F385" s="8" t="s">
        <v>458</v>
      </c>
      <c r="G385" s="8" t="s">
        <v>296</v>
      </c>
      <c r="H385" s="8" t="s">
        <v>297</v>
      </c>
      <c r="I385" s="8" t="s">
        <v>298</v>
      </c>
      <c r="J385" s="28">
        <v>45695.431041666663</v>
      </c>
      <c r="K385" s="28">
        <v>45863.464583333334</v>
      </c>
      <c r="L385" s="8" t="s">
        <v>286</v>
      </c>
      <c r="M385" s="8" t="s">
        <v>287</v>
      </c>
      <c r="N385" s="29">
        <v>0</v>
      </c>
      <c r="O385" s="29">
        <v>1</v>
      </c>
      <c r="P385" s="8" t="s">
        <v>35</v>
      </c>
      <c r="Q385" s="8" t="s">
        <v>36</v>
      </c>
      <c r="R385" s="8" t="s">
        <v>455</v>
      </c>
      <c r="S385" s="8" t="s">
        <v>38</v>
      </c>
      <c r="V385" s="26" t="str">
        <f>VLOOKUP(MID(Table1[[#This Row],[Nodo]],1,12),Tabla2[#Data],2,FALSE)</f>
        <v>PRECALENTADOR</v>
      </c>
      <c r="W385" s="26" t="str">
        <f t="shared" si="6"/>
        <v>MEC</v>
      </c>
      <c r="X385" s="26" t="e">
        <f>VLOOKUP(MID([1]!Table1[[#This Row],[Nodo]],1,7),[1]!Tabla5[#Data],2,FALSE)</f>
        <v>#N/A</v>
      </c>
    </row>
    <row r="386" spans="1:24" x14ac:dyDescent="0.3">
      <c r="A386" s="8" t="s">
        <v>24</v>
      </c>
      <c r="B386" s="8" t="s">
        <v>279</v>
      </c>
      <c r="C386" s="8" t="s">
        <v>26</v>
      </c>
      <c r="D386" s="8" t="s">
        <v>452</v>
      </c>
      <c r="E386" s="8" t="s">
        <v>453</v>
      </c>
      <c r="F386" s="8" t="s">
        <v>459</v>
      </c>
      <c r="G386" s="8" t="s">
        <v>296</v>
      </c>
      <c r="H386" s="8" t="s">
        <v>297</v>
      </c>
      <c r="I386" s="8" t="s">
        <v>298</v>
      </c>
      <c r="J386" s="28">
        <v>45695.431041666663</v>
      </c>
      <c r="K386" s="28">
        <v>45863.464583333334</v>
      </c>
      <c r="L386" s="8" t="s">
        <v>286</v>
      </c>
      <c r="M386" s="8" t="s">
        <v>287</v>
      </c>
      <c r="N386" s="29">
        <v>0</v>
      </c>
      <c r="O386" s="29">
        <v>1</v>
      </c>
      <c r="P386" s="8" t="s">
        <v>35</v>
      </c>
      <c r="Q386" s="8" t="s">
        <v>36</v>
      </c>
      <c r="R386" s="8" t="s">
        <v>455</v>
      </c>
      <c r="S386" s="8" t="s">
        <v>38</v>
      </c>
      <c r="V386" s="26" t="str">
        <f>VLOOKUP(MID(Table1[[#This Row],[Nodo]],1,12),Tabla2[#Data],2,FALSE)</f>
        <v>PRECALENTADOR</v>
      </c>
      <c r="W386" s="26" t="str">
        <f t="shared" si="6"/>
        <v>MEC</v>
      </c>
      <c r="X386" s="26" t="e">
        <f>VLOOKUP(MID([1]!Table1[[#This Row],[Nodo]],1,7),[1]!Tabla5[#Data],2,FALSE)</f>
        <v>#N/A</v>
      </c>
    </row>
    <row r="387" spans="1:24" x14ac:dyDescent="0.3">
      <c r="A387" s="8" t="s">
        <v>24</v>
      </c>
      <c r="B387" s="8" t="s">
        <v>279</v>
      </c>
      <c r="C387" s="8" t="s">
        <v>26</v>
      </c>
      <c r="D387" s="8" t="s">
        <v>452</v>
      </c>
      <c r="E387" s="8" t="s">
        <v>453</v>
      </c>
      <c r="F387" s="8" t="s">
        <v>460</v>
      </c>
      <c r="G387" s="8" t="s">
        <v>296</v>
      </c>
      <c r="H387" s="8" t="s">
        <v>297</v>
      </c>
      <c r="I387" s="8" t="s">
        <v>298</v>
      </c>
      <c r="J387" s="28">
        <v>45695.431041666663</v>
      </c>
      <c r="K387" s="28">
        <v>45863.464583333334</v>
      </c>
      <c r="L387" s="8" t="s">
        <v>286</v>
      </c>
      <c r="M387" s="8" t="s">
        <v>287</v>
      </c>
      <c r="N387" s="29">
        <v>0</v>
      </c>
      <c r="O387" s="29">
        <v>1</v>
      </c>
      <c r="P387" s="8" t="s">
        <v>35</v>
      </c>
      <c r="Q387" s="8" t="s">
        <v>36</v>
      </c>
      <c r="R387" s="8" t="s">
        <v>455</v>
      </c>
      <c r="S387" s="8" t="s">
        <v>38</v>
      </c>
      <c r="V387" s="26" t="str">
        <f>VLOOKUP(MID(Table1[[#This Row],[Nodo]],1,12),Tabla2[#Data],2,FALSE)</f>
        <v>PRECALENTADOR</v>
      </c>
      <c r="W387" s="26" t="str">
        <f t="shared" ref="W387:W411" si="7">IF(MID(E387,1,3)="ELE","ELE",IF(MID(E387,1,3)="INS","ELE",IF(MID(E387,1,3)="MEC","MEC",IF(MID(E387,1,3)="LUB","MEC",IF(MID(E387,1,3)="IST","ELE"," ")))))</f>
        <v>MEC</v>
      </c>
      <c r="X387" s="26" t="e">
        <f>VLOOKUP(MID([1]!Table1[[#This Row],[Nodo]],1,7),[1]!Tabla5[#Data],2,FALSE)</f>
        <v>#N/A</v>
      </c>
    </row>
    <row r="388" spans="1:24" x14ac:dyDescent="0.3">
      <c r="A388" s="8" t="s">
        <v>24</v>
      </c>
      <c r="B388" s="8" t="s">
        <v>279</v>
      </c>
      <c r="C388" s="8" t="s">
        <v>26</v>
      </c>
      <c r="D388" s="8" t="s">
        <v>461</v>
      </c>
      <c r="E388" s="8" t="s">
        <v>462</v>
      </c>
      <c r="F388" s="8" t="s">
        <v>454</v>
      </c>
      <c r="G388" s="8" t="s">
        <v>290</v>
      </c>
      <c r="H388" s="8" t="s">
        <v>291</v>
      </c>
      <c r="I388" s="8" t="s">
        <v>292</v>
      </c>
      <c r="J388" s="28">
        <v>45695.430983796294</v>
      </c>
      <c r="K388" s="28">
        <v>45863.464583333334</v>
      </c>
      <c r="L388" s="8" t="s">
        <v>286</v>
      </c>
      <c r="M388" s="8" t="s">
        <v>287</v>
      </c>
      <c r="N388" s="29">
        <v>0</v>
      </c>
      <c r="O388" s="29">
        <v>1</v>
      </c>
      <c r="P388" s="8" t="s">
        <v>35</v>
      </c>
      <c r="Q388" s="8" t="s">
        <v>36</v>
      </c>
      <c r="R388" s="8" t="s">
        <v>463</v>
      </c>
      <c r="S388" s="8" t="s">
        <v>38</v>
      </c>
      <c r="V388" s="26" t="str">
        <f>VLOOKUP(MID(Table1[[#This Row],[Nodo]],1,12),Tabla2[#Data],2,FALSE)</f>
        <v>EMBOBINADOR DE SCRAP</v>
      </c>
      <c r="W388" s="26" t="str">
        <f t="shared" si="7"/>
        <v>MEC</v>
      </c>
      <c r="X388" s="26" t="e">
        <f>VLOOKUP(MID([1]!Table1[[#This Row],[Nodo]],1,7),[1]!Tabla5[#Data],2,FALSE)</f>
        <v>#N/A</v>
      </c>
    </row>
    <row r="389" spans="1:24" x14ac:dyDescent="0.3">
      <c r="A389" s="8" t="s">
        <v>24</v>
      </c>
      <c r="B389" s="8" t="s">
        <v>279</v>
      </c>
      <c r="C389" s="8" t="s">
        <v>26</v>
      </c>
      <c r="D389" s="8" t="s">
        <v>461</v>
      </c>
      <c r="E389" s="8" t="s">
        <v>462</v>
      </c>
      <c r="F389" s="8" t="s">
        <v>456</v>
      </c>
      <c r="G389" s="8" t="s">
        <v>290</v>
      </c>
      <c r="H389" s="8" t="s">
        <v>291</v>
      </c>
      <c r="I389" s="8" t="s">
        <v>292</v>
      </c>
      <c r="J389" s="28">
        <v>45695.430983796294</v>
      </c>
      <c r="K389" s="28">
        <v>45863.464583333334</v>
      </c>
      <c r="L389" s="8" t="s">
        <v>286</v>
      </c>
      <c r="M389" s="8" t="s">
        <v>287</v>
      </c>
      <c r="N389" s="29">
        <v>0</v>
      </c>
      <c r="O389" s="29">
        <v>1</v>
      </c>
      <c r="P389" s="8" t="s">
        <v>35</v>
      </c>
      <c r="Q389" s="8" t="s">
        <v>36</v>
      </c>
      <c r="R389" s="8" t="s">
        <v>463</v>
      </c>
      <c r="S389" s="8" t="s">
        <v>38</v>
      </c>
      <c r="V389" s="26" t="str">
        <f>VLOOKUP(MID(Table1[[#This Row],[Nodo]],1,12),Tabla2[#Data],2,FALSE)</f>
        <v>EMBOBINADOR DE SCRAP</v>
      </c>
      <c r="W389" s="26" t="str">
        <f t="shared" si="7"/>
        <v>MEC</v>
      </c>
      <c r="X389" s="26" t="e">
        <f>VLOOKUP(MID([1]!Table1[[#This Row],[Nodo]],1,7),[1]!Tabla5[#Data],2,FALSE)</f>
        <v>#N/A</v>
      </c>
    </row>
    <row r="390" spans="1:24" x14ac:dyDescent="0.3">
      <c r="A390" s="8" t="s">
        <v>24</v>
      </c>
      <c r="B390" s="8" t="s">
        <v>279</v>
      </c>
      <c r="C390" s="8" t="s">
        <v>26</v>
      </c>
      <c r="D390" s="8" t="s">
        <v>461</v>
      </c>
      <c r="E390" s="8" t="s">
        <v>462</v>
      </c>
      <c r="F390" s="8" t="s">
        <v>457</v>
      </c>
      <c r="G390" s="8" t="s">
        <v>290</v>
      </c>
      <c r="H390" s="8" t="s">
        <v>291</v>
      </c>
      <c r="I390" s="8" t="s">
        <v>292</v>
      </c>
      <c r="J390" s="28">
        <v>45695.430983796294</v>
      </c>
      <c r="K390" s="28">
        <v>45863.464583333334</v>
      </c>
      <c r="L390" s="8" t="s">
        <v>286</v>
      </c>
      <c r="M390" s="8" t="s">
        <v>287</v>
      </c>
      <c r="N390" s="29">
        <v>0</v>
      </c>
      <c r="O390" s="29">
        <v>1</v>
      </c>
      <c r="P390" s="8" t="s">
        <v>35</v>
      </c>
      <c r="Q390" s="8" t="s">
        <v>36</v>
      </c>
      <c r="R390" s="8" t="s">
        <v>463</v>
      </c>
      <c r="S390" s="8" t="s">
        <v>38</v>
      </c>
      <c r="V390" s="26" t="str">
        <f>VLOOKUP(MID(Table1[[#This Row],[Nodo]],1,12),Tabla2[#Data],2,FALSE)</f>
        <v>EMBOBINADOR DE SCRAP</v>
      </c>
      <c r="W390" s="26" t="str">
        <f t="shared" si="7"/>
        <v>MEC</v>
      </c>
      <c r="X390" s="26" t="e">
        <f>VLOOKUP(MID([1]!Table1[[#This Row],[Nodo]],1,7),[1]!Tabla5[#Data],2,FALSE)</f>
        <v>#N/A</v>
      </c>
    </row>
    <row r="391" spans="1:24" x14ac:dyDescent="0.3">
      <c r="A391" s="8" t="s">
        <v>24</v>
      </c>
      <c r="B391" s="8" t="s">
        <v>279</v>
      </c>
      <c r="C391" s="8" t="s">
        <v>26</v>
      </c>
      <c r="D391" s="8" t="s">
        <v>461</v>
      </c>
      <c r="E391" s="8" t="s">
        <v>462</v>
      </c>
      <c r="F391" s="8" t="s">
        <v>458</v>
      </c>
      <c r="G391" s="8" t="s">
        <v>290</v>
      </c>
      <c r="H391" s="8" t="s">
        <v>291</v>
      </c>
      <c r="I391" s="8" t="s">
        <v>292</v>
      </c>
      <c r="J391" s="28">
        <v>45695.430983796294</v>
      </c>
      <c r="K391" s="28">
        <v>45863.464583333334</v>
      </c>
      <c r="L391" s="8" t="s">
        <v>286</v>
      </c>
      <c r="M391" s="8" t="s">
        <v>287</v>
      </c>
      <c r="N391" s="29">
        <v>0</v>
      </c>
      <c r="O391" s="29">
        <v>1</v>
      </c>
      <c r="P391" s="8" t="s">
        <v>35</v>
      </c>
      <c r="Q391" s="8" t="s">
        <v>36</v>
      </c>
      <c r="R391" s="8" t="s">
        <v>463</v>
      </c>
      <c r="S391" s="8" t="s">
        <v>38</v>
      </c>
      <c r="V391" s="26" t="str">
        <f>VLOOKUP(MID(Table1[[#This Row],[Nodo]],1,12),Tabla2[#Data],2,FALSE)</f>
        <v>EMBOBINADOR DE SCRAP</v>
      </c>
      <c r="W391" s="26" t="str">
        <f t="shared" si="7"/>
        <v>MEC</v>
      </c>
      <c r="X391" s="26" t="e">
        <f>VLOOKUP(MID([1]!Table1[[#This Row],[Nodo]],1,7),[1]!Tabla5[#Data],2,FALSE)</f>
        <v>#N/A</v>
      </c>
    </row>
    <row r="392" spans="1:24" x14ac:dyDescent="0.3">
      <c r="A392" s="8" t="s">
        <v>24</v>
      </c>
      <c r="B392" s="8" t="s">
        <v>279</v>
      </c>
      <c r="C392" s="8" t="s">
        <v>26</v>
      </c>
      <c r="D392" s="8" t="s">
        <v>461</v>
      </c>
      <c r="E392" s="8" t="s">
        <v>462</v>
      </c>
      <c r="F392" s="8" t="s">
        <v>459</v>
      </c>
      <c r="G392" s="8" t="s">
        <v>290</v>
      </c>
      <c r="H392" s="8" t="s">
        <v>291</v>
      </c>
      <c r="I392" s="8" t="s">
        <v>292</v>
      </c>
      <c r="J392" s="28">
        <v>45695.430983796294</v>
      </c>
      <c r="K392" s="28">
        <v>45863.464583333334</v>
      </c>
      <c r="L392" s="8" t="s">
        <v>286</v>
      </c>
      <c r="M392" s="8" t="s">
        <v>287</v>
      </c>
      <c r="N392" s="29">
        <v>0</v>
      </c>
      <c r="O392" s="29">
        <v>1</v>
      </c>
      <c r="P392" s="8" t="s">
        <v>35</v>
      </c>
      <c r="Q392" s="8" t="s">
        <v>36</v>
      </c>
      <c r="R392" s="8" t="s">
        <v>463</v>
      </c>
      <c r="S392" s="8" t="s">
        <v>38</v>
      </c>
      <c r="V392" s="26" t="str">
        <f>VLOOKUP(MID(Table1[[#This Row],[Nodo]],1,12),Tabla2[#Data],2,FALSE)</f>
        <v>EMBOBINADOR DE SCRAP</v>
      </c>
      <c r="W392" s="26" t="str">
        <f t="shared" si="7"/>
        <v>MEC</v>
      </c>
      <c r="X392" s="26" t="e">
        <f>VLOOKUP(MID([1]!Table1[[#This Row],[Nodo]],1,7),[1]!Tabla5[#Data],2,FALSE)</f>
        <v>#N/A</v>
      </c>
    </row>
    <row r="393" spans="1:24" x14ac:dyDescent="0.3">
      <c r="A393" s="8" t="s">
        <v>24</v>
      </c>
      <c r="B393" s="8" t="s">
        <v>279</v>
      </c>
      <c r="C393" s="8" t="s">
        <v>26</v>
      </c>
      <c r="D393" s="8" t="s">
        <v>461</v>
      </c>
      <c r="E393" s="8" t="s">
        <v>462</v>
      </c>
      <c r="F393" s="8" t="s">
        <v>460</v>
      </c>
      <c r="G393" s="8" t="s">
        <v>290</v>
      </c>
      <c r="H393" s="8" t="s">
        <v>291</v>
      </c>
      <c r="I393" s="8" t="s">
        <v>292</v>
      </c>
      <c r="J393" s="28">
        <v>45695.430983796294</v>
      </c>
      <c r="K393" s="28">
        <v>45863.464583333334</v>
      </c>
      <c r="L393" s="8" t="s">
        <v>286</v>
      </c>
      <c r="M393" s="8" t="s">
        <v>287</v>
      </c>
      <c r="N393" s="29">
        <v>0</v>
      </c>
      <c r="O393" s="29">
        <v>1</v>
      </c>
      <c r="P393" s="8" t="s">
        <v>35</v>
      </c>
      <c r="Q393" s="8" t="s">
        <v>36</v>
      </c>
      <c r="R393" s="8" t="s">
        <v>463</v>
      </c>
      <c r="S393" s="8" t="s">
        <v>38</v>
      </c>
      <c r="V393" s="26" t="str">
        <f>VLOOKUP(MID(Table1[[#This Row],[Nodo]],1,12),Tabla2[#Data],2,FALSE)</f>
        <v>EMBOBINADOR DE SCRAP</v>
      </c>
      <c r="W393" s="26" t="str">
        <f t="shared" si="7"/>
        <v>MEC</v>
      </c>
      <c r="X393" s="26" t="e">
        <f>VLOOKUP(MID([1]!Table1[[#This Row],[Nodo]],1,7),[1]!Tabla5[#Data],2,FALSE)</f>
        <v>#N/A</v>
      </c>
    </row>
    <row r="394" spans="1:24" x14ac:dyDescent="0.3">
      <c r="A394" s="8" t="s">
        <v>24</v>
      </c>
      <c r="B394" s="8" t="s">
        <v>279</v>
      </c>
      <c r="C394" s="8" t="s">
        <v>26</v>
      </c>
      <c r="D394" s="8" t="s">
        <v>461</v>
      </c>
      <c r="E394" s="8" t="s">
        <v>462</v>
      </c>
      <c r="F394" s="8" t="s">
        <v>464</v>
      </c>
      <c r="G394" s="8" t="s">
        <v>290</v>
      </c>
      <c r="H394" s="8" t="s">
        <v>291</v>
      </c>
      <c r="I394" s="8" t="s">
        <v>292</v>
      </c>
      <c r="J394" s="28">
        <v>45695.430983796294</v>
      </c>
      <c r="K394" s="28">
        <v>45863.464583333334</v>
      </c>
      <c r="L394" s="8" t="s">
        <v>286</v>
      </c>
      <c r="M394" s="8" t="s">
        <v>287</v>
      </c>
      <c r="N394" s="29">
        <v>0</v>
      </c>
      <c r="O394" s="29">
        <v>1</v>
      </c>
      <c r="P394" s="8" t="s">
        <v>35</v>
      </c>
      <c r="Q394" s="8" t="s">
        <v>36</v>
      </c>
      <c r="R394" s="8" t="s">
        <v>463</v>
      </c>
      <c r="S394" s="8" t="s">
        <v>38</v>
      </c>
      <c r="V394" s="26" t="str">
        <f>VLOOKUP(MID(Table1[[#This Row],[Nodo]],1,12),Tabla2[#Data],2,FALSE)</f>
        <v>EMBOBINADOR DE SCRAP</v>
      </c>
      <c r="W394" s="26" t="str">
        <f t="shared" si="7"/>
        <v>MEC</v>
      </c>
      <c r="X394" s="26" t="e">
        <f>VLOOKUP(MID([1]!Table1[[#This Row],[Nodo]],1,7),[1]!Tabla5[#Data],2,FALSE)</f>
        <v>#N/A</v>
      </c>
    </row>
    <row r="395" spans="1:24" x14ac:dyDescent="0.3">
      <c r="A395" s="8" t="s">
        <v>24</v>
      </c>
      <c r="B395" s="8" t="s">
        <v>279</v>
      </c>
      <c r="C395" s="8" t="s">
        <v>26</v>
      </c>
      <c r="D395" s="8" t="s">
        <v>461</v>
      </c>
      <c r="E395" s="8" t="s">
        <v>462</v>
      </c>
      <c r="F395" s="8" t="s">
        <v>454</v>
      </c>
      <c r="G395" s="8" t="s">
        <v>293</v>
      </c>
      <c r="H395" s="8" t="s">
        <v>294</v>
      </c>
      <c r="I395" s="8" t="s">
        <v>295</v>
      </c>
      <c r="J395" s="28">
        <v>45695.431018518517</v>
      </c>
      <c r="K395" s="28">
        <v>45863.464583333334</v>
      </c>
      <c r="L395" s="8" t="s">
        <v>286</v>
      </c>
      <c r="M395" s="8" t="s">
        <v>287</v>
      </c>
      <c r="N395" s="29">
        <v>0</v>
      </c>
      <c r="O395" s="29">
        <v>1</v>
      </c>
      <c r="P395" s="8" t="s">
        <v>35</v>
      </c>
      <c r="Q395" s="8" t="s">
        <v>36</v>
      </c>
      <c r="R395" s="8" t="s">
        <v>463</v>
      </c>
      <c r="S395" s="8" t="s">
        <v>38</v>
      </c>
      <c r="V395" s="26" t="str">
        <f>VLOOKUP(MID(Table1[[#This Row],[Nodo]],1,12),Tabla2[#Data],2,FALSE)</f>
        <v>ESTACION DE FORMADO</v>
      </c>
      <c r="W395" s="26" t="str">
        <f t="shared" si="7"/>
        <v>MEC</v>
      </c>
      <c r="X395" s="26" t="e">
        <f>VLOOKUP(MID([1]!Table1[[#This Row],[Nodo]],1,7),[1]!Tabla5[#Data],2,FALSE)</f>
        <v>#N/A</v>
      </c>
    </row>
    <row r="396" spans="1:24" x14ac:dyDescent="0.3">
      <c r="A396" s="8" t="s">
        <v>24</v>
      </c>
      <c r="B396" s="8" t="s">
        <v>279</v>
      </c>
      <c r="C396" s="8" t="s">
        <v>26</v>
      </c>
      <c r="D396" s="8" t="s">
        <v>461</v>
      </c>
      <c r="E396" s="8" t="s">
        <v>462</v>
      </c>
      <c r="F396" s="8" t="s">
        <v>456</v>
      </c>
      <c r="G396" s="8" t="s">
        <v>293</v>
      </c>
      <c r="H396" s="8" t="s">
        <v>294</v>
      </c>
      <c r="I396" s="8" t="s">
        <v>295</v>
      </c>
      <c r="J396" s="28">
        <v>45695.431018518517</v>
      </c>
      <c r="K396" s="28">
        <v>45863.464583333334</v>
      </c>
      <c r="L396" s="8" t="s">
        <v>286</v>
      </c>
      <c r="M396" s="8" t="s">
        <v>287</v>
      </c>
      <c r="N396" s="29">
        <v>0</v>
      </c>
      <c r="O396" s="29">
        <v>1</v>
      </c>
      <c r="P396" s="8" t="s">
        <v>35</v>
      </c>
      <c r="Q396" s="8" t="s">
        <v>36</v>
      </c>
      <c r="R396" s="8" t="s">
        <v>463</v>
      </c>
      <c r="S396" s="8" t="s">
        <v>38</v>
      </c>
      <c r="V396" s="26" t="str">
        <f>VLOOKUP(MID(Table1[[#This Row],[Nodo]],1,12),Tabla2[#Data],2,FALSE)</f>
        <v>ESTACION DE FORMADO</v>
      </c>
      <c r="W396" s="26" t="str">
        <f t="shared" si="7"/>
        <v>MEC</v>
      </c>
      <c r="X396" s="26" t="e">
        <f>VLOOKUP(MID([1]!Table1[[#This Row],[Nodo]],1,7),[1]!Tabla5[#Data],2,FALSE)</f>
        <v>#N/A</v>
      </c>
    </row>
    <row r="397" spans="1:24" x14ac:dyDescent="0.3">
      <c r="A397" s="8" t="s">
        <v>24</v>
      </c>
      <c r="B397" s="8" t="s">
        <v>279</v>
      </c>
      <c r="C397" s="8" t="s">
        <v>26</v>
      </c>
      <c r="D397" s="8" t="s">
        <v>461</v>
      </c>
      <c r="E397" s="8" t="s">
        <v>462</v>
      </c>
      <c r="F397" s="8" t="s">
        <v>457</v>
      </c>
      <c r="G397" s="8" t="s">
        <v>293</v>
      </c>
      <c r="H397" s="8" t="s">
        <v>294</v>
      </c>
      <c r="I397" s="8" t="s">
        <v>295</v>
      </c>
      <c r="J397" s="28">
        <v>45695.431018518517</v>
      </c>
      <c r="K397" s="28">
        <v>45863.464583333334</v>
      </c>
      <c r="L397" s="8" t="s">
        <v>286</v>
      </c>
      <c r="M397" s="8" t="s">
        <v>287</v>
      </c>
      <c r="N397" s="29">
        <v>0</v>
      </c>
      <c r="O397" s="29">
        <v>1</v>
      </c>
      <c r="P397" s="8" t="s">
        <v>35</v>
      </c>
      <c r="Q397" s="8" t="s">
        <v>36</v>
      </c>
      <c r="R397" s="8" t="s">
        <v>463</v>
      </c>
      <c r="S397" s="8" t="s">
        <v>38</v>
      </c>
      <c r="V397" s="26" t="str">
        <f>VLOOKUP(MID(Table1[[#This Row],[Nodo]],1,12),Tabla2[#Data],2,FALSE)</f>
        <v>ESTACION DE FORMADO</v>
      </c>
      <c r="W397" s="26" t="str">
        <f t="shared" si="7"/>
        <v>MEC</v>
      </c>
      <c r="X397" s="26" t="e">
        <f>VLOOKUP(MID([1]!Table1[[#This Row],[Nodo]],1,7),[1]!Tabla5[#Data],2,FALSE)</f>
        <v>#N/A</v>
      </c>
    </row>
    <row r="398" spans="1:24" x14ac:dyDescent="0.3">
      <c r="A398" s="8" t="s">
        <v>24</v>
      </c>
      <c r="B398" s="8" t="s">
        <v>279</v>
      </c>
      <c r="C398" s="8" t="s">
        <v>26</v>
      </c>
      <c r="D398" s="8" t="s">
        <v>461</v>
      </c>
      <c r="E398" s="8" t="s">
        <v>462</v>
      </c>
      <c r="F398" s="8" t="s">
        <v>458</v>
      </c>
      <c r="G398" s="8" t="s">
        <v>293</v>
      </c>
      <c r="H398" s="8" t="s">
        <v>294</v>
      </c>
      <c r="I398" s="8" t="s">
        <v>295</v>
      </c>
      <c r="J398" s="28">
        <v>45695.431018518517</v>
      </c>
      <c r="K398" s="28">
        <v>45863.464583333334</v>
      </c>
      <c r="L398" s="8" t="s">
        <v>286</v>
      </c>
      <c r="M398" s="8" t="s">
        <v>287</v>
      </c>
      <c r="N398" s="29">
        <v>0</v>
      </c>
      <c r="O398" s="29">
        <v>1</v>
      </c>
      <c r="P398" s="8" t="s">
        <v>35</v>
      </c>
      <c r="Q398" s="8" t="s">
        <v>36</v>
      </c>
      <c r="R398" s="8" t="s">
        <v>463</v>
      </c>
      <c r="S398" s="8" t="s">
        <v>38</v>
      </c>
      <c r="V398" s="26" t="str">
        <f>VLOOKUP(MID(Table1[[#This Row],[Nodo]],1,12),Tabla2[#Data],2,FALSE)</f>
        <v>ESTACION DE FORMADO</v>
      </c>
      <c r="W398" s="26" t="str">
        <f t="shared" si="7"/>
        <v>MEC</v>
      </c>
      <c r="X398" s="26" t="e">
        <f>VLOOKUP(MID([1]!Table1[[#This Row],[Nodo]],1,7),[1]!Tabla5[#Data],2,FALSE)</f>
        <v>#N/A</v>
      </c>
    </row>
    <row r="399" spans="1:24" x14ac:dyDescent="0.3">
      <c r="A399" s="8" t="s">
        <v>24</v>
      </c>
      <c r="B399" s="8" t="s">
        <v>279</v>
      </c>
      <c r="C399" s="8" t="s">
        <v>26</v>
      </c>
      <c r="D399" s="8" t="s">
        <v>461</v>
      </c>
      <c r="E399" s="8" t="s">
        <v>462</v>
      </c>
      <c r="F399" s="8" t="s">
        <v>459</v>
      </c>
      <c r="G399" s="8" t="s">
        <v>293</v>
      </c>
      <c r="H399" s="8" t="s">
        <v>294</v>
      </c>
      <c r="I399" s="8" t="s">
        <v>295</v>
      </c>
      <c r="J399" s="28">
        <v>45695.431018518517</v>
      </c>
      <c r="K399" s="28">
        <v>45863.464583333334</v>
      </c>
      <c r="L399" s="8" t="s">
        <v>286</v>
      </c>
      <c r="M399" s="8" t="s">
        <v>287</v>
      </c>
      <c r="N399" s="29">
        <v>0</v>
      </c>
      <c r="O399" s="29">
        <v>1</v>
      </c>
      <c r="P399" s="8" t="s">
        <v>35</v>
      </c>
      <c r="Q399" s="8" t="s">
        <v>36</v>
      </c>
      <c r="R399" s="8" t="s">
        <v>463</v>
      </c>
      <c r="S399" s="8" t="s">
        <v>38</v>
      </c>
      <c r="V399" s="26" t="str">
        <f>VLOOKUP(MID(Table1[[#This Row],[Nodo]],1,12),Tabla2[#Data],2,FALSE)</f>
        <v>ESTACION DE FORMADO</v>
      </c>
      <c r="W399" s="26" t="str">
        <f t="shared" si="7"/>
        <v>MEC</v>
      </c>
      <c r="X399" s="26" t="e">
        <f>VLOOKUP(MID([1]!Table1[[#This Row],[Nodo]],1,7),[1]!Tabla5[#Data],2,FALSE)</f>
        <v>#N/A</v>
      </c>
    </row>
    <row r="400" spans="1:24" x14ac:dyDescent="0.3">
      <c r="A400" s="8" t="s">
        <v>24</v>
      </c>
      <c r="B400" s="8" t="s">
        <v>279</v>
      </c>
      <c r="C400" s="8" t="s">
        <v>26</v>
      </c>
      <c r="D400" s="8" t="s">
        <v>461</v>
      </c>
      <c r="E400" s="8" t="s">
        <v>462</v>
      </c>
      <c r="F400" s="8" t="s">
        <v>460</v>
      </c>
      <c r="G400" s="8" t="s">
        <v>293</v>
      </c>
      <c r="H400" s="8" t="s">
        <v>294</v>
      </c>
      <c r="I400" s="8" t="s">
        <v>295</v>
      </c>
      <c r="J400" s="28">
        <v>45695.431018518517</v>
      </c>
      <c r="K400" s="28">
        <v>45863.464583333334</v>
      </c>
      <c r="L400" s="8" t="s">
        <v>286</v>
      </c>
      <c r="M400" s="8" t="s">
        <v>287</v>
      </c>
      <c r="N400" s="29">
        <v>0</v>
      </c>
      <c r="O400" s="29">
        <v>1</v>
      </c>
      <c r="P400" s="8" t="s">
        <v>35</v>
      </c>
      <c r="Q400" s="8" t="s">
        <v>36</v>
      </c>
      <c r="R400" s="8" t="s">
        <v>463</v>
      </c>
      <c r="S400" s="8" t="s">
        <v>38</v>
      </c>
      <c r="V400" s="26" t="str">
        <f>VLOOKUP(MID(Table1[[#This Row],[Nodo]],1,12),Tabla2[#Data],2,FALSE)</f>
        <v>ESTACION DE FORMADO</v>
      </c>
      <c r="W400" s="26" t="str">
        <f t="shared" si="7"/>
        <v>MEC</v>
      </c>
      <c r="X400" s="26" t="e">
        <f>VLOOKUP(MID([1]!Table1[[#This Row],[Nodo]],1,7),[1]!Tabla5[#Data],2,FALSE)</f>
        <v>#N/A</v>
      </c>
    </row>
    <row r="401" spans="1:24" x14ac:dyDescent="0.3">
      <c r="A401" s="8" t="s">
        <v>24</v>
      </c>
      <c r="B401" s="8" t="s">
        <v>279</v>
      </c>
      <c r="C401" s="8" t="s">
        <v>26</v>
      </c>
      <c r="D401" s="8" t="s">
        <v>461</v>
      </c>
      <c r="E401" s="8" t="s">
        <v>462</v>
      </c>
      <c r="F401" s="8" t="s">
        <v>464</v>
      </c>
      <c r="G401" s="8" t="s">
        <v>293</v>
      </c>
      <c r="H401" s="8" t="s">
        <v>294</v>
      </c>
      <c r="I401" s="8" t="s">
        <v>295</v>
      </c>
      <c r="J401" s="28">
        <v>45695.431018518517</v>
      </c>
      <c r="K401" s="28">
        <v>45863.464583333334</v>
      </c>
      <c r="L401" s="8" t="s">
        <v>286</v>
      </c>
      <c r="M401" s="8" t="s">
        <v>287</v>
      </c>
      <c r="N401" s="29">
        <v>0</v>
      </c>
      <c r="O401" s="29">
        <v>1</v>
      </c>
      <c r="P401" s="8" t="s">
        <v>35</v>
      </c>
      <c r="Q401" s="8" t="s">
        <v>36</v>
      </c>
      <c r="R401" s="8" t="s">
        <v>463</v>
      </c>
      <c r="S401" s="8" t="s">
        <v>38</v>
      </c>
      <c r="V401" s="26" t="str">
        <f>VLOOKUP(MID(Table1[[#This Row],[Nodo]],1,12),Tabla2[#Data],2,FALSE)</f>
        <v>ESTACION DE FORMADO</v>
      </c>
      <c r="W401" s="26" t="str">
        <f t="shared" si="7"/>
        <v>MEC</v>
      </c>
      <c r="X401" s="26" t="e">
        <f>VLOOKUP(MID([1]!Table1[[#This Row],[Nodo]],1,7),[1]!Tabla5[#Data],2,FALSE)</f>
        <v>#N/A</v>
      </c>
    </row>
    <row r="402" spans="1:24" x14ac:dyDescent="0.3">
      <c r="A402" s="8" t="s">
        <v>24</v>
      </c>
      <c r="B402" s="8" t="s">
        <v>279</v>
      </c>
      <c r="C402" s="8" t="s">
        <v>26</v>
      </c>
      <c r="D402" s="8" t="s">
        <v>461</v>
      </c>
      <c r="E402" s="8" t="s">
        <v>462</v>
      </c>
      <c r="F402" s="8" t="s">
        <v>454</v>
      </c>
      <c r="G402" s="8" t="s">
        <v>296</v>
      </c>
      <c r="H402" s="8" t="s">
        <v>297</v>
      </c>
      <c r="I402" s="8" t="s">
        <v>298</v>
      </c>
      <c r="J402" s="28">
        <v>45695.431041666663</v>
      </c>
      <c r="K402" s="28">
        <v>45863.464583333334</v>
      </c>
      <c r="L402" s="8" t="s">
        <v>286</v>
      </c>
      <c r="M402" s="8" t="s">
        <v>287</v>
      </c>
      <c r="N402" s="29">
        <v>0</v>
      </c>
      <c r="O402" s="29">
        <v>1</v>
      </c>
      <c r="P402" s="8" t="s">
        <v>35</v>
      </c>
      <c r="Q402" s="8" t="s">
        <v>36</v>
      </c>
      <c r="R402" s="8" t="s">
        <v>463</v>
      </c>
      <c r="S402" s="8" t="s">
        <v>38</v>
      </c>
      <c r="V402" s="26" t="str">
        <f>VLOOKUP(MID(Table1[[#This Row],[Nodo]],1,12),Tabla2[#Data],2,FALSE)</f>
        <v>PRECALENTADOR</v>
      </c>
      <c r="W402" s="26" t="str">
        <f t="shared" si="7"/>
        <v>MEC</v>
      </c>
      <c r="X402" s="26" t="e">
        <f>VLOOKUP(MID([1]!Table1[[#This Row],[Nodo]],1,7),[1]!Tabla5[#Data],2,FALSE)</f>
        <v>#N/A</v>
      </c>
    </row>
    <row r="403" spans="1:24" x14ac:dyDescent="0.3">
      <c r="A403" s="8" t="s">
        <v>24</v>
      </c>
      <c r="B403" s="8" t="s">
        <v>279</v>
      </c>
      <c r="C403" s="8" t="s">
        <v>26</v>
      </c>
      <c r="D403" s="8" t="s">
        <v>461</v>
      </c>
      <c r="E403" s="8" t="s">
        <v>462</v>
      </c>
      <c r="F403" s="8" t="s">
        <v>456</v>
      </c>
      <c r="G403" s="8" t="s">
        <v>296</v>
      </c>
      <c r="H403" s="8" t="s">
        <v>297</v>
      </c>
      <c r="I403" s="8" t="s">
        <v>298</v>
      </c>
      <c r="J403" s="28">
        <v>45695.431041666663</v>
      </c>
      <c r="K403" s="28">
        <v>45863.464583333334</v>
      </c>
      <c r="L403" s="8" t="s">
        <v>286</v>
      </c>
      <c r="M403" s="8" t="s">
        <v>287</v>
      </c>
      <c r="N403" s="29">
        <v>0</v>
      </c>
      <c r="O403" s="29">
        <v>1</v>
      </c>
      <c r="P403" s="8" t="s">
        <v>35</v>
      </c>
      <c r="Q403" s="8" t="s">
        <v>36</v>
      </c>
      <c r="R403" s="8" t="s">
        <v>463</v>
      </c>
      <c r="S403" s="8" t="s">
        <v>38</v>
      </c>
      <c r="V403" s="26" t="str">
        <f>VLOOKUP(MID(Table1[[#This Row],[Nodo]],1,12),Tabla2[#Data],2,FALSE)</f>
        <v>PRECALENTADOR</v>
      </c>
      <c r="W403" s="26" t="str">
        <f t="shared" si="7"/>
        <v>MEC</v>
      </c>
      <c r="X403" s="26" t="e">
        <f>VLOOKUP(MID([1]!Table1[[#This Row],[Nodo]],1,7),[1]!Tabla5[#Data],2,FALSE)</f>
        <v>#N/A</v>
      </c>
    </row>
    <row r="404" spans="1:24" x14ac:dyDescent="0.3">
      <c r="A404" s="8" t="s">
        <v>24</v>
      </c>
      <c r="B404" s="8" t="s">
        <v>279</v>
      </c>
      <c r="C404" s="8" t="s">
        <v>26</v>
      </c>
      <c r="D404" s="8" t="s">
        <v>461</v>
      </c>
      <c r="E404" s="8" t="s">
        <v>462</v>
      </c>
      <c r="F404" s="8" t="s">
        <v>457</v>
      </c>
      <c r="G404" s="8" t="s">
        <v>296</v>
      </c>
      <c r="H404" s="8" t="s">
        <v>297</v>
      </c>
      <c r="I404" s="8" t="s">
        <v>298</v>
      </c>
      <c r="J404" s="28">
        <v>45695.431041666663</v>
      </c>
      <c r="K404" s="28">
        <v>45863.464583333334</v>
      </c>
      <c r="L404" s="8" t="s">
        <v>286</v>
      </c>
      <c r="M404" s="8" t="s">
        <v>287</v>
      </c>
      <c r="N404" s="29">
        <v>0</v>
      </c>
      <c r="O404" s="29">
        <v>1</v>
      </c>
      <c r="P404" s="8" t="s">
        <v>35</v>
      </c>
      <c r="Q404" s="8" t="s">
        <v>36</v>
      </c>
      <c r="R404" s="8" t="s">
        <v>463</v>
      </c>
      <c r="S404" s="8" t="s">
        <v>38</v>
      </c>
      <c r="V404" s="26" t="str">
        <f>VLOOKUP(MID(Table1[[#This Row],[Nodo]],1,12),Tabla2[#Data],2,FALSE)</f>
        <v>PRECALENTADOR</v>
      </c>
      <c r="W404" s="26" t="str">
        <f t="shared" si="7"/>
        <v>MEC</v>
      </c>
      <c r="X404" s="26" t="e">
        <f>VLOOKUP(MID([1]!Table1[[#This Row],[Nodo]],1,7),[1]!Tabla5[#Data],2,FALSE)</f>
        <v>#N/A</v>
      </c>
    </row>
    <row r="405" spans="1:24" x14ac:dyDescent="0.3">
      <c r="A405" s="8" t="s">
        <v>24</v>
      </c>
      <c r="B405" s="8" t="s">
        <v>279</v>
      </c>
      <c r="C405" s="8" t="s">
        <v>26</v>
      </c>
      <c r="D405" s="8" t="s">
        <v>461</v>
      </c>
      <c r="E405" s="8" t="s">
        <v>462</v>
      </c>
      <c r="F405" s="8" t="s">
        <v>458</v>
      </c>
      <c r="G405" s="8" t="s">
        <v>296</v>
      </c>
      <c r="H405" s="8" t="s">
        <v>297</v>
      </c>
      <c r="I405" s="8" t="s">
        <v>298</v>
      </c>
      <c r="J405" s="28">
        <v>45695.431041666663</v>
      </c>
      <c r="K405" s="28">
        <v>45863.464583333334</v>
      </c>
      <c r="L405" s="8" t="s">
        <v>286</v>
      </c>
      <c r="M405" s="8" t="s">
        <v>287</v>
      </c>
      <c r="N405" s="29">
        <v>0</v>
      </c>
      <c r="O405" s="29">
        <v>1</v>
      </c>
      <c r="P405" s="8" t="s">
        <v>35</v>
      </c>
      <c r="Q405" s="8" t="s">
        <v>36</v>
      </c>
      <c r="R405" s="8" t="s">
        <v>463</v>
      </c>
      <c r="S405" s="8" t="s">
        <v>38</v>
      </c>
      <c r="V405" s="26" t="str">
        <f>VLOOKUP(MID(Table1[[#This Row],[Nodo]],1,12),Tabla2[#Data],2,FALSE)</f>
        <v>PRECALENTADOR</v>
      </c>
      <c r="W405" s="26" t="str">
        <f t="shared" si="7"/>
        <v>MEC</v>
      </c>
      <c r="X405" s="26" t="e">
        <f>VLOOKUP(MID([1]!Table1[[#This Row],[Nodo]],1,7),[1]!Tabla5[#Data],2,FALSE)</f>
        <v>#N/A</v>
      </c>
    </row>
    <row r="406" spans="1:24" x14ac:dyDescent="0.3">
      <c r="A406" s="8" t="s">
        <v>24</v>
      </c>
      <c r="B406" s="8" t="s">
        <v>279</v>
      </c>
      <c r="C406" s="8" t="s">
        <v>26</v>
      </c>
      <c r="D406" s="8" t="s">
        <v>461</v>
      </c>
      <c r="E406" s="8" t="s">
        <v>462</v>
      </c>
      <c r="F406" s="8" t="s">
        <v>459</v>
      </c>
      <c r="G406" s="8" t="s">
        <v>296</v>
      </c>
      <c r="H406" s="8" t="s">
        <v>297</v>
      </c>
      <c r="I406" s="8" t="s">
        <v>298</v>
      </c>
      <c r="J406" s="28">
        <v>45695.431041666663</v>
      </c>
      <c r="K406" s="28">
        <v>45863.464583333334</v>
      </c>
      <c r="L406" s="8" t="s">
        <v>286</v>
      </c>
      <c r="M406" s="8" t="s">
        <v>287</v>
      </c>
      <c r="N406" s="29">
        <v>0</v>
      </c>
      <c r="O406" s="29">
        <v>1</v>
      </c>
      <c r="P406" s="8" t="s">
        <v>35</v>
      </c>
      <c r="Q406" s="8" t="s">
        <v>36</v>
      </c>
      <c r="R406" s="8" t="s">
        <v>463</v>
      </c>
      <c r="S406" s="8" t="s">
        <v>38</v>
      </c>
      <c r="V406" s="26" t="str">
        <f>VLOOKUP(MID(Table1[[#This Row],[Nodo]],1,12),Tabla2[#Data],2,FALSE)</f>
        <v>PRECALENTADOR</v>
      </c>
      <c r="W406" s="26" t="str">
        <f t="shared" si="7"/>
        <v>MEC</v>
      </c>
      <c r="X406" s="26" t="e">
        <f>VLOOKUP(MID([1]!Table1[[#This Row],[Nodo]],1,7),[1]!Tabla5[#Data],2,FALSE)</f>
        <v>#N/A</v>
      </c>
    </row>
    <row r="407" spans="1:24" x14ac:dyDescent="0.3">
      <c r="A407" s="8" t="s">
        <v>24</v>
      </c>
      <c r="B407" s="8" t="s">
        <v>279</v>
      </c>
      <c r="C407" s="8" t="s">
        <v>26</v>
      </c>
      <c r="D407" s="8" t="s">
        <v>461</v>
      </c>
      <c r="E407" s="8" t="s">
        <v>462</v>
      </c>
      <c r="F407" s="8" t="s">
        <v>460</v>
      </c>
      <c r="G407" s="8" t="s">
        <v>296</v>
      </c>
      <c r="H407" s="8" t="s">
        <v>297</v>
      </c>
      <c r="I407" s="8" t="s">
        <v>298</v>
      </c>
      <c r="J407" s="28">
        <v>45695.431041666663</v>
      </c>
      <c r="K407" s="28">
        <v>45863.464583333334</v>
      </c>
      <c r="L407" s="8" t="s">
        <v>286</v>
      </c>
      <c r="M407" s="8" t="s">
        <v>287</v>
      </c>
      <c r="N407" s="29">
        <v>0</v>
      </c>
      <c r="O407" s="29">
        <v>1</v>
      </c>
      <c r="P407" s="8" t="s">
        <v>35</v>
      </c>
      <c r="Q407" s="8" t="s">
        <v>36</v>
      </c>
      <c r="R407" s="8" t="s">
        <v>463</v>
      </c>
      <c r="S407" s="8" t="s">
        <v>38</v>
      </c>
      <c r="V407" s="26" t="str">
        <f>VLOOKUP(MID(Table1[[#This Row],[Nodo]],1,12),Tabla2[#Data],2,FALSE)</f>
        <v>PRECALENTADOR</v>
      </c>
      <c r="W407" s="26" t="str">
        <f t="shared" si="7"/>
        <v>MEC</v>
      </c>
      <c r="X407" s="26" t="e">
        <f>VLOOKUP(MID([1]!Table1[[#This Row],[Nodo]],1,7),[1]!Tabla5[#Data],2,FALSE)</f>
        <v>#N/A</v>
      </c>
    </row>
    <row r="408" spans="1:24" x14ac:dyDescent="0.3">
      <c r="A408" s="8" t="s">
        <v>24</v>
      </c>
      <c r="B408" s="8" t="s">
        <v>279</v>
      </c>
      <c r="C408" s="8" t="s">
        <v>26</v>
      </c>
      <c r="D408" s="8" t="s">
        <v>461</v>
      </c>
      <c r="E408" s="8" t="s">
        <v>462</v>
      </c>
      <c r="F408" s="8" t="s">
        <v>464</v>
      </c>
      <c r="G408" s="8" t="s">
        <v>296</v>
      </c>
      <c r="H408" s="8" t="s">
        <v>297</v>
      </c>
      <c r="I408" s="8" t="s">
        <v>298</v>
      </c>
      <c r="J408" s="28">
        <v>45695.431041666663</v>
      </c>
      <c r="K408" s="28">
        <v>45863.464583333334</v>
      </c>
      <c r="L408" s="8" t="s">
        <v>286</v>
      </c>
      <c r="M408" s="8" t="s">
        <v>287</v>
      </c>
      <c r="N408" s="29">
        <v>0</v>
      </c>
      <c r="O408" s="29">
        <v>1</v>
      </c>
      <c r="P408" s="8" t="s">
        <v>35</v>
      </c>
      <c r="Q408" s="8" t="s">
        <v>36</v>
      </c>
      <c r="R408" s="8" t="s">
        <v>463</v>
      </c>
      <c r="S408" s="8" t="s">
        <v>38</v>
      </c>
      <c r="V408" s="26" t="str">
        <f>VLOOKUP(MID(Table1[[#This Row],[Nodo]],1,12),Tabla2[#Data],2,FALSE)</f>
        <v>PRECALENTADOR</v>
      </c>
      <c r="W408" s="26" t="str">
        <f t="shared" si="7"/>
        <v>MEC</v>
      </c>
      <c r="X408" s="26" t="e">
        <f>VLOOKUP(MID([1]!Table1[[#This Row],[Nodo]],1,7),[1]!Tabla5[#Data],2,FALSE)</f>
        <v>#N/A</v>
      </c>
    </row>
    <row r="409" spans="1:24" x14ac:dyDescent="0.3">
      <c r="A409" s="8" t="s">
        <v>24</v>
      </c>
      <c r="B409" s="8" t="s">
        <v>279</v>
      </c>
      <c r="C409" s="8" t="s">
        <v>26</v>
      </c>
      <c r="D409" s="8" t="s">
        <v>465</v>
      </c>
      <c r="E409" s="8" t="s">
        <v>466</v>
      </c>
      <c r="F409" s="8" t="s">
        <v>467</v>
      </c>
      <c r="G409" s="8" t="s">
        <v>237</v>
      </c>
      <c r="H409" s="8" t="s">
        <v>238</v>
      </c>
      <c r="I409" s="8" t="s">
        <v>239</v>
      </c>
      <c r="J409" s="28">
        <v>45695.431030092594</v>
      </c>
      <c r="K409" s="28">
        <v>45863.464583333334</v>
      </c>
      <c r="L409" s="8" t="s">
        <v>286</v>
      </c>
      <c r="M409" s="8" t="s">
        <v>287</v>
      </c>
      <c r="N409" s="29">
        <v>0</v>
      </c>
      <c r="O409" s="29">
        <v>1</v>
      </c>
      <c r="P409" s="8" t="s">
        <v>35</v>
      </c>
      <c r="Q409" s="8" t="s">
        <v>36</v>
      </c>
      <c r="R409" s="8" t="s">
        <v>468</v>
      </c>
      <c r="S409" s="8" t="s">
        <v>38</v>
      </c>
      <c r="V409" s="26" t="str">
        <f>VLOOKUP(MID(Table1[[#This Row],[Nodo]],1,12),Tabla2[#Data],2,FALSE)</f>
        <v>PRECALENTADOR</v>
      </c>
      <c r="W409" s="26" t="str">
        <f t="shared" si="7"/>
        <v>MEC</v>
      </c>
      <c r="X409" s="26" t="e">
        <f>VLOOKUP(MID([1]!Table1[[#This Row],[Nodo]],1,7),[1]!Tabla5[#Data],2,FALSE)</f>
        <v>#N/A</v>
      </c>
    </row>
    <row r="410" spans="1:24" x14ac:dyDescent="0.3">
      <c r="A410" s="8" t="s">
        <v>24</v>
      </c>
      <c r="B410" s="8" t="s">
        <v>279</v>
      </c>
      <c r="C410" s="8" t="s">
        <v>26</v>
      </c>
      <c r="D410" s="8" t="s">
        <v>465</v>
      </c>
      <c r="E410" s="8" t="s">
        <v>466</v>
      </c>
      <c r="F410" s="8" t="s">
        <v>469</v>
      </c>
      <c r="G410" s="8" t="s">
        <v>237</v>
      </c>
      <c r="H410" s="8" t="s">
        <v>238</v>
      </c>
      <c r="I410" s="8" t="s">
        <v>239</v>
      </c>
      <c r="J410" s="28">
        <v>45695.431030092594</v>
      </c>
      <c r="K410" s="28">
        <v>45863.464583333334</v>
      </c>
      <c r="L410" s="8" t="s">
        <v>286</v>
      </c>
      <c r="M410" s="8" t="s">
        <v>287</v>
      </c>
      <c r="N410" s="29">
        <v>0</v>
      </c>
      <c r="O410" s="29">
        <v>1</v>
      </c>
      <c r="P410" s="8" t="s">
        <v>35</v>
      </c>
      <c r="Q410" s="8" t="s">
        <v>36</v>
      </c>
      <c r="R410" s="8" t="s">
        <v>468</v>
      </c>
      <c r="S410" s="8" t="s">
        <v>38</v>
      </c>
      <c r="V410" s="26" t="str">
        <f>VLOOKUP(MID(Table1[[#This Row],[Nodo]],1,12),Tabla2[#Data],2,FALSE)</f>
        <v>PRECALENTADOR</v>
      </c>
      <c r="W410" s="26" t="str">
        <f t="shared" si="7"/>
        <v>MEC</v>
      </c>
      <c r="X410" s="26" t="e">
        <f>VLOOKUP(MID([1]!Table1[[#This Row],[Nodo]],1,7),[1]!Tabla5[#Data],2,FALSE)</f>
        <v>#N/A</v>
      </c>
    </row>
    <row r="411" spans="1:24" x14ac:dyDescent="0.3">
      <c r="A411" s="8" t="s">
        <v>24</v>
      </c>
      <c r="B411" s="8" t="s">
        <v>279</v>
      </c>
      <c r="C411" s="8" t="s">
        <v>26</v>
      </c>
      <c r="D411" s="8" t="s">
        <v>465</v>
      </c>
      <c r="E411" s="8" t="s">
        <v>466</v>
      </c>
      <c r="F411" s="8" t="s">
        <v>470</v>
      </c>
      <c r="G411" s="8" t="s">
        <v>237</v>
      </c>
      <c r="H411" s="8" t="s">
        <v>238</v>
      </c>
      <c r="I411" s="8" t="s">
        <v>239</v>
      </c>
      <c r="J411" s="28">
        <v>45695.431030092594</v>
      </c>
      <c r="K411" s="28">
        <v>45863.464583333334</v>
      </c>
      <c r="L411" s="8" t="s">
        <v>286</v>
      </c>
      <c r="M411" s="8" t="s">
        <v>287</v>
      </c>
      <c r="N411" s="29">
        <v>0</v>
      </c>
      <c r="O411" s="29">
        <v>1</v>
      </c>
      <c r="P411" s="8" t="s">
        <v>35</v>
      </c>
      <c r="Q411" s="8" t="s">
        <v>36</v>
      </c>
      <c r="R411" s="8" t="s">
        <v>468</v>
      </c>
      <c r="S411" s="8" t="s">
        <v>38</v>
      </c>
      <c r="V411" s="26" t="str">
        <f>VLOOKUP(MID(Table1[[#This Row],[Nodo]],1,12),Tabla2[#Data],2,FALSE)</f>
        <v>PRECALENTADOR</v>
      </c>
      <c r="W411" s="26" t="str">
        <f t="shared" si="7"/>
        <v>MEC</v>
      </c>
      <c r="X411" s="26" t="e">
        <f>VLOOKUP(MID([1]!Table1[[#This Row],[Nodo]],1,7),[1]!Tabla5[#Data],2,FALSE)</f>
        <v>#N/A</v>
      </c>
    </row>
  </sheetData>
  <phoneticPr fontId="11" type="noConversion"/>
  <pageMargins left="0.7" right="0.7" top="0.75" bottom="0.75" header="0.3" footer="0.3"/>
  <pageSetup scale="19"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E701"/>
  <sheetViews>
    <sheetView zoomScale="85" zoomScaleNormal="85" workbookViewId="0">
      <selection activeCell="G8" sqref="G8"/>
    </sheetView>
  </sheetViews>
  <sheetFormatPr baseColWidth="10" defaultColWidth="11.44140625" defaultRowHeight="28.5" customHeight="1" x14ac:dyDescent="0.3"/>
  <cols>
    <col min="1" max="1" width="13.88671875" customWidth="1"/>
    <col min="2" max="2" width="17.44140625" customWidth="1"/>
  </cols>
  <sheetData>
    <row r="1" spans="1:5" ht="28.5" customHeight="1" x14ac:dyDescent="0.3">
      <c r="A1" s="6" t="s">
        <v>471</v>
      </c>
      <c r="B1" s="7" t="s">
        <v>472</v>
      </c>
      <c r="D1" t="s">
        <v>473</v>
      </c>
      <c r="E1" t="s">
        <v>23</v>
      </c>
    </row>
    <row r="2" spans="1:5" ht="28.5" customHeight="1" x14ac:dyDescent="0.3">
      <c r="A2" s="4" t="s">
        <v>474</v>
      </c>
      <c r="B2" s="5" t="s">
        <v>226</v>
      </c>
      <c r="D2" t="s">
        <v>475</v>
      </c>
      <c r="E2" t="s">
        <v>476</v>
      </c>
    </row>
    <row r="3" spans="1:5" ht="28.5" customHeight="1" x14ac:dyDescent="0.3">
      <c r="A3" s="4" t="s">
        <v>477</v>
      </c>
      <c r="B3" s="5" t="s">
        <v>478</v>
      </c>
      <c r="D3" t="s">
        <v>479</v>
      </c>
      <c r="E3" t="s">
        <v>480</v>
      </c>
    </row>
    <row r="4" spans="1:5" ht="28.5" customHeight="1" x14ac:dyDescent="0.3">
      <c r="A4" s="4" t="s">
        <v>481</v>
      </c>
      <c r="B4" s="5" t="s">
        <v>249</v>
      </c>
    </row>
    <row r="5" spans="1:5" ht="28.5" customHeight="1" x14ac:dyDescent="0.3">
      <c r="A5" s="4" t="s">
        <v>482</v>
      </c>
      <c r="B5" s="5" t="s">
        <v>188</v>
      </c>
    </row>
    <row r="6" spans="1:5" ht="28.5" customHeight="1" x14ac:dyDescent="0.3">
      <c r="A6" s="4" t="s">
        <v>483</v>
      </c>
      <c r="B6" s="5" t="s">
        <v>484</v>
      </c>
    </row>
    <row r="7" spans="1:5" ht="28.5" customHeight="1" x14ac:dyDescent="0.3">
      <c r="A7" s="4" t="s">
        <v>485</v>
      </c>
      <c r="B7" s="5" t="s">
        <v>437</v>
      </c>
    </row>
    <row r="8" spans="1:5" ht="28.5" customHeight="1" x14ac:dyDescent="0.3">
      <c r="A8" s="4" t="s">
        <v>486</v>
      </c>
      <c r="B8" s="5" t="s">
        <v>487</v>
      </c>
    </row>
    <row r="9" spans="1:5" ht="28.5" customHeight="1" x14ac:dyDescent="0.3">
      <c r="A9" s="4" t="s">
        <v>488</v>
      </c>
      <c r="B9" s="5" t="s">
        <v>489</v>
      </c>
    </row>
    <row r="10" spans="1:5" ht="28.5" customHeight="1" x14ac:dyDescent="0.3">
      <c r="A10" s="4" t="s">
        <v>490</v>
      </c>
      <c r="B10" s="5" t="s">
        <v>151</v>
      </c>
    </row>
    <row r="11" spans="1:5" ht="28.5" customHeight="1" x14ac:dyDescent="0.3">
      <c r="A11" s="4" t="s">
        <v>491</v>
      </c>
      <c r="B11" s="5" t="s">
        <v>167</v>
      </c>
    </row>
    <row r="12" spans="1:5" ht="28.5" customHeight="1" x14ac:dyDescent="0.3">
      <c r="A12" s="4" t="s">
        <v>492</v>
      </c>
      <c r="B12" s="5" t="s">
        <v>493</v>
      </c>
    </row>
    <row r="13" spans="1:5" ht="28.5" customHeight="1" x14ac:dyDescent="0.3">
      <c r="A13" s="11" t="s">
        <v>494</v>
      </c>
      <c r="B13" s="9" t="s">
        <v>226</v>
      </c>
    </row>
    <row r="14" spans="1:5" ht="28.5" customHeight="1" x14ac:dyDescent="0.3">
      <c r="A14" s="11" t="s">
        <v>495</v>
      </c>
      <c r="B14" s="9" t="s">
        <v>496</v>
      </c>
    </row>
    <row r="15" spans="1:5" ht="28.5" customHeight="1" x14ac:dyDescent="0.3">
      <c r="A15" s="11" t="s">
        <v>497</v>
      </c>
      <c r="B15" s="9" t="s">
        <v>498</v>
      </c>
    </row>
    <row r="16" spans="1:5" ht="28.5" customHeight="1" x14ac:dyDescent="0.3">
      <c r="A16" s="11" t="s">
        <v>499</v>
      </c>
      <c r="B16" s="9" t="s">
        <v>500</v>
      </c>
    </row>
    <row r="17" spans="1:2" ht="28.5" customHeight="1" x14ac:dyDescent="0.3">
      <c r="A17" s="11" t="s">
        <v>501</v>
      </c>
      <c r="B17" s="9" t="s">
        <v>502</v>
      </c>
    </row>
    <row r="18" spans="1:2" ht="28.5" customHeight="1" x14ac:dyDescent="0.3">
      <c r="A18" s="11" t="s">
        <v>503</v>
      </c>
      <c r="B18" s="9" t="s">
        <v>504</v>
      </c>
    </row>
    <row r="19" spans="1:2" ht="28.5" customHeight="1" x14ac:dyDescent="0.3">
      <c r="A19" s="11" t="s">
        <v>505</v>
      </c>
      <c r="B19" s="9" t="s">
        <v>506</v>
      </c>
    </row>
    <row r="20" spans="1:2" ht="28.5" customHeight="1" x14ac:dyDescent="0.3">
      <c r="A20" s="11" t="s">
        <v>507</v>
      </c>
      <c r="B20" s="9" t="s">
        <v>508</v>
      </c>
    </row>
    <row r="21" spans="1:2" ht="28.5" customHeight="1" x14ac:dyDescent="0.3">
      <c r="A21" s="12" t="s">
        <v>509</v>
      </c>
      <c r="B21" s="13" t="s">
        <v>167</v>
      </c>
    </row>
    <row r="22" spans="1:2" ht="28.5" customHeight="1" x14ac:dyDescent="0.3">
      <c r="A22" s="11" t="s">
        <v>510</v>
      </c>
      <c r="B22" s="9" t="s">
        <v>511</v>
      </c>
    </row>
    <row r="23" spans="1:2" ht="28.5" customHeight="1" x14ac:dyDescent="0.3">
      <c r="A23" s="11" t="s">
        <v>512</v>
      </c>
      <c r="B23" s="9" t="s">
        <v>513</v>
      </c>
    </row>
    <row r="24" spans="1:2" ht="28.5" customHeight="1" x14ac:dyDescent="0.3">
      <c r="A24" s="11" t="s">
        <v>514</v>
      </c>
      <c r="B24" s="9" t="s">
        <v>515</v>
      </c>
    </row>
    <row r="25" spans="1:2" ht="28.5" customHeight="1" x14ac:dyDescent="0.3">
      <c r="A25" s="11" t="s">
        <v>516</v>
      </c>
      <c r="B25" s="9" t="s">
        <v>517</v>
      </c>
    </row>
    <row r="26" spans="1:2" ht="28.5" customHeight="1" x14ac:dyDescent="0.3">
      <c r="A26" s="11" t="s">
        <v>518</v>
      </c>
      <c r="B26" s="9" t="s">
        <v>519</v>
      </c>
    </row>
    <row r="27" spans="1:2" ht="28.5" customHeight="1" x14ac:dyDescent="0.3">
      <c r="A27" s="11" t="s">
        <v>520</v>
      </c>
      <c r="B27" s="9" t="s">
        <v>521</v>
      </c>
    </row>
    <row r="28" spans="1:2" ht="28.5" customHeight="1" x14ac:dyDescent="0.3">
      <c r="A28" s="11" t="s">
        <v>522</v>
      </c>
      <c r="B28" s="9" t="s">
        <v>523</v>
      </c>
    </row>
    <row r="29" spans="1:2" ht="28.5" customHeight="1" x14ac:dyDescent="0.3">
      <c r="A29" s="11" t="s">
        <v>524</v>
      </c>
      <c r="B29" s="9" t="s">
        <v>525</v>
      </c>
    </row>
    <row r="30" spans="1:2" ht="28.5" customHeight="1" x14ac:dyDescent="0.3">
      <c r="A30" s="11" t="s">
        <v>526</v>
      </c>
      <c r="B30" s="9" t="s">
        <v>527</v>
      </c>
    </row>
    <row r="31" spans="1:2" ht="28.5" customHeight="1" x14ac:dyDescent="0.3">
      <c r="A31" s="12" t="s">
        <v>528</v>
      </c>
      <c r="B31" s="13" t="s">
        <v>529</v>
      </c>
    </row>
    <row r="32" spans="1:2" ht="28.5" customHeight="1" x14ac:dyDescent="0.3">
      <c r="A32" s="11" t="s">
        <v>530</v>
      </c>
      <c r="B32" s="8" t="s">
        <v>226</v>
      </c>
    </row>
    <row r="33" spans="1:2" ht="28.5" customHeight="1" x14ac:dyDescent="0.3">
      <c r="A33" s="11" t="s">
        <v>531</v>
      </c>
      <c r="B33" s="8" t="s">
        <v>532</v>
      </c>
    </row>
    <row r="34" spans="1:2" ht="28.5" customHeight="1" x14ac:dyDescent="0.3">
      <c r="A34" s="12" t="s">
        <v>533</v>
      </c>
      <c r="B34" s="8" t="s">
        <v>534</v>
      </c>
    </row>
    <row r="35" spans="1:2" ht="28.5" customHeight="1" x14ac:dyDescent="0.3">
      <c r="A35" s="11" t="s">
        <v>535</v>
      </c>
      <c r="B35" s="8" t="s">
        <v>385</v>
      </c>
    </row>
    <row r="36" spans="1:2" ht="28.5" customHeight="1" x14ac:dyDescent="0.3">
      <c r="A36" s="11" t="s">
        <v>536</v>
      </c>
      <c r="B36" s="8" t="s">
        <v>537</v>
      </c>
    </row>
    <row r="37" spans="1:2" ht="28.5" customHeight="1" x14ac:dyDescent="0.3">
      <c r="A37" s="11" t="s">
        <v>538</v>
      </c>
      <c r="B37" s="8" t="s">
        <v>539</v>
      </c>
    </row>
    <row r="38" spans="1:2" ht="28.5" customHeight="1" x14ac:dyDescent="0.3">
      <c r="A38" s="11" t="s">
        <v>535</v>
      </c>
      <c r="B38" s="8" t="s">
        <v>385</v>
      </c>
    </row>
    <row r="39" spans="1:2" ht="28.5" customHeight="1" x14ac:dyDescent="0.3">
      <c r="A39" s="12" t="s">
        <v>540</v>
      </c>
      <c r="B39" s="8" t="s">
        <v>541</v>
      </c>
    </row>
    <row r="40" spans="1:2" ht="28.5" customHeight="1" x14ac:dyDescent="0.3">
      <c r="A40" s="12" t="s">
        <v>542</v>
      </c>
      <c r="B40" s="8" t="s">
        <v>543</v>
      </c>
    </row>
    <row r="41" spans="1:2" ht="28.5" customHeight="1" x14ac:dyDescent="0.3">
      <c r="A41" s="11" t="s">
        <v>544</v>
      </c>
      <c r="B41" s="8" t="s">
        <v>545</v>
      </c>
    </row>
    <row r="42" spans="1:2" ht="28.5" customHeight="1" x14ac:dyDescent="0.3">
      <c r="A42" s="11" t="s">
        <v>546</v>
      </c>
      <c r="B42" s="8" t="s">
        <v>547</v>
      </c>
    </row>
    <row r="43" spans="1:2" ht="28.5" customHeight="1" x14ac:dyDescent="0.3">
      <c r="A43" s="12" t="s">
        <v>548</v>
      </c>
      <c r="B43" s="8" t="s">
        <v>549</v>
      </c>
    </row>
    <row r="44" spans="1:2" ht="28.5" customHeight="1" x14ac:dyDescent="0.3">
      <c r="A44" s="12" t="s">
        <v>550</v>
      </c>
      <c r="B44" s="8" t="s">
        <v>167</v>
      </c>
    </row>
    <row r="45" spans="1:2" ht="28.5" customHeight="1" x14ac:dyDescent="0.3">
      <c r="A45" s="12" t="s">
        <v>551</v>
      </c>
      <c r="B45" s="23" t="s">
        <v>552</v>
      </c>
    </row>
    <row r="46" spans="1:2" ht="28.5" customHeight="1" x14ac:dyDescent="0.3">
      <c r="A46" s="11" t="s">
        <v>553</v>
      </c>
      <c r="B46" s="5" t="s">
        <v>554</v>
      </c>
    </row>
    <row r="47" spans="1:2" ht="28.5" customHeight="1" x14ac:dyDescent="0.3">
      <c r="A47" s="11" t="s">
        <v>555</v>
      </c>
      <c r="B47" s="5" t="s">
        <v>556</v>
      </c>
    </row>
    <row r="48" spans="1:2" ht="28.5" customHeight="1" x14ac:dyDescent="0.3">
      <c r="A48" s="11" t="s">
        <v>557</v>
      </c>
      <c r="B48" s="5" t="s">
        <v>558</v>
      </c>
    </row>
    <row r="49" spans="1:2" ht="28.5" customHeight="1" x14ac:dyDescent="0.3">
      <c r="A49" s="11" t="s">
        <v>559</v>
      </c>
      <c r="B49" s="5" t="s">
        <v>560</v>
      </c>
    </row>
    <row r="50" spans="1:2" ht="28.5" customHeight="1" x14ac:dyDescent="0.3">
      <c r="A50" s="11" t="s">
        <v>561</v>
      </c>
      <c r="B50" s="5" t="s">
        <v>562</v>
      </c>
    </row>
    <row r="51" spans="1:2" ht="28.5" customHeight="1" x14ac:dyDescent="0.3">
      <c r="A51" s="11" t="s">
        <v>563</v>
      </c>
      <c r="B51" s="5" t="s">
        <v>564</v>
      </c>
    </row>
    <row r="52" spans="1:2" ht="28.5" customHeight="1" x14ac:dyDescent="0.3">
      <c r="A52" s="11" t="s">
        <v>565</v>
      </c>
      <c r="B52" s="5" t="s">
        <v>566</v>
      </c>
    </row>
    <row r="53" spans="1:2" ht="28.5" customHeight="1" x14ac:dyDescent="0.3">
      <c r="A53" s="11" t="s">
        <v>567</v>
      </c>
      <c r="B53" s="5" t="s">
        <v>568</v>
      </c>
    </row>
    <row r="54" spans="1:2" ht="28.5" customHeight="1" x14ac:dyDescent="0.3">
      <c r="A54" s="11" t="s">
        <v>569</v>
      </c>
      <c r="B54" s="5" t="s">
        <v>570</v>
      </c>
    </row>
    <row r="55" spans="1:2" ht="28.5" customHeight="1" x14ac:dyDescent="0.3">
      <c r="A55" s="11" t="s">
        <v>571</v>
      </c>
      <c r="B55" s="5" t="s">
        <v>572</v>
      </c>
    </row>
    <row r="56" spans="1:2" ht="28.5" customHeight="1" x14ac:dyDescent="0.3">
      <c r="A56" s="11" t="s">
        <v>573</v>
      </c>
      <c r="B56" s="5" t="s">
        <v>574</v>
      </c>
    </row>
    <row r="57" spans="1:2" ht="28.5" customHeight="1" x14ac:dyDescent="0.3">
      <c r="A57" s="11" t="s">
        <v>575</v>
      </c>
      <c r="B57" s="5" t="s">
        <v>576</v>
      </c>
    </row>
    <row r="58" spans="1:2" ht="28.5" customHeight="1" x14ac:dyDescent="0.3">
      <c r="A58" s="11" t="s">
        <v>577</v>
      </c>
      <c r="B58" s="5" t="s">
        <v>578</v>
      </c>
    </row>
    <row r="59" spans="1:2" ht="28.5" customHeight="1" x14ac:dyDescent="0.3">
      <c r="A59" s="11" t="s">
        <v>579</v>
      </c>
      <c r="B59" s="5" t="s">
        <v>580</v>
      </c>
    </row>
    <row r="60" spans="1:2" ht="28.5" customHeight="1" x14ac:dyDescent="0.3">
      <c r="A60" s="11" t="s">
        <v>581</v>
      </c>
      <c r="B60" s="5" t="s">
        <v>582</v>
      </c>
    </row>
    <row r="61" spans="1:2" ht="28.5" customHeight="1" x14ac:dyDescent="0.3">
      <c r="A61" s="11" t="s">
        <v>583</v>
      </c>
      <c r="B61" s="5" t="s">
        <v>584</v>
      </c>
    </row>
    <row r="62" spans="1:2" ht="28.5" customHeight="1" x14ac:dyDescent="0.3">
      <c r="A62" s="11" t="s">
        <v>585</v>
      </c>
      <c r="B62" s="5" t="s">
        <v>586</v>
      </c>
    </row>
    <row r="63" spans="1:2" ht="28.5" customHeight="1" x14ac:dyDescent="0.3">
      <c r="A63" s="11" t="s">
        <v>587</v>
      </c>
      <c r="B63" s="5" t="s">
        <v>588</v>
      </c>
    </row>
    <row r="64" spans="1:2" ht="28.5" customHeight="1" x14ac:dyDescent="0.3">
      <c r="A64" s="11" t="s">
        <v>589</v>
      </c>
      <c r="B64" s="5" t="s">
        <v>590</v>
      </c>
    </row>
    <row r="65" spans="1:2" ht="28.5" customHeight="1" x14ac:dyDescent="0.3">
      <c r="A65" s="11" t="s">
        <v>591</v>
      </c>
      <c r="B65" s="5" t="s">
        <v>592</v>
      </c>
    </row>
    <row r="66" spans="1:2" ht="28.5" customHeight="1" x14ac:dyDescent="0.3">
      <c r="A66" s="11" t="s">
        <v>593</v>
      </c>
      <c r="B66" s="5" t="s">
        <v>594</v>
      </c>
    </row>
    <row r="67" spans="1:2" ht="28.5" customHeight="1" x14ac:dyDescent="0.3">
      <c r="A67" s="11" t="s">
        <v>595</v>
      </c>
      <c r="B67" s="5" t="s">
        <v>596</v>
      </c>
    </row>
    <row r="68" spans="1:2" ht="28.5" customHeight="1" x14ac:dyDescent="0.3">
      <c r="A68" s="11" t="s">
        <v>597</v>
      </c>
      <c r="B68" s="5" t="s">
        <v>598</v>
      </c>
    </row>
    <row r="69" spans="1:2" ht="28.5" customHeight="1" x14ac:dyDescent="0.3">
      <c r="A69" s="12" t="s">
        <v>599</v>
      </c>
      <c r="B69" s="23" t="s">
        <v>600</v>
      </c>
    </row>
    <row r="70" spans="1:2" ht="28.5" customHeight="1" x14ac:dyDescent="0.3">
      <c r="A70" s="12" t="s">
        <v>601</v>
      </c>
      <c r="B70" s="23" t="s">
        <v>602</v>
      </c>
    </row>
    <row r="71" spans="1:2" ht="28.5" customHeight="1" x14ac:dyDescent="0.3">
      <c r="A71" s="12" t="s">
        <v>603</v>
      </c>
      <c r="B71" s="23" t="s">
        <v>604</v>
      </c>
    </row>
    <row r="72" spans="1:2" ht="28.5" customHeight="1" x14ac:dyDescent="0.3">
      <c r="A72" s="12" t="s">
        <v>605</v>
      </c>
      <c r="B72" s="23" t="s">
        <v>606</v>
      </c>
    </row>
    <row r="73" spans="1:2" ht="28.5" customHeight="1" x14ac:dyDescent="0.3">
      <c r="A73" s="12" t="s">
        <v>607</v>
      </c>
      <c r="B73" s="23" t="s">
        <v>608</v>
      </c>
    </row>
    <row r="74" spans="1:2" ht="28.5" customHeight="1" x14ac:dyDescent="0.3">
      <c r="A74" s="12" t="s">
        <v>609</v>
      </c>
      <c r="B74" s="23" t="s">
        <v>610</v>
      </c>
    </row>
    <row r="75" spans="1:2" ht="28.5" customHeight="1" x14ac:dyDescent="0.3">
      <c r="A75" s="12" t="s">
        <v>611</v>
      </c>
      <c r="B75" s="23" t="s">
        <v>612</v>
      </c>
    </row>
    <row r="76" spans="1:2" ht="28.5" customHeight="1" x14ac:dyDescent="0.3">
      <c r="A76" s="12" t="s">
        <v>613</v>
      </c>
      <c r="B76" s="23" t="s">
        <v>614</v>
      </c>
    </row>
    <row r="77" spans="1:2" ht="28.5" customHeight="1" x14ac:dyDescent="0.3">
      <c r="A77" s="12" t="s">
        <v>615</v>
      </c>
      <c r="B77" s="23" t="s">
        <v>616</v>
      </c>
    </row>
    <row r="78" spans="1:2" ht="28.5" customHeight="1" x14ac:dyDescent="0.3">
      <c r="A78" s="12" t="s">
        <v>617</v>
      </c>
      <c r="B78" s="23" t="s">
        <v>618</v>
      </c>
    </row>
    <row r="79" spans="1:2" ht="28.5" customHeight="1" x14ac:dyDescent="0.3">
      <c r="A79" s="11" t="s">
        <v>619</v>
      </c>
      <c r="B79" s="5" t="s">
        <v>620</v>
      </c>
    </row>
    <row r="80" spans="1:2" ht="28.5" customHeight="1" x14ac:dyDescent="0.3">
      <c r="A80" s="12" t="s">
        <v>621</v>
      </c>
      <c r="B80" s="23" t="s">
        <v>622</v>
      </c>
    </row>
    <row r="81" spans="1:2" ht="28.5" customHeight="1" x14ac:dyDescent="0.3">
      <c r="A81" s="12" t="s">
        <v>623</v>
      </c>
      <c r="B81" s="23" t="s">
        <v>624</v>
      </c>
    </row>
    <row r="82" spans="1:2" ht="28.5" customHeight="1" x14ac:dyDescent="0.3">
      <c r="A82" s="12" t="s">
        <v>625</v>
      </c>
      <c r="B82" s="23" t="s">
        <v>626</v>
      </c>
    </row>
    <row r="83" spans="1:2" ht="28.5" customHeight="1" x14ac:dyDescent="0.3">
      <c r="A83" s="11" t="s">
        <v>627</v>
      </c>
      <c r="B83" s="5" t="s">
        <v>628</v>
      </c>
    </row>
    <row r="84" spans="1:2" ht="28.5" customHeight="1" x14ac:dyDescent="0.3">
      <c r="A84" s="12" t="s">
        <v>627</v>
      </c>
      <c r="B84" s="23" t="s">
        <v>628</v>
      </c>
    </row>
    <row r="85" spans="1:2" ht="28.5" customHeight="1" x14ac:dyDescent="0.3">
      <c r="A85" s="12" t="s">
        <v>629</v>
      </c>
      <c r="B85" s="23" t="s">
        <v>630</v>
      </c>
    </row>
    <row r="86" spans="1:2" ht="28.5" customHeight="1" x14ac:dyDescent="0.3">
      <c r="A86" s="11" t="s">
        <v>631</v>
      </c>
      <c r="B86" s="5" t="s">
        <v>632</v>
      </c>
    </row>
    <row r="87" spans="1:2" ht="28.5" customHeight="1" x14ac:dyDescent="0.3">
      <c r="A87" s="12" t="s">
        <v>633</v>
      </c>
      <c r="B87" s="23" t="s">
        <v>634</v>
      </c>
    </row>
    <row r="88" spans="1:2" ht="28.5" customHeight="1" x14ac:dyDescent="0.3">
      <c r="A88" s="12" t="s">
        <v>635</v>
      </c>
      <c r="B88" s="23" t="s">
        <v>636</v>
      </c>
    </row>
    <row r="89" spans="1:2" ht="28.5" customHeight="1" x14ac:dyDescent="0.3">
      <c r="A89" s="12" t="s">
        <v>637</v>
      </c>
      <c r="B89" s="23" t="s">
        <v>638</v>
      </c>
    </row>
    <row r="90" spans="1:2" ht="28.5" customHeight="1" x14ac:dyDescent="0.3">
      <c r="A90" s="11" t="s">
        <v>639</v>
      </c>
      <c r="B90" s="5" t="s">
        <v>640</v>
      </c>
    </row>
    <row r="91" spans="1:2" ht="28.5" customHeight="1" x14ac:dyDescent="0.3">
      <c r="A91" s="12" t="s">
        <v>641</v>
      </c>
      <c r="B91" s="23" t="s">
        <v>642</v>
      </c>
    </row>
    <row r="92" spans="1:2" ht="28.5" customHeight="1" x14ac:dyDescent="0.3">
      <c r="A92" s="12" t="s">
        <v>643</v>
      </c>
      <c r="B92" s="23" t="s">
        <v>644</v>
      </c>
    </row>
    <row r="93" spans="1:2" ht="28.5" customHeight="1" x14ac:dyDescent="0.3">
      <c r="A93" s="12" t="s">
        <v>621</v>
      </c>
      <c r="B93" s="23" t="s">
        <v>622</v>
      </c>
    </row>
    <row r="94" spans="1:2" ht="28.5" customHeight="1" x14ac:dyDescent="0.3">
      <c r="A94" s="12" t="s">
        <v>645</v>
      </c>
      <c r="B94" s="23" t="s">
        <v>167</v>
      </c>
    </row>
    <row r="95" spans="1:2" ht="28.5" customHeight="1" x14ac:dyDescent="0.3">
      <c r="A95" s="12" t="s">
        <v>646</v>
      </c>
      <c r="B95" s="23" t="s">
        <v>647</v>
      </c>
    </row>
    <row r="96" spans="1:2" ht="28.5" customHeight="1" x14ac:dyDescent="0.3">
      <c r="A96" s="12" t="s">
        <v>648</v>
      </c>
      <c r="B96" s="23" t="s">
        <v>622</v>
      </c>
    </row>
    <row r="97" spans="1:2" ht="28.5" customHeight="1" x14ac:dyDescent="0.3">
      <c r="A97" s="12" t="s">
        <v>649</v>
      </c>
      <c r="B97" s="8" t="s">
        <v>226</v>
      </c>
    </row>
    <row r="98" spans="1:2" ht="28.5" customHeight="1" x14ac:dyDescent="0.3">
      <c r="A98" s="12" t="s">
        <v>650</v>
      </c>
      <c r="B98" s="8" t="s">
        <v>496</v>
      </c>
    </row>
    <row r="99" spans="1:2" ht="28.5" customHeight="1" x14ac:dyDescent="0.3">
      <c r="A99" s="12" t="s">
        <v>651</v>
      </c>
      <c r="B99" s="8" t="s">
        <v>652</v>
      </c>
    </row>
    <row r="100" spans="1:2" ht="28.5" customHeight="1" x14ac:dyDescent="0.3">
      <c r="A100" s="12" t="s">
        <v>653</v>
      </c>
      <c r="B100" s="8" t="s">
        <v>654</v>
      </c>
    </row>
    <row r="101" spans="1:2" ht="28.5" customHeight="1" x14ac:dyDescent="0.3">
      <c r="A101" s="12" t="s">
        <v>655</v>
      </c>
      <c r="B101" s="8" t="s">
        <v>656</v>
      </c>
    </row>
    <row r="102" spans="1:2" ht="28.5" customHeight="1" x14ac:dyDescent="0.3">
      <c r="A102" s="12" t="s">
        <v>657</v>
      </c>
      <c r="B102" s="8" t="s">
        <v>642</v>
      </c>
    </row>
    <row r="103" spans="1:2" ht="28.5" customHeight="1" x14ac:dyDescent="0.3">
      <c r="A103" s="12" t="s">
        <v>658</v>
      </c>
      <c r="B103" s="8" t="s">
        <v>644</v>
      </c>
    </row>
    <row r="104" spans="1:2" ht="28.5" customHeight="1" x14ac:dyDescent="0.3">
      <c r="A104" s="12" t="s">
        <v>659</v>
      </c>
      <c r="B104" s="8" t="s">
        <v>167</v>
      </c>
    </row>
    <row r="105" spans="1:2" ht="28.5" customHeight="1" x14ac:dyDescent="0.3">
      <c r="A105" s="12" t="s">
        <v>660</v>
      </c>
      <c r="B105" s="8" t="s">
        <v>661</v>
      </c>
    </row>
    <row r="106" spans="1:2" ht="28.5" customHeight="1" x14ac:dyDescent="0.3">
      <c r="A106" s="12" t="s">
        <v>662</v>
      </c>
      <c r="B106" s="8" t="s">
        <v>663</v>
      </c>
    </row>
    <row r="107" spans="1:2" ht="28.5" customHeight="1" x14ac:dyDescent="0.3">
      <c r="A107" s="12" t="s">
        <v>664</v>
      </c>
      <c r="B107" s="8" t="s">
        <v>665</v>
      </c>
    </row>
    <row r="108" spans="1:2" ht="28.5" customHeight="1" x14ac:dyDescent="0.3">
      <c r="A108" s="12" t="s">
        <v>666</v>
      </c>
      <c r="B108" s="8" t="s">
        <v>667</v>
      </c>
    </row>
    <row r="109" spans="1:2" ht="28.5" customHeight="1" x14ac:dyDescent="0.3">
      <c r="A109" s="12" t="s">
        <v>668</v>
      </c>
      <c r="B109" s="8" t="s">
        <v>669</v>
      </c>
    </row>
    <row r="110" spans="1:2" ht="28.5" customHeight="1" x14ac:dyDescent="0.3">
      <c r="A110" s="11" t="s">
        <v>670</v>
      </c>
      <c r="B110" s="8" t="s">
        <v>671</v>
      </c>
    </row>
    <row r="111" spans="1:2" ht="28.5" customHeight="1" x14ac:dyDescent="0.3">
      <c r="A111" s="12" t="s">
        <v>672</v>
      </c>
      <c r="B111" s="8" t="s">
        <v>673</v>
      </c>
    </row>
    <row r="112" spans="1:2" ht="28.5" customHeight="1" x14ac:dyDescent="0.3">
      <c r="A112" s="12" t="s">
        <v>672</v>
      </c>
      <c r="B112" s="8" t="s">
        <v>673</v>
      </c>
    </row>
    <row r="113" spans="1:2" ht="28.5" customHeight="1" x14ac:dyDescent="0.3">
      <c r="A113" s="12" t="s">
        <v>674</v>
      </c>
      <c r="B113" s="8" t="s">
        <v>675</v>
      </c>
    </row>
    <row r="114" spans="1:2" ht="28.5" customHeight="1" x14ac:dyDescent="0.3">
      <c r="A114" s="12" t="s">
        <v>676</v>
      </c>
      <c r="B114" s="8" t="s">
        <v>677</v>
      </c>
    </row>
    <row r="115" spans="1:2" ht="28.5" customHeight="1" x14ac:dyDescent="0.3">
      <c r="A115" s="12" t="s">
        <v>678</v>
      </c>
      <c r="B115" s="8" t="s">
        <v>679</v>
      </c>
    </row>
    <row r="116" spans="1:2" ht="28.5" customHeight="1" x14ac:dyDescent="0.3">
      <c r="A116" s="12" t="s">
        <v>680</v>
      </c>
      <c r="B116" s="8" t="s">
        <v>681</v>
      </c>
    </row>
    <row r="117" spans="1:2" ht="28.5" customHeight="1" x14ac:dyDescent="0.3">
      <c r="A117" s="12" t="s">
        <v>682</v>
      </c>
      <c r="B117" s="8" t="s">
        <v>683</v>
      </c>
    </row>
    <row r="118" spans="1:2" ht="28.5" customHeight="1" x14ac:dyDescent="0.3">
      <c r="A118" s="12" t="s">
        <v>684</v>
      </c>
      <c r="B118" s="8" t="s">
        <v>685</v>
      </c>
    </row>
    <row r="119" spans="1:2" ht="28.5" customHeight="1" x14ac:dyDescent="0.3">
      <c r="A119" s="12" t="s">
        <v>686</v>
      </c>
      <c r="B119" s="8" t="s">
        <v>687</v>
      </c>
    </row>
    <row r="120" spans="1:2" ht="28.5" customHeight="1" x14ac:dyDescent="0.3">
      <c r="A120" s="12" t="s">
        <v>688</v>
      </c>
      <c r="B120" s="8" t="s">
        <v>689</v>
      </c>
    </row>
    <row r="121" spans="1:2" ht="28.5" customHeight="1" x14ac:dyDescent="0.3">
      <c r="A121" s="12" t="s">
        <v>690</v>
      </c>
      <c r="B121" s="8" t="s">
        <v>691</v>
      </c>
    </row>
    <row r="122" spans="1:2" ht="28.5" customHeight="1" x14ac:dyDescent="0.3">
      <c r="A122" s="12" t="s">
        <v>692</v>
      </c>
      <c r="B122" s="8" t="s">
        <v>693</v>
      </c>
    </row>
    <row r="123" spans="1:2" ht="28.5" customHeight="1" x14ac:dyDescent="0.3">
      <c r="A123" s="11" t="s">
        <v>694</v>
      </c>
      <c r="B123" s="8" t="s">
        <v>167</v>
      </c>
    </row>
    <row r="124" spans="1:2" ht="28.5" customHeight="1" x14ac:dyDescent="0.3">
      <c r="A124" s="12" t="s">
        <v>695</v>
      </c>
      <c r="B124" s="8" t="s">
        <v>696</v>
      </c>
    </row>
    <row r="125" spans="1:2" ht="28.5" customHeight="1" x14ac:dyDescent="0.3">
      <c r="A125" s="12" t="s">
        <v>227</v>
      </c>
      <c r="B125" s="8" t="s">
        <v>226</v>
      </c>
    </row>
    <row r="126" spans="1:2" ht="28.5" customHeight="1" x14ac:dyDescent="0.3">
      <c r="A126" s="12" t="s">
        <v>239</v>
      </c>
      <c r="B126" s="8" t="s">
        <v>478</v>
      </c>
    </row>
    <row r="127" spans="1:2" ht="28.5" customHeight="1" x14ac:dyDescent="0.3">
      <c r="A127" s="11" t="s">
        <v>250</v>
      </c>
      <c r="B127" s="8" t="s">
        <v>249</v>
      </c>
    </row>
    <row r="128" spans="1:2" ht="28.5" customHeight="1" x14ac:dyDescent="0.3">
      <c r="A128" s="12" t="s">
        <v>189</v>
      </c>
      <c r="B128" s="8" t="s">
        <v>188</v>
      </c>
    </row>
    <row r="129" spans="1:2" ht="28.5" customHeight="1" x14ac:dyDescent="0.3">
      <c r="A129" s="12" t="s">
        <v>98</v>
      </c>
      <c r="B129" s="8" t="s">
        <v>97</v>
      </c>
    </row>
    <row r="130" spans="1:2" ht="28.5" customHeight="1" x14ac:dyDescent="0.3">
      <c r="A130" s="11" t="s">
        <v>386</v>
      </c>
      <c r="B130" s="8" t="s">
        <v>487</v>
      </c>
    </row>
    <row r="131" spans="1:2" ht="28.5" customHeight="1" x14ac:dyDescent="0.3">
      <c r="A131" s="12" t="s">
        <v>264</v>
      </c>
      <c r="B131" s="8" t="s">
        <v>697</v>
      </c>
    </row>
    <row r="132" spans="1:2" ht="28.5" customHeight="1" x14ac:dyDescent="0.3">
      <c r="A132" s="12" t="s">
        <v>438</v>
      </c>
      <c r="B132" s="8" t="s">
        <v>437</v>
      </c>
    </row>
    <row r="133" spans="1:2" ht="28.5" customHeight="1" x14ac:dyDescent="0.3">
      <c r="A133" s="11" t="s">
        <v>152</v>
      </c>
      <c r="B133" s="8" t="s">
        <v>151</v>
      </c>
    </row>
    <row r="134" spans="1:2" ht="28.5" customHeight="1" x14ac:dyDescent="0.3">
      <c r="A134" s="11" t="s">
        <v>209</v>
      </c>
      <c r="B134" s="8" t="s">
        <v>208</v>
      </c>
    </row>
    <row r="135" spans="1:2" ht="28.5" customHeight="1" x14ac:dyDescent="0.3">
      <c r="A135" s="11" t="s">
        <v>168</v>
      </c>
      <c r="B135" s="8" t="s">
        <v>167</v>
      </c>
    </row>
    <row r="136" spans="1:2" ht="28.5" customHeight="1" x14ac:dyDescent="0.3">
      <c r="A136" s="12" t="s">
        <v>158</v>
      </c>
      <c r="B136" s="8" t="s">
        <v>157</v>
      </c>
    </row>
    <row r="137" spans="1:2" ht="28.5" customHeight="1" x14ac:dyDescent="0.3">
      <c r="A137" s="12" t="s">
        <v>698</v>
      </c>
      <c r="B137" s="8" t="s">
        <v>699</v>
      </c>
    </row>
    <row r="138" spans="1:2" ht="28.5" customHeight="1" x14ac:dyDescent="0.3">
      <c r="A138" s="12" t="s">
        <v>700</v>
      </c>
      <c r="B138" s="8" t="s">
        <v>701</v>
      </c>
    </row>
    <row r="139" spans="1:2" ht="28.5" customHeight="1" x14ac:dyDescent="0.3">
      <c r="A139" s="12" t="s">
        <v>702</v>
      </c>
      <c r="B139" s="8" t="s">
        <v>703</v>
      </c>
    </row>
    <row r="140" spans="1:2" ht="28.5" customHeight="1" x14ac:dyDescent="0.3">
      <c r="A140" s="12" t="s">
        <v>704</v>
      </c>
      <c r="B140" s="8" t="s">
        <v>705</v>
      </c>
    </row>
    <row r="141" spans="1:2" ht="28.5" customHeight="1" x14ac:dyDescent="0.3">
      <c r="A141" s="12" t="s">
        <v>706</v>
      </c>
      <c r="B141" s="8" t="s">
        <v>707</v>
      </c>
    </row>
    <row r="142" spans="1:2" ht="28.5" customHeight="1" x14ac:dyDescent="0.3">
      <c r="A142" s="12" t="s">
        <v>708</v>
      </c>
      <c r="B142" s="8" t="s">
        <v>709</v>
      </c>
    </row>
    <row r="143" spans="1:2" ht="28.5" customHeight="1" x14ac:dyDescent="0.3">
      <c r="A143" s="12" t="s">
        <v>710</v>
      </c>
      <c r="B143" s="8" t="s">
        <v>711</v>
      </c>
    </row>
    <row r="144" spans="1:2" ht="28.5" customHeight="1" x14ac:dyDescent="0.3">
      <c r="A144" s="11" t="s">
        <v>712</v>
      </c>
      <c r="B144" s="8" t="s">
        <v>713</v>
      </c>
    </row>
    <row r="145" spans="1:2" ht="28.5" customHeight="1" x14ac:dyDescent="0.3">
      <c r="A145" s="11" t="s">
        <v>714</v>
      </c>
      <c r="B145" s="8" t="s">
        <v>715</v>
      </c>
    </row>
    <row r="146" spans="1:2" ht="28.5" customHeight="1" x14ac:dyDescent="0.3">
      <c r="A146" s="11" t="s">
        <v>716</v>
      </c>
      <c r="B146" s="8" t="s">
        <v>717</v>
      </c>
    </row>
    <row r="147" spans="1:2" ht="28.5" customHeight="1" x14ac:dyDescent="0.3">
      <c r="A147" s="11" t="s">
        <v>718</v>
      </c>
      <c r="B147" s="8" t="s">
        <v>719</v>
      </c>
    </row>
    <row r="148" spans="1:2" ht="28.5" customHeight="1" x14ac:dyDescent="0.3">
      <c r="A148" s="11" t="s">
        <v>720</v>
      </c>
      <c r="B148" s="8" t="s">
        <v>721</v>
      </c>
    </row>
    <row r="149" spans="1:2" ht="28.5" customHeight="1" x14ac:dyDescent="0.3">
      <c r="A149" s="12" t="s">
        <v>722</v>
      </c>
      <c r="B149" s="8" t="s">
        <v>723</v>
      </c>
    </row>
    <row r="150" spans="1:2" ht="28.5" customHeight="1" x14ac:dyDescent="0.3">
      <c r="A150" s="12" t="s">
        <v>724</v>
      </c>
      <c r="B150" s="8" t="s">
        <v>725</v>
      </c>
    </row>
    <row r="151" spans="1:2" ht="28.5" customHeight="1" x14ac:dyDescent="0.3">
      <c r="A151" s="12" t="s">
        <v>726</v>
      </c>
      <c r="B151" s="8" t="s">
        <v>727</v>
      </c>
    </row>
    <row r="152" spans="1:2" ht="28.5" customHeight="1" x14ac:dyDescent="0.3">
      <c r="A152" s="12" t="s">
        <v>728</v>
      </c>
      <c r="B152" s="8" t="s">
        <v>729</v>
      </c>
    </row>
    <row r="153" spans="1:2" ht="28.5" customHeight="1" x14ac:dyDescent="0.3">
      <c r="A153" s="12" t="s">
        <v>730</v>
      </c>
      <c r="B153" s="8" t="s">
        <v>731</v>
      </c>
    </row>
    <row r="154" spans="1:2" ht="28.5" customHeight="1" x14ac:dyDescent="0.3">
      <c r="A154" s="12" t="s">
        <v>732</v>
      </c>
      <c r="B154" s="8" t="s">
        <v>733</v>
      </c>
    </row>
    <row r="155" spans="1:2" ht="28.5" customHeight="1" x14ac:dyDescent="0.3">
      <c r="A155" s="12" t="s">
        <v>734</v>
      </c>
      <c r="B155" s="8" t="s">
        <v>735</v>
      </c>
    </row>
    <row r="156" spans="1:2" ht="28.5" customHeight="1" x14ac:dyDescent="0.3">
      <c r="A156" s="12" t="s">
        <v>736</v>
      </c>
      <c r="B156" s="8" t="s">
        <v>737</v>
      </c>
    </row>
    <row r="157" spans="1:2" ht="28.5" customHeight="1" x14ac:dyDescent="0.3">
      <c r="A157" s="12" t="s">
        <v>738</v>
      </c>
      <c r="B157" s="8" t="s">
        <v>739</v>
      </c>
    </row>
    <row r="158" spans="1:2" ht="28.5" customHeight="1" x14ac:dyDescent="0.3">
      <c r="A158" s="12" t="s">
        <v>740</v>
      </c>
      <c r="B158" s="8" t="s">
        <v>741</v>
      </c>
    </row>
    <row r="159" spans="1:2" ht="28.5" customHeight="1" x14ac:dyDescent="0.3">
      <c r="A159" s="12" t="s">
        <v>742</v>
      </c>
      <c r="B159" s="8" t="s">
        <v>743</v>
      </c>
    </row>
    <row r="160" spans="1:2" ht="28.5" customHeight="1" x14ac:dyDescent="0.3">
      <c r="A160" s="11" t="s">
        <v>744</v>
      </c>
      <c r="B160" s="8" t="s">
        <v>745</v>
      </c>
    </row>
    <row r="161" spans="1:2" ht="28.5" customHeight="1" x14ac:dyDescent="0.3">
      <c r="A161" s="11" t="s">
        <v>746</v>
      </c>
      <c r="B161" s="8" t="s">
        <v>747</v>
      </c>
    </row>
    <row r="162" spans="1:2" ht="28.5" customHeight="1" x14ac:dyDescent="0.3">
      <c r="A162" s="12" t="s">
        <v>748</v>
      </c>
      <c r="B162" s="8" t="s">
        <v>749</v>
      </c>
    </row>
    <row r="163" spans="1:2" ht="28.5" customHeight="1" x14ac:dyDescent="0.3">
      <c r="A163" s="12" t="s">
        <v>750</v>
      </c>
      <c r="B163" s="8" t="s">
        <v>751</v>
      </c>
    </row>
    <row r="164" spans="1:2" ht="28.5" customHeight="1" x14ac:dyDescent="0.3">
      <c r="A164" s="11" t="s">
        <v>752</v>
      </c>
      <c r="B164" s="8" t="s">
        <v>226</v>
      </c>
    </row>
    <row r="165" spans="1:2" ht="28.5" customHeight="1" x14ac:dyDescent="0.3">
      <c r="A165" s="11" t="s">
        <v>753</v>
      </c>
      <c r="B165" s="8" t="s">
        <v>754</v>
      </c>
    </row>
    <row r="166" spans="1:2" ht="28.5" customHeight="1" x14ac:dyDescent="0.3">
      <c r="A166" s="12" t="s">
        <v>755</v>
      </c>
      <c r="B166" s="8" t="s">
        <v>97</v>
      </c>
    </row>
    <row r="167" spans="1:2" ht="28.5" customHeight="1" x14ac:dyDescent="0.3">
      <c r="A167" s="11" t="s">
        <v>756</v>
      </c>
      <c r="B167" s="8" t="s">
        <v>757</v>
      </c>
    </row>
    <row r="168" spans="1:2" ht="28.5" customHeight="1" x14ac:dyDescent="0.3">
      <c r="A168" s="11" t="s">
        <v>758</v>
      </c>
      <c r="B168" s="8" t="s">
        <v>489</v>
      </c>
    </row>
    <row r="169" spans="1:2" ht="28.5" customHeight="1" x14ac:dyDescent="0.3">
      <c r="A169" s="12" t="s">
        <v>759</v>
      </c>
      <c r="B169" s="8" t="s">
        <v>487</v>
      </c>
    </row>
    <row r="170" spans="1:2" ht="28.5" customHeight="1" x14ac:dyDescent="0.3">
      <c r="A170" s="11" t="s">
        <v>760</v>
      </c>
      <c r="B170" s="8" t="s">
        <v>437</v>
      </c>
    </row>
    <row r="171" spans="1:2" ht="28.5" customHeight="1" x14ac:dyDescent="0.3">
      <c r="A171" s="12" t="s">
        <v>761</v>
      </c>
      <c r="B171" s="8" t="s">
        <v>157</v>
      </c>
    </row>
    <row r="172" spans="1:2" ht="28.5" customHeight="1" x14ac:dyDescent="0.3">
      <c r="A172" s="12" t="s">
        <v>762</v>
      </c>
      <c r="B172" s="23" t="s">
        <v>226</v>
      </c>
    </row>
    <row r="173" spans="1:2" ht="28.5" customHeight="1" x14ac:dyDescent="0.3">
      <c r="A173" s="12" t="s">
        <v>763</v>
      </c>
      <c r="B173" s="23" t="s">
        <v>534</v>
      </c>
    </row>
    <row r="174" spans="1:2" ht="28.5" customHeight="1" x14ac:dyDescent="0.3">
      <c r="A174" s="11" t="s">
        <v>764</v>
      </c>
      <c r="B174" s="5" t="s">
        <v>543</v>
      </c>
    </row>
    <row r="175" spans="1:2" ht="28.5" customHeight="1" x14ac:dyDescent="0.3">
      <c r="A175" s="11" t="s">
        <v>765</v>
      </c>
      <c r="B175" s="5" t="s">
        <v>537</v>
      </c>
    </row>
    <row r="176" spans="1:2" ht="28.5" customHeight="1" x14ac:dyDescent="0.3">
      <c r="A176" s="11" t="s">
        <v>766</v>
      </c>
      <c r="B176" s="5" t="s">
        <v>532</v>
      </c>
    </row>
    <row r="177" spans="1:2" ht="28.5" customHeight="1" x14ac:dyDescent="0.3">
      <c r="A177" s="12" t="s">
        <v>767</v>
      </c>
      <c r="B177" s="23" t="s">
        <v>385</v>
      </c>
    </row>
    <row r="178" spans="1:2" ht="28.5" customHeight="1" x14ac:dyDescent="0.3">
      <c r="A178" s="11" t="s">
        <v>768</v>
      </c>
      <c r="B178" s="5" t="s">
        <v>539</v>
      </c>
    </row>
    <row r="179" spans="1:2" ht="28.5" customHeight="1" x14ac:dyDescent="0.3">
      <c r="A179" s="12" t="s">
        <v>769</v>
      </c>
      <c r="B179" s="23" t="s">
        <v>541</v>
      </c>
    </row>
    <row r="180" spans="1:2" ht="28.5" customHeight="1" x14ac:dyDescent="0.3">
      <c r="A180" s="11" t="s">
        <v>770</v>
      </c>
      <c r="B180" s="5" t="s">
        <v>545</v>
      </c>
    </row>
    <row r="181" spans="1:2" ht="28.5" customHeight="1" x14ac:dyDescent="0.3">
      <c r="A181" s="11" t="s">
        <v>771</v>
      </c>
      <c r="B181" s="5" t="s">
        <v>547</v>
      </c>
    </row>
    <row r="182" spans="1:2" ht="28.5" customHeight="1" x14ac:dyDescent="0.3">
      <c r="A182" s="12" t="s">
        <v>772</v>
      </c>
      <c r="B182" s="23" t="s">
        <v>549</v>
      </c>
    </row>
    <row r="183" spans="1:2" ht="28.5" customHeight="1" x14ac:dyDescent="0.3">
      <c r="A183" s="12" t="s">
        <v>773</v>
      </c>
      <c r="B183" s="23" t="s">
        <v>167</v>
      </c>
    </row>
    <row r="184" spans="1:2" ht="28.5" customHeight="1" x14ac:dyDescent="0.3">
      <c r="A184" s="11" t="s">
        <v>774</v>
      </c>
      <c r="B184" s="8" t="s">
        <v>775</v>
      </c>
    </row>
    <row r="185" spans="1:2" ht="28.5" customHeight="1" x14ac:dyDescent="0.3">
      <c r="A185" s="12" t="s">
        <v>774</v>
      </c>
      <c r="B185" s="8" t="s">
        <v>776</v>
      </c>
    </row>
    <row r="186" spans="1:2" ht="28.5" customHeight="1" x14ac:dyDescent="0.3">
      <c r="A186" s="12" t="s">
        <v>777</v>
      </c>
      <c r="B186" s="8" t="s">
        <v>778</v>
      </c>
    </row>
    <row r="187" spans="1:2" ht="28.5" customHeight="1" x14ac:dyDescent="0.3">
      <c r="A187" s="12" t="s">
        <v>779</v>
      </c>
      <c r="B187" s="8" t="s">
        <v>780</v>
      </c>
    </row>
    <row r="188" spans="1:2" ht="28.5" customHeight="1" x14ac:dyDescent="0.3">
      <c r="A188" s="12" t="s">
        <v>781</v>
      </c>
      <c r="B188" s="8" t="s">
        <v>782</v>
      </c>
    </row>
    <row r="189" spans="1:2" ht="28.5" customHeight="1" x14ac:dyDescent="0.3">
      <c r="A189" s="11" t="s">
        <v>783</v>
      </c>
      <c r="B189" s="8" t="s">
        <v>784</v>
      </c>
    </row>
    <row r="190" spans="1:2" ht="28.5" customHeight="1" x14ac:dyDescent="0.3">
      <c r="A190" s="11" t="s">
        <v>783</v>
      </c>
      <c r="B190" s="8" t="s">
        <v>785</v>
      </c>
    </row>
    <row r="191" spans="1:2" ht="28.5" customHeight="1" x14ac:dyDescent="0.3">
      <c r="A191" s="11" t="s">
        <v>786</v>
      </c>
      <c r="B191" s="8" t="s">
        <v>787</v>
      </c>
    </row>
    <row r="192" spans="1:2" ht="28.5" customHeight="1" x14ac:dyDescent="0.3">
      <c r="A192" s="11" t="s">
        <v>786</v>
      </c>
      <c r="B192" s="8" t="s">
        <v>788</v>
      </c>
    </row>
    <row r="193" spans="1:2" ht="28.5" customHeight="1" x14ac:dyDescent="0.3">
      <c r="A193" s="11" t="s">
        <v>789</v>
      </c>
      <c r="B193" s="8" t="s">
        <v>790</v>
      </c>
    </row>
    <row r="194" spans="1:2" ht="28.5" customHeight="1" x14ac:dyDescent="0.3">
      <c r="A194" s="11" t="s">
        <v>789</v>
      </c>
      <c r="B194" s="8" t="s">
        <v>791</v>
      </c>
    </row>
    <row r="195" spans="1:2" ht="28.5" customHeight="1" x14ac:dyDescent="0.3">
      <c r="A195" s="11" t="s">
        <v>792</v>
      </c>
      <c r="B195" s="8" t="s">
        <v>793</v>
      </c>
    </row>
    <row r="196" spans="1:2" ht="28.5" customHeight="1" x14ac:dyDescent="0.3">
      <c r="A196" s="11" t="s">
        <v>792</v>
      </c>
      <c r="B196" s="8" t="s">
        <v>794</v>
      </c>
    </row>
    <row r="197" spans="1:2" ht="28.5" customHeight="1" x14ac:dyDescent="0.3">
      <c r="A197" s="11" t="s">
        <v>795</v>
      </c>
      <c r="B197" s="8" t="s">
        <v>796</v>
      </c>
    </row>
    <row r="198" spans="1:2" ht="28.5" customHeight="1" x14ac:dyDescent="0.3">
      <c r="A198" s="11" t="s">
        <v>797</v>
      </c>
      <c r="B198" s="8" t="s">
        <v>798</v>
      </c>
    </row>
    <row r="199" spans="1:2" ht="28.5" customHeight="1" x14ac:dyDescent="0.3">
      <c r="A199" s="11" t="s">
        <v>799</v>
      </c>
      <c r="B199" s="8" t="s">
        <v>800</v>
      </c>
    </row>
    <row r="200" spans="1:2" ht="28.5" customHeight="1" x14ac:dyDescent="0.3">
      <c r="A200" s="11" t="s">
        <v>801</v>
      </c>
      <c r="B200" s="8" t="s">
        <v>802</v>
      </c>
    </row>
    <row r="201" spans="1:2" ht="28.5" customHeight="1" x14ac:dyDescent="0.3">
      <c r="A201" s="11" t="s">
        <v>801</v>
      </c>
      <c r="B201" s="8" t="s">
        <v>803</v>
      </c>
    </row>
    <row r="202" spans="1:2" ht="28.5" customHeight="1" x14ac:dyDescent="0.3">
      <c r="A202" s="11" t="s">
        <v>804</v>
      </c>
      <c r="B202" s="8" t="s">
        <v>805</v>
      </c>
    </row>
    <row r="203" spans="1:2" ht="28.5" customHeight="1" x14ac:dyDescent="0.3">
      <c r="A203" s="12" t="s">
        <v>804</v>
      </c>
      <c r="B203" s="8" t="s">
        <v>806</v>
      </c>
    </row>
    <row r="204" spans="1:2" ht="28.5" customHeight="1" x14ac:dyDescent="0.3">
      <c r="A204" s="11" t="s">
        <v>807</v>
      </c>
      <c r="B204" s="8" t="s">
        <v>808</v>
      </c>
    </row>
    <row r="205" spans="1:2" ht="28.5" customHeight="1" x14ac:dyDescent="0.3">
      <c r="A205" s="12" t="s">
        <v>807</v>
      </c>
      <c r="B205" s="8" t="s">
        <v>809</v>
      </c>
    </row>
    <row r="206" spans="1:2" ht="28.5" customHeight="1" x14ac:dyDescent="0.3">
      <c r="A206" s="11" t="s">
        <v>810</v>
      </c>
      <c r="B206" s="8" t="s">
        <v>811</v>
      </c>
    </row>
    <row r="207" spans="1:2" ht="28.5" customHeight="1" x14ac:dyDescent="0.3">
      <c r="A207" s="12" t="s">
        <v>810</v>
      </c>
      <c r="B207" s="8" t="s">
        <v>812</v>
      </c>
    </row>
    <row r="208" spans="1:2" ht="28.5" customHeight="1" x14ac:dyDescent="0.3">
      <c r="A208" s="11" t="s">
        <v>813</v>
      </c>
      <c r="B208" s="8" t="s">
        <v>814</v>
      </c>
    </row>
    <row r="209" spans="1:2" ht="28.5" customHeight="1" x14ac:dyDescent="0.3">
      <c r="A209" s="12" t="s">
        <v>813</v>
      </c>
      <c r="B209" s="8" t="s">
        <v>815</v>
      </c>
    </row>
    <row r="210" spans="1:2" ht="28.5" customHeight="1" x14ac:dyDescent="0.3">
      <c r="A210" s="11" t="s">
        <v>816</v>
      </c>
      <c r="B210" s="8" t="s">
        <v>817</v>
      </c>
    </row>
    <row r="211" spans="1:2" ht="28.5" customHeight="1" x14ac:dyDescent="0.3">
      <c r="A211" s="12" t="s">
        <v>816</v>
      </c>
      <c r="B211" s="8" t="s">
        <v>818</v>
      </c>
    </row>
    <row r="212" spans="1:2" ht="28.5" customHeight="1" x14ac:dyDescent="0.3">
      <c r="A212" s="11" t="s">
        <v>819</v>
      </c>
      <c r="B212" s="8" t="s">
        <v>820</v>
      </c>
    </row>
    <row r="213" spans="1:2" ht="28.5" customHeight="1" x14ac:dyDescent="0.3">
      <c r="A213" s="12" t="s">
        <v>819</v>
      </c>
      <c r="B213" s="8" t="s">
        <v>821</v>
      </c>
    </row>
    <row r="214" spans="1:2" ht="28.5" customHeight="1" x14ac:dyDescent="0.3">
      <c r="A214" s="11" t="s">
        <v>822</v>
      </c>
      <c r="B214" s="8" t="s">
        <v>823</v>
      </c>
    </row>
    <row r="215" spans="1:2" ht="28.5" customHeight="1" x14ac:dyDescent="0.3">
      <c r="A215" s="11" t="s">
        <v>822</v>
      </c>
      <c r="B215" s="8" t="s">
        <v>824</v>
      </c>
    </row>
    <row r="216" spans="1:2" ht="28.5" customHeight="1" x14ac:dyDescent="0.3">
      <c r="A216" s="11" t="s">
        <v>825</v>
      </c>
      <c r="B216" s="8" t="s">
        <v>826</v>
      </c>
    </row>
    <row r="217" spans="1:2" ht="28.5" customHeight="1" x14ac:dyDescent="0.3">
      <c r="A217" s="11" t="s">
        <v>827</v>
      </c>
      <c r="B217" s="8" t="s">
        <v>828</v>
      </c>
    </row>
    <row r="218" spans="1:2" ht="28.5" customHeight="1" x14ac:dyDescent="0.3">
      <c r="A218" s="12" t="s">
        <v>827</v>
      </c>
      <c r="B218" s="8" t="s">
        <v>829</v>
      </c>
    </row>
    <row r="219" spans="1:2" ht="28.5" customHeight="1" x14ac:dyDescent="0.3">
      <c r="A219" s="11" t="s">
        <v>830</v>
      </c>
      <c r="B219" s="8" t="s">
        <v>831</v>
      </c>
    </row>
    <row r="220" spans="1:2" ht="28.5" customHeight="1" x14ac:dyDescent="0.3">
      <c r="A220" s="12" t="s">
        <v>830</v>
      </c>
      <c r="B220" s="8" t="s">
        <v>832</v>
      </c>
    </row>
    <row r="221" spans="1:2" ht="28.5" customHeight="1" x14ac:dyDescent="0.3">
      <c r="A221" s="12" t="s">
        <v>833</v>
      </c>
      <c r="B221" s="8" t="s">
        <v>834</v>
      </c>
    </row>
    <row r="222" spans="1:2" ht="28.5" customHeight="1" x14ac:dyDescent="0.3">
      <c r="A222" s="12" t="s">
        <v>835</v>
      </c>
      <c r="B222" s="8" t="s">
        <v>836</v>
      </c>
    </row>
    <row r="223" spans="1:2" ht="28.5" customHeight="1" x14ac:dyDescent="0.3">
      <c r="A223" s="12" t="s">
        <v>837</v>
      </c>
      <c r="B223" s="8" t="s">
        <v>838</v>
      </c>
    </row>
    <row r="224" spans="1:2" ht="28.5" customHeight="1" x14ac:dyDescent="0.3">
      <c r="A224" s="11" t="s">
        <v>839</v>
      </c>
      <c r="B224" s="8" t="s">
        <v>840</v>
      </c>
    </row>
    <row r="225" spans="1:2" ht="28.5" customHeight="1" x14ac:dyDescent="0.3">
      <c r="A225" s="12" t="s">
        <v>839</v>
      </c>
      <c r="B225" s="8" t="s">
        <v>841</v>
      </c>
    </row>
    <row r="226" spans="1:2" ht="28.5" customHeight="1" x14ac:dyDescent="0.3">
      <c r="A226" s="12" t="s">
        <v>842</v>
      </c>
      <c r="B226" s="8" t="s">
        <v>843</v>
      </c>
    </row>
    <row r="227" spans="1:2" ht="28.5" customHeight="1" x14ac:dyDescent="0.3">
      <c r="A227" s="12" t="s">
        <v>844</v>
      </c>
      <c r="B227" s="8" t="s">
        <v>845</v>
      </c>
    </row>
    <row r="228" spans="1:2" ht="28.5" customHeight="1" x14ac:dyDescent="0.3">
      <c r="A228" s="12" t="s">
        <v>846</v>
      </c>
      <c r="B228" s="8" t="s">
        <v>847</v>
      </c>
    </row>
    <row r="229" spans="1:2" ht="28.5" customHeight="1" x14ac:dyDescent="0.3">
      <c r="A229" s="12" t="s">
        <v>848</v>
      </c>
      <c r="B229" s="8" t="s">
        <v>849</v>
      </c>
    </row>
    <row r="230" spans="1:2" ht="28.5" customHeight="1" x14ac:dyDescent="0.3">
      <c r="A230" s="12" t="s">
        <v>850</v>
      </c>
      <c r="B230" s="8" t="s">
        <v>851</v>
      </c>
    </row>
    <row r="231" spans="1:2" ht="28.5" customHeight="1" x14ac:dyDescent="0.3">
      <c r="A231" s="11" t="s">
        <v>852</v>
      </c>
      <c r="B231" s="8" t="s">
        <v>853</v>
      </c>
    </row>
    <row r="232" spans="1:2" ht="28.5" customHeight="1" x14ac:dyDescent="0.3">
      <c r="A232" s="11" t="s">
        <v>852</v>
      </c>
      <c r="B232" s="8" t="s">
        <v>854</v>
      </c>
    </row>
    <row r="233" spans="1:2" ht="28.5" customHeight="1" x14ac:dyDescent="0.3">
      <c r="A233" s="12" t="s">
        <v>855</v>
      </c>
      <c r="B233" s="8" t="s">
        <v>856</v>
      </c>
    </row>
    <row r="234" spans="1:2" ht="28.5" customHeight="1" x14ac:dyDescent="0.3">
      <c r="A234" s="12" t="s">
        <v>857</v>
      </c>
      <c r="B234" s="8" t="s">
        <v>858</v>
      </c>
    </row>
    <row r="235" spans="1:2" ht="28.5" customHeight="1" x14ac:dyDescent="0.3">
      <c r="A235" s="12" t="s">
        <v>859</v>
      </c>
      <c r="B235" s="8" t="s">
        <v>860</v>
      </c>
    </row>
    <row r="236" spans="1:2" ht="28.5" customHeight="1" x14ac:dyDescent="0.3">
      <c r="A236" s="11" t="s">
        <v>861</v>
      </c>
      <c r="B236" s="8" t="s">
        <v>862</v>
      </c>
    </row>
    <row r="237" spans="1:2" ht="28.5" customHeight="1" x14ac:dyDescent="0.3">
      <c r="A237" s="11" t="s">
        <v>863</v>
      </c>
      <c r="B237" s="8" t="s">
        <v>864</v>
      </c>
    </row>
    <row r="238" spans="1:2" ht="28.5" customHeight="1" x14ac:dyDescent="0.3">
      <c r="A238" s="11" t="s">
        <v>865</v>
      </c>
      <c r="B238" s="8" t="s">
        <v>866</v>
      </c>
    </row>
    <row r="239" spans="1:2" ht="28.5" customHeight="1" x14ac:dyDescent="0.3">
      <c r="A239" s="11" t="s">
        <v>867</v>
      </c>
      <c r="B239" s="8" t="s">
        <v>868</v>
      </c>
    </row>
    <row r="240" spans="1:2" ht="28.5" customHeight="1" x14ac:dyDescent="0.3">
      <c r="A240" s="11" t="s">
        <v>869</v>
      </c>
      <c r="B240" s="8" t="s">
        <v>870</v>
      </c>
    </row>
    <row r="241" spans="1:2" ht="28.5" customHeight="1" x14ac:dyDescent="0.3">
      <c r="A241" s="11" t="s">
        <v>871</v>
      </c>
      <c r="B241" s="8" t="s">
        <v>872</v>
      </c>
    </row>
    <row r="242" spans="1:2" ht="28.5" customHeight="1" x14ac:dyDescent="0.3">
      <c r="A242" s="11" t="s">
        <v>873</v>
      </c>
      <c r="B242" s="8" t="s">
        <v>874</v>
      </c>
    </row>
    <row r="243" spans="1:2" ht="28.5" customHeight="1" x14ac:dyDescent="0.3">
      <c r="A243" s="12" t="s">
        <v>875</v>
      </c>
      <c r="B243" s="8" t="s">
        <v>876</v>
      </c>
    </row>
    <row r="244" spans="1:2" ht="28.5" customHeight="1" x14ac:dyDescent="0.3">
      <c r="A244" s="12" t="s">
        <v>877</v>
      </c>
      <c r="B244" s="8" t="s">
        <v>878</v>
      </c>
    </row>
    <row r="245" spans="1:2" ht="28.5" customHeight="1" x14ac:dyDescent="0.3">
      <c r="A245" s="12" t="s">
        <v>879</v>
      </c>
      <c r="B245" s="8" t="s">
        <v>880</v>
      </c>
    </row>
    <row r="246" spans="1:2" ht="28.5" customHeight="1" x14ac:dyDescent="0.3">
      <c r="A246" s="12" t="s">
        <v>881</v>
      </c>
      <c r="B246" s="8" t="s">
        <v>882</v>
      </c>
    </row>
    <row r="247" spans="1:2" ht="28.5" customHeight="1" x14ac:dyDescent="0.3">
      <c r="A247" s="12" t="s">
        <v>883</v>
      </c>
      <c r="B247" s="8" t="s">
        <v>884</v>
      </c>
    </row>
    <row r="248" spans="1:2" ht="28.5" customHeight="1" x14ac:dyDescent="0.3">
      <c r="A248" s="12" t="s">
        <v>885</v>
      </c>
      <c r="B248" s="8" t="s">
        <v>886</v>
      </c>
    </row>
    <row r="249" spans="1:2" ht="28.5" customHeight="1" x14ac:dyDescent="0.3">
      <c r="A249" s="12" t="s">
        <v>887</v>
      </c>
      <c r="B249" s="8" t="s">
        <v>888</v>
      </c>
    </row>
    <row r="250" spans="1:2" ht="28.5" customHeight="1" x14ac:dyDescent="0.3">
      <c r="A250" s="12" t="s">
        <v>889</v>
      </c>
      <c r="B250" s="8" t="s">
        <v>890</v>
      </c>
    </row>
    <row r="251" spans="1:2" ht="28.5" customHeight="1" x14ac:dyDescent="0.3">
      <c r="A251" s="12" t="s">
        <v>891</v>
      </c>
      <c r="B251" s="8" t="s">
        <v>226</v>
      </c>
    </row>
    <row r="252" spans="1:2" ht="28.5" customHeight="1" x14ac:dyDescent="0.3">
      <c r="A252" s="11" t="s">
        <v>892</v>
      </c>
      <c r="B252" s="8" t="s">
        <v>437</v>
      </c>
    </row>
    <row r="253" spans="1:2" ht="28.5" customHeight="1" x14ac:dyDescent="0.3">
      <c r="A253" s="12" t="s">
        <v>893</v>
      </c>
      <c r="B253" s="8" t="s">
        <v>188</v>
      </c>
    </row>
    <row r="254" spans="1:2" ht="28.5" customHeight="1" x14ac:dyDescent="0.3">
      <c r="A254" s="11" t="s">
        <v>894</v>
      </c>
      <c r="B254" s="8" t="s">
        <v>487</v>
      </c>
    </row>
    <row r="255" spans="1:2" ht="28.5" customHeight="1" x14ac:dyDescent="0.3">
      <c r="A255" s="11" t="s">
        <v>895</v>
      </c>
      <c r="B255" s="8" t="s">
        <v>97</v>
      </c>
    </row>
    <row r="256" spans="1:2" ht="28.5" customHeight="1" x14ac:dyDescent="0.3">
      <c r="A256" s="12" t="s">
        <v>896</v>
      </c>
      <c r="B256" s="8" t="s">
        <v>249</v>
      </c>
    </row>
    <row r="257" spans="1:2" ht="28.5" customHeight="1" x14ac:dyDescent="0.3">
      <c r="A257" s="12" t="s">
        <v>897</v>
      </c>
      <c r="B257" s="8" t="s">
        <v>489</v>
      </c>
    </row>
    <row r="258" spans="1:2" ht="28.5" customHeight="1" x14ac:dyDescent="0.3">
      <c r="A258" s="12" t="s">
        <v>898</v>
      </c>
      <c r="B258" s="8" t="s">
        <v>478</v>
      </c>
    </row>
    <row r="259" spans="1:2" ht="28.5" customHeight="1" x14ac:dyDescent="0.3">
      <c r="A259" s="12" t="s">
        <v>899</v>
      </c>
      <c r="B259" s="8" t="s">
        <v>151</v>
      </c>
    </row>
    <row r="260" spans="1:2" ht="28.5" customHeight="1" x14ac:dyDescent="0.3">
      <c r="A260" s="11" t="s">
        <v>900</v>
      </c>
      <c r="B260" s="8" t="s">
        <v>167</v>
      </c>
    </row>
    <row r="261" spans="1:2" ht="28.5" customHeight="1" x14ac:dyDescent="0.3">
      <c r="A261" s="12" t="s">
        <v>901</v>
      </c>
      <c r="B261" s="8" t="s">
        <v>493</v>
      </c>
    </row>
    <row r="262" spans="1:2" ht="28.5" customHeight="1" x14ac:dyDescent="0.3">
      <c r="A262" s="12" t="s">
        <v>902</v>
      </c>
      <c r="B262" s="23" t="s">
        <v>226</v>
      </c>
    </row>
    <row r="263" spans="1:2" ht="28.5" customHeight="1" x14ac:dyDescent="0.3">
      <c r="A263" s="12" t="s">
        <v>903</v>
      </c>
      <c r="B263" s="23" t="s">
        <v>496</v>
      </c>
    </row>
    <row r="264" spans="1:2" ht="28.5" customHeight="1" x14ac:dyDescent="0.3">
      <c r="A264" s="12" t="s">
        <v>904</v>
      </c>
      <c r="B264" s="23" t="s">
        <v>757</v>
      </c>
    </row>
    <row r="265" spans="1:2" ht="28.5" customHeight="1" x14ac:dyDescent="0.3">
      <c r="A265" s="12" t="s">
        <v>905</v>
      </c>
      <c r="B265" s="23" t="s">
        <v>654</v>
      </c>
    </row>
    <row r="266" spans="1:2" ht="28.5" customHeight="1" x14ac:dyDescent="0.3">
      <c r="A266" s="12" t="s">
        <v>906</v>
      </c>
      <c r="B266" s="23" t="s">
        <v>656</v>
      </c>
    </row>
    <row r="267" spans="1:2" ht="28.5" customHeight="1" x14ac:dyDescent="0.3">
      <c r="A267" s="12" t="s">
        <v>907</v>
      </c>
      <c r="B267" s="23" t="s">
        <v>642</v>
      </c>
    </row>
    <row r="268" spans="1:2" ht="28.5" customHeight="1" x14ac:dyDescent="0.3">
      <c r="A268" s="12" t="s">
        <v>908</v>
      </c>
      <c r="B268" s="23" t="s">
        <v>644</v>
      </c>
    </row>
    <row r="269" spans="1:2" ht="28.5" customHeight="1" x14ac:dyDescent="0.3">
      <c r="A269" s="12" t="s">
        <v>909</v>
      </c>
      <c r="B269" s="23" t="s">
        <v>167</v>
      </c>
    </row>
    <row r="270" spans="1:2" ht="28.5" customHeight="1" x14ac:dyDescent="0.3">
      <c r="A270" s="11" t="s">
        <v>910</v>
      </c>
      <c r="B270" s="8" t="s">
        <v>511</v>
      </c>
    </row>
    <row r="271" spans="1:2" ht="28.5" customHeight="1" x14ac:dyDescent="0.3">
      <c r="A271" s="12" t="s">
        <v>911</v>
      </c>
      <c r="B271" s="8" t="s">
        <v>513</v>
      </c>
    </row>
    <row r="272" spans="1:2" ht="28.5" customHeight="1" x14ac:dyDescent="0.3">
      <c r="A272" s="12" t="s">
        <v>912</v>
      </c>
      <c r="B272" s="8" t="s">
        <v>515</v>
      </c>
    </row>
    <row r="273" spans="1:2" ht="28.5" customHeight="1" x14ac:dyDescent="0.3">
      <c r="A273" s="11" t="s">
        <v>913</v>
      </c>
      <c r="B273" s="8" t="s">
        <v>517</v>
      </c>
    </row>
    <row r="274" spans="1:2" ht="28.5" customHeight="1" x14ac:dyDescent="0.3">
      <c r="A274" s="12" t="s">
        <v>914</v>
      </c>
      <c r="B274" s="8" t="s">
        <v>519</v>
      </c>
    </row>
    <row r="275" spans="1:2" ht="28.5" customHeight="1" x14ac:dyDescent="0.3">
      <c r="A275" s="12" t="s">
        <v>915</v>
      </c>
      <c r="B275" s="8" t="s">
        <v>521</v>
      </c>
    </row>
    <row r="276" spans="1:2" ht="28.5" customHeight="1" x14ac:dyDescent="0.3">
      <c r="A276" s="12" t="s">
        <v>916</v>
      </c>
      <c r="B276" s="8" t="s">
        <v>523</v>
      </c>
    </row>
    <row r="277" spans="1:2" ht="28.5" customHeight="1" x14ac:dyDescent="0.3">
      <c r="A277" s="12" t="s">
        <v>917</v>
      </c>
      <c r="B277" s="8" t="s">
        <v>918</v>
      </c>
    </row>
    <row r="278" spans="1:2" ht="28.5" customHeight="1" x14ac:dyDescent="0.3">
      <c r="A278" s="12" t="s">
        <v>919</v>
      </c>
      <c r="B278" s="8" t="s">
        <v>527</v>
      </c>
    </row>
    <row r="279" spans="1:2" ht="28.5" customHeight="1" x14ac:dyDescent="0.3">
      <c r="A279" s="12" t="s">
        <v>920</v>
      </c>
      <c r="B279" s="8" t="s">
        <v>529</v>
      </c>
    </row>
    <row r="280" spans="1:2" ht="28.5" customHeight="1" x14ac:dyDescent="0.3">
      <c r="A280" s="12" t="s">
        <v>921</v>
      </c>
      <c r="B280" s="8" t="s">
        <v>226</v>
      </c>
    </row>
    <row r="281" spans="1:2" ht="28.5" customHeight="1" x14ac:dyDescent="0.3">
      <c r="A281" s="12" t="s">
        <v>922</v>
      </c>
      <c r="B281" s="8" t="s">
        <v>757</v>
      </c>
    </row>
    <row r="282" spans="1:2" ht="28.5" customHeight="1" x14ac:dyDescent="0.3">
      <c r="A282" s="12" t="s">
        <v>923</v>
      </c>
      <c r="B282" s="8" t="s">
        <v>496</v>
      </c>
    </row>
    <row r="283" spans="1:2" ht="28.5" customHeight="1" x14ac:dyDescent="0.3">
      <c r="A283" s="12" t="s">
        <v>924</v>
      </c>
      <c r="B283" s="8" t="s">
        <v>925</v>
      </c>
    </row>
    <row r="284" spans="1:2" ht="28.5" customHeight="1" x14ac:dyDescent="0.3">
      <c r="A284" s="12" t="s">
        <v>926</v>
      </c>
      <c r="B284" s="8" t="s">
        <v>487</v>
      </c>
    </row>
    <row r="285" spans="1:2" ht="28.5" customHeight="1" x14ac:dyDescent="0.3">
      <c r="A285" s="11" t="s">
        <v>927</v>
      </c>
      <c r="B285" s="8" t="s">
        <v>928</v>
      </c>
    </row>
    <row r="286" spans="1:2" ht="28.5" customHeight="1" x14ac:dyDescent="0.3">
      <c r="A286" s="11" t="s">
        <v>929</v>
      </c>
      <c r="B286" s="8" t="s">
        <v>930</v>
      </c>
    </row>
    <row r="287" spans="1:2" ht="28.5" customHeight="1" x14ac:dyDescent="0.3">
      <c r="A287" s="12" t="s">
        <v>931</v>
      </c>
      <c r="B287" s="8" t="s">
        <v>932</v>
      </c>
    </row>
    <row r="288" spans="1:2" ht="28.5" customHeight="1" x14ac:dyDescent="0.3">
      <c r="A288" s="12" t="s">
        <v>933</v>
      </c>
      <c r="B288" s="8" t="s">
        <v>934</v>
      </c>
    </row>
    <row r="289" spans="1:2" ht="28.5" customHeight="1" x14ac:dyDescent="0.3">
      <c r="A289" s="12" t="s">
        <v>935</v>
      </c>
      <c r="B289" s="8" t="s">
        <v>936</v>
      </c>
    </row>
    <row r="290" spans="1:2" ht="28.5" customHeight="1" x14ac:dyDescent="0.3">
      <c r="A290" s="12" t="s">
        <v>937</v>
      </c>
      <c r="B290" s="8" t="s">
        <v>938</v>
      </c>
    </row>
    <row r="291" spans="1:2" ht="28.5" customHeight="1" x14ac:dyDescent="0.3">
      <c r="A291" s="12" t="s">
        <v>939</v>
      </c>
      <c r="B291" s="8" t="s">
        <v>940</v>
      </c>
    </row>
    <row r="292" spans="1:2" ht="28.5" customHeight="1" x14ac:dyDescent="0.3">
      <c r="A292" s="12" t="s">
        <v>941</v>
      </c>
      <c r="B292" s="8" t="s">
        <v>942</v>
      </c>
    </row>
    <row r="293" spans="1:2" ht="28.5" customHeight="1" x14ac:dyDescent="0.3">
      <c r="A293" s="12" t="s">
        <v>943</v>
      </c>
      <c r="B293" s="8" t="s">
        <v>944</v>
      </c>
    </row>
    <row r="294" spans="1:2" ht="28.5" customHeight="1" x14ac:dyDescent="0.3">
      <c r="A294" s="12" t="s">
        <v>945</v>
      </c>
      <c r="B294" s="8" t="s">
        <v>167</v>
      </c>
    </row>
    <row r="295" spans="1:2" ht="28.5" customHeight="1" x14ac:dyDescent="0.3">
      <c r="A295" s="12" t="s">
        <v>946</v>
      </c>
      <c r="B295" s="8" t="s">
        <v>947</v>
      </c>
    </row>
    <row r="296" spans="1:2" ht="28.5" customHeight="1" x14ac:dyDescent="0.3">
      <c r="A296" s="12" t="s">
        <v>948</v>
      </c>
      <c r="B296" s="8" t="s">
        <v>496</v>
      </c>
    </row>
    <row r="297" spans="1:2" ht="28.5" customHeight="1" x14ac:dyDescent="0.3">
      <c r="A297" s="12" t="s">
        <v>949</v>
      </c>
      <c r="B297" s="8" t="s">
        <v>757</v>
      </c>
    </row>
    <row r="298" spans="1:2" ht="28.5" customHeight="1" x14ac:dyDescent="0.3">
      <c r="A298" s="12" t="s">
        <v>950</v>
      </c>
      <c r="B298" s="8" t="s">
        <v>951</v>
      </c>
    </row>
    <row r="299" spans="1:2" ht="28.5" customHeight="1" x14ac:dyDescent="0.3">
      <c r="A299" s="12" t="s">
        <v>952</v>
      </c>
      <c r="B299" s="8" t="s">
        <v>953</v>
      </c>
    </row>
    <row r="300" spans="1:2" ht="28.5" customHeight="1" x14ac:dyDescent="0.3">
      <c r="A300" s="11" t="s">
        <v>954</v>
      </c>
      <c r="B300" s="8" t="s">
        <v>656</v>
      </c>
    </row>
    <row r="301" spans="1:2" ht="28.5" customHeight="1" x14ac:dyDescent="0.3">
      <c r="A301" s="12" t="s">
        <v>955</v>
      </c>
      <c r="B301" s="8" t="s">
        <v>956</v>
      </c>
    </row>
    <row r="302" spans="1:2" ht="28.5" customHeight="1" x14ac:dyDescent="0.3">
      <c r="A302" s="12" t="s">
        <v>957</v>
      </c>
      <c r="B302" s="8" t="s">
        <v>644</v>
      </c>
    </row>
    <row r="303" spans="1:2" ht="28.5" customHeight="1" x14ac:dyDescent="0.3">
      <c r="A303" s="11" t="s">
        <v>958</v>
      </c>
      <c r="B303" s="8" t="s">
        <v>167</v>
      </c>
    </row>
    <row r="304" spans="1:2" ht="28.5" customHeight="1" x14ac:dyDescent="0.3">
      <c r="A304" s="12" t="s">
        <v>959</v>
      </c>
      <c r="B304" s="8" t="s">
        <v>226</v>
      </c>
    </row>
    <row r="305" spans="1:2" ht="28.5" customHeight="1" x14ac:dyDescent="0.3">
      <c r="A305" s="11" t="s">
        <v>960</v>
      </c>
      <c r="B305" s="8" t="s">
        <v>961</v>
      </c>
    </row>
    <row r="306" spans="1:2" ht="28.5" customHeight="1" x14ac:dyDescent="0.3">
      <c r="A306" s="11" t="s">
        <v>962</v>
      </c>
      <c r="B306" s="8" t="s">
        <v>532</v>
      </c>
    </row>
    <row r="307" spans="1:2" ht="28.5" customHeight="1" x14ac:dyDescent="0.3">
      <c r="A307" s="11" t="s">
        <v>963</v>
      </c>
      <c r="B307" s="8" t="s">
        <v>537</v>
      </c>
    </row>
    <row r="308" spans="1:2" ht="28.5" customHeight="1" x14ac:dyDescent="0.3">
      <c r="A308" s="11" t="s">
        <v>964</v>
      </c>
      <c r="B308" s="8" t="s">
        <v>167</v>
      </c>
    </row>
    <row r="309" spans="1:2" ht="28.5" customHeight="1" x14ac:dyDescent="0.3">
      <c r="A309" s="11" t="s">
        <v>965</v>
      </c>
      <c r="B309" s="8" t="s">
        <v>966</v>
      </c>
    </row>
    <row r="310" spans="1:2" ht="28.5" customHeight="1" x14ac:dyDescent="0.3">
      <c r="A310" s="12" t="s">
        <v>967</v>
      </c>
      <c r="B310" s="8" t="s">
        <v>437</v>
      </c>
    </row>
    <row r="311" spans="1:2" ht="28.5" customHeight="1" x14ac:dyDescent="0.3">
      <c r="A311" s="12" t="s">
        <v>968</v>
      </c>
      <c r="B311" s="8" t="s">
        <v>547</v>
      </c>
    </row>
    <row r="312" spans="1:2" ht="28.5" customHeight="1" x14ac:dyDescent="0.3">
      <c r="A312" s="11" t="s">
        <v>969</v>
      </c>
      <c r="B312" s="8" t="s">
        <v>545</v>
      </c>
    </row>
    <row r="313" spans="1:2" ht="28.5" customHeight="1" x14ac:dyDescent="0.3">
      <c r="A313" s="11" t="s">
        <v>970</v>
      </c>
      <c r="B313" s="8" t="s">
        <v>543</v>
      </c>
    </row>
    <row r="314" spans="1:2" ht="28.5" customHeight="1" x14ac:dyDescent="0.3">
      <c r="A314" s="12" t="s">
        <v>971</v>
      </c>
      <c r="B314" s="8" t="s">
        <v>534</v>
      </c>
    </row>
    <row r="315" spans="1:2" ht="28.5" customHeight="1" x14ac:dyDescent="0.3">
      <c r="A315" s="11" t="s">
        <v>972</v>
      </c>
      <c r="B315" s="8" t="s">
        <v>385</v>
      </c>
    </row>
    <row r="316" spans="1:2" ht="28.5" customHeight="1" x14ac:dyDescent="0.3">
      <c r="A316" s="12" t="s">
        <v>973</v>
      </c>
      <c r="B316" s="8" t="s">
        <v>226</v>
      </c>
    </row>
    <row r="317" spans="1:2" ht="28.5" customHeight="1" x14ac:dyDescent="0.3">
      <c r="A317" s="12" t="s">
        <v>974</v>
      </c>
      <c r="B317" s="8" t="s">
        <v>226</v>
      </c>
    </row>
    <row r="318" spans="1:2" ht="28.5" customHeight="1" x14ac:dyDescent="0.3">
      <c r="A318" s="12" t="s">
        <v>975</v>
      </c>
      <c r="B318" s="8" t="s">
        <v>976</v>
      </c>
    </row>
    <row r="319" spans="1:2" ht="28.5" customHeight="1" x14ac:dyDescent="0.3">
      <c r="A319" s="12" t="s">
        <v>977</v>
      </c>
      <c r="B319" s="8" t="s">
        <v>496</v>
      </c>
    </row>
    <row r="320" spans="1:2" ht="28.5" customHeight="1" x14ac:dyDescent="0.3">
      <c r="A320" s="12" t="s">
        <v>978</v>
      </c>
      <c r="B320" s="8" t="s">
        <v>757</v>
      </c>
    </row>
    <row r="321" spans="1:2" ht="28.5" customHeight="1" x14ac:dyDescent="0.3">
      <c r="A321" s="12" t="s">
        <v>979</v>
      </c>
      <c r="B321" s="8" t="s">
        <v>654</v>
      </c>
    </row>
    <row r="322" spans="1:2" ht="28.5" customHeight="1" x14ac:dyDescent="0.3">
      <c r="A322" s="11" t="s">
        <v>980</v>
      </c>
      <c r="B322" s="8" t="s">
        <v>981</v>
      </c>
    </row>
    <row r="323" spans="1:2" ht="28.5" customHeight="1" x14ac:dyDescent="0.3">
      <c r="A323" s="12" t="s">
        <v>982</v>
      </c>
      <c r="B323" s="8" t="s">
        <v>677</v>
      </c>
    </row>
    <row r="324" spans="1:2" ht="28.5" customHeight="1" x14ac:dyDescent="0.3">
      <c r="A324" s="12" t="s">
        <v>983</v>
      </c>
      <c r="B324" s="8" t="s">
        <v>679</v>
      </c>
    </row>
    <row r="325" spans="1:2" ht="28.5" customHeight="1" x14ac:dyDescent="0.3">
      <c r="A325" s="12" t="s">
        <v>984</v>
      </c>
      <c r="B325" s="8" t="s">
        <v>656</v>
      </c>
    </row>
    <row r="326" spans="1:2" ht="28.5" customHeight="1" x14ac:dyDescent="0.3">
      <c r="A326" s="12" t="s">
        <v>985</v>
      </c>
      <c r="B326" s="8" t="s">
        <v>642</v>
      </c>
    </row>
    <row r="327" spans="1:2" ht="28.5" customHeight="1" x14ac:dyDescent="0.3">
      <c r="A327" s="12" t="s">
        <v>986</v>
      </c>
      <c r="B327" s="8" t="s">
        <v>644</v>
      </c>
    </row>
    <row r="328" spans="1:2" ht="28.5" customHeight="1" x14ac:dyDescent="0.3">
      <c r="A328" s="12" t="s">
        <v>987</v>
      </c>
      <c r="B328" s="8" t="s">
        <v>167</v>
      </c>
    </row>
    <row r="329" spans="1:2" ht="28.5" customHeight="1" x14ac:dyDescent="0.3">
      <c r="A329" s="12" t="s">
        <v>987</v>
      </c>
      <c r="B329" s="8" t="s">
        <v>167</v>
      </c>
    </row>
    <row r="330" spans="1:2" ht="28.5" customHeight="1" x14ac:dyDescent="0.3">
      <c r="A330" s="12" t="s">
        <v>988</v>
      </c>
      <c r="B330" s="8" t="s">
        <v>226</v>
      </c>
    </row>
    <row r="331" spans="1:2" ht="28.5" customHeight="1" x14ac:dyDescent="0.3">
      <c r="A331" s="12" t="s">
        <v>989</v>
      </c>
      <c r="B331" s="8" t="s">
        <v>757</v>
      </c>
    </row>
    <row r="332" spans="1:2" ht="28.5" customHeight="1" x14ac:dyDescent="0.3">
      <c r="A332" s="12" t="s">
        <v>990</v>
      </c>
      <c r="B332" s="8" t="s">
        <v>496</v>
      </c>
    </row>
    <row r="333" spans="1:2" ht="28.5" customHeight="1" x14ac:dyDescent="0.3">
      <c r="A333" s="12" t="s">
        <v>991</v>
      </c>
      <c r="B333" s="8" t="s">
        <v>925</v>
      </c>
    </row>
    <row r="334" spans="1:2" ht="28.5" customHeight="1" x14ac:dyDescent="0.3">
      <c r="A334" s="12" t="s">
        <v>992</v>
      </c>
      <c r="B334" s="8" t="s">
        <v>487</v>
      </c>
    </row>
    <row r="335" spans="1:2" ht="28.5" customHeight="1" x14ac:dyDescent="0.3">
      <c r="A335" s="11" t="s">
        <v>993</v>
      </c>
      <c r="B335" s="8" t="s">
        <v>928</v>
      </c>
    </row>
    <row r="336" spans="1:2" ht="28.5" customHeight="1" x14ac:dyDescent="0.3">
      <c r="A336" s="12" t="s">
        <v>994</v>
      </c>
      <c r="B336" s="8" t="s">
        <v>930</v>
      </c>
    </row>
    <row r="337" spans="1:2" ht="28.5" customHeight="1" x14ac:dyDescent="0.3">
      <c r="A337" s="12" t="s">
        <v>995</v>
      </c>
      <c r="B337" s="8" t="s">
        <v>932</v>
      </c>
    </row>
    <row r="338" spans="1:2" ht="28.5" customHeight="1" x14ac:dyDescent="0.3">
      <c r="A338" s="12" t="s">
        <v>996</v>
      </c>
      <c r="B338" s="8" t="s">
        <v>934</v>
      </c>
    </row>
    <row r="339" spans="1:2" ht="28.5" customHeight="1" x14ac:dyDescent="0.3">
      <c r="A339" s="12" t="s">
        <v>997</v>
      </c>
      <c r="B339" s="8" t="s">
        <v>936</v>
      </c>
    </row>
    <row r="340" spans="1:2" ht="28.5" customHeight="1" x14ac:dyDescent="0.3">
      <c r="A340" s="12" t="s">
        <v>998</v>
      </c>
      <c r="B340" s="8" t="s">
        <v>938</v>
      </c>
    </row>
    <row r="341" spans="1:2" ht="28.5" customHeight="1" x14ac:dyDescent="0.3">
      <c r="A341" s="12" t="s">
        <v>999</v>
      </c>
      <c r="B341" s="8" t="s">
        <v>940</v>
      </c>
    </row>
    <row r="342" spans="1:2" ht="28.5" customHeight="1" x14ac:dyDescent="0.3">
      <c r="A342" s="12" t="s">
        <v>1000</v>
      </c>
      <c r="B342" s="8" t="s">
        <v>942</v>
      </c>
    </row>
    <row r="343" spans="1:2" ht="28.5" customHeight="1" x14ac:dyDescent="0.3">
      <c r="A343" s="12" t="s">
        <v>1001</v>
      </c>
      <c r="B343" s="8" t="s">
        <v>944</v>
      </c>
    </row>
    <row r="344" spans="1:2" ht="28.5" customHeight="1" x14ac:dyDescent="0.3">
      <c r="A344" s="12" t="s">
        <v>1002</v>
      </c>
      <c r="B344" s="8" t="s">
        <v>167</v>
      </c>
    </row>
    <row r="345" spans="1:2" ht="28.5" customHeight="1" x14ac:dyDescent="0.3">
      <c r="A345" s="12" t="s">
        <v>1003</v>
      </c>
      <c r="B345" s="8" t="s">
        <v>1004</v>
      </c>
    </row>
    <row r="346" spans="1:2" ht="28.5" customHeight="1" x14ac:dyDescent="0.3">
      <c r="A346" s="12" t="s">
        <v>1005</v>
      </c>
      <c r="B346" s="8" t="s">
        <v>1006</v>
      </c>
    </row>
    <row r="347" spans="1:2" ht="28.5" customHeight="1" x14ac:dyDescent="0.3">
      <c r="A347" s="12" t="s">
        <v>1007</v>
      </c>
      <c r="B347" s="8" t="s">
        <v>1008</v>
      </c>
    </row>
    <row r="348" spans="1:2" ht="28.5" customHeight="1" x14ac:dyDescent="0.3">
      <c r="A348" s="12" t="s">
        <v>1009</v>
      </c>
      <c r="B348" s="8" t="s">
        <v>500</v>
      </c>
    </row>
    <row r="349" spans="1:2" ht="28.5" customHeight="1" x14ac:dyDescent="0.3">
      <c r="A349" s="12" t="s">
        <v>1010</v>
      </c>
      <c r="B349" s="8" t="s">
        <v>1011</v>
      </c>
    </row>
    <row r="350" spans="1:2" ht="28.5" customHeight="1" x14ac:dyDescent="0.3">
      <c r="A350" s="12" t="s">
        <v>1012</v>
      </c>
      <c r="B350" s="8" t="s">
        <v>1013</v>
      </c>
    </row>
    <row r="351" spans="1:2" ht="28.5" customHeight="1" x14ac:dyDescent="0.3">
      <c r="A351" s="12" t="s">
        <v>1014</v>
      </c>
      <c r="B351" s="8" t="s">
        <v>1015</v>
      </c>
    </row>
    <row r="352" spans="1:2" ht="28.5" customHeight="1" x14ac:dyDescent="0.3">
      <c r="A352" s="12" t="s">
        <v>1016</v>
      </c>
      <c r="B352" s="8" t="s">
        <v>508</v>
      </c>
    </row>
    <row r="353" spans="1:2" ht="28.5" customHeight="1" x14ac:dyDescent="0.3">
      <c r="A353" s="12" t="s">
        <v>1017</v>
      </c>
      <c r="B353" s="8" t="s">
        <v>167</v>
      </c>
    </row>
    <row r="354" spans="1:2" ht="28.5" customHeight="1" x14ac:dyDescent="0.3">
      <c r="A354" s="12" t="s">
        <v>1018</v>
      </c>
      <c r="B354" s="8" t="s">
        <v>226</v>
      </c>
    </row>
    <row r="355" spans="1:2" ht="28.5" customHeight="1" x14ac:dyDescent="0.3">
      <c r="A355" s="12" t="s">
        <v>1019</v>
      </c>
      <c r="B355" s="8" t="s">
        <v>534</v>
      </c>
    </row>
    <row r="356" spans="1:2" ht="28.5" customHeight="1" x14ac:dyDescent="0.3">
      <c r="A356" s="11" t="s">
        <v>1020</v>
      </c>
      <c r="B356" s="8" t="s">
        <v>537</v>
      </c>
    </row>
    <row r="357" spans="1:2" ht="28.5" customHeight="1" x14ac:dyDescent="0.3">
      <c r="A357" s="11" t="s">
        <v>1021</v>
      </c>
      <c r="B357" s="8" t="s">
        <v>539</v>
      </c>
    </row>
    <row r="358" spans="1:2" ht="28.5" customHeight="1" x14ac:dyDescent="0.3">
      <c r="A358" s="11" t="s">
        <v>1022</v>
      </c>
      <c r="B358" s="8" t="s">
        <v>385</v>
      </c>
    </row>
    <row r="359" spans="1:2" ht="28.5" customHeight="1" x14ac:dyDescent="0.3">
      <c r="A359" s="12" t="s">
        <v>1023</v>
      </c>
      <c r="B359" s="8" t="s">
        <v>541</v>
      </c>
    </row>
    <row r="360" spans="1:2" ht="28.5" customHeight="1" x14ac:dyDescent="0.3">
      <c r="A360" s="12" t="s">
        <v>1024</v>
      </c>
      <c r="B360" s="8" t="s">
        <v>543</v>
      </c>
    </row>
    <row r="361" spans="1:2" ht="28.5" customHeight="1" x14ac:dyDescent="0.3">
      <c r="A361" s="11" t="s">
        <v>1025</v>
      </c>
      <c r="B361" s="8" t="s">
        <v>545</v>
      </c>
    </row>
    <row r="362" spans="1:2" ht="28.5" customHeight="1" x14ac:dyDescent="0.3">
      <c r="A362" s="11" t="s">
        <v>1026</v>
      </c>
      <c r="B362" s="8" t="s">
        <v>547</v>
      </c>
    </row>
    <row r="363" spans="1:2" ht="28.5" customHeight="1" x14ac:dyDescent="0.3">
      <c r="A363" s="11" t="s">
        <v>1027</v>
      </c>
      <c r="B363" s="8" t="s">
        <v>549</v>
      </c>
    </row>
    <row r="364" spans="1:2" ht="28.5" customHeight="1" x14ac:dyDescent="0.3">
      <c r="A364" s="12" t="s">
        <v>1028</v>
      </c>
      <c r="B364" s="8" t="s">
        <v>532</v>
      </c>
    </row>
    <row r="365" spans="1:2" ht="28.5" customHeight="1" x14ac:dyDescent="0.3">
      <c r="A365" s="12" t="s">
        <v>1029</v>
      </c>
      <c r="B365" s="8" t="s">
        <v>1030</v>
      </c>
    </row>
    <row r="366" spans="1:2" ht="28.5" customHeight="1" x14ac:dyDescent="0.3">
      <c r="A366" s="12" t="s">
        <v>1031</v>
      </c>
      <c r="B366" s="8" t="s">
        <v>226</v>
      </c>
    </row>
    <row r="367" spans="1:2" ht="28.5" customHeight="1" x14ac:dyDescent="0.3">
      <c r="A367" s="12" t="s">
        <v>1032</v>
      </c>
      <c r="B367" s="8" t="s">
        <v>754</v>
      </c>
    </row>
    <row r="368" spans="1:2" ht="28.5" customHeight="1" x14ac:dyDescent="0.3">
      <c r="A368" s="12" t="s">
        <v>1033</v>
      </c>
      <c r="B368" s="8" t="s">
        <v>757</v>
      </c>
    </row>
    <row r="369" spans="1:2" ht="28.5" customHeight="1" x14ac:dyDescent="0.3">
      <c r="A369" s="12" t="s">
        <v>1034</v>
      </c>
      <c r="B369" s="8" t="s">
        <v>951</v>
      </c>
    </row>
    <row r="370" spans="1:2" ht="28.5" customHeight="1" x14ac:dyDescent="0.3">
      <c r="A370" s="12" t="s">
        <v>1035</v>
      </c>
      <c r="B370" s="8" t="s">
        <v>1036</v>
      </c>
    </row>
    <row r="371" spans="1:2" ht="28.5" customHeight="1" x14ac:dyDescent="0.3">
      <c r="A371" s="12" t="s">
        <v>1037</v>
      </c>
      <c r="B371" s="8" t="s">
        <v>656</v>
      </c>
    </row>
    <row r="372" spans="1:2" ht="28.5" customHeight="1" x14ac:dyDescent="0.3">
      <c r="A372" s="11" t="s">
        <v>1038</v>
      </c>
      <c r="B372" s="8" t="s">
        <v>1039</v>
      </c>
    </row>
    <row r="373" spans="1:2" ht="28.5" customHeight="1" x14ac:dyDescent="0.3">
      <c r="A373" s="12" t="s">
        <v>1040</v>
      </c>
      <c r="B373" s="8" t="s">
        <v>644</v>
      </c>
    </row>
    <row r="374" spans="1:2" ht="28.5" customHeight="1" x14ac:dyDescent="0.3">
      <c r="A374" s="12" t="s">
        <v>1041</v>
      </c>
      <c r="B374" s="8" t="s">
        <v>644</v>
      </c>
    </row>
    <row r="375" spans="1:2" ht="28.5" customHeight="1" x14ac:dyDescent="0.3">
      <c r="A375" s="12" t="s">
        <v>1041</v>
      </c>
      <c r="B375" s="8" t="s">
        <v>644</v>
      </c>
    </row>
    <row r="376" spans="1:2" ht="28.5" customHeight="1" x14ac:dyDescent="0.3">
      <c r="A376" s="12" t="s">
        <v>1042</v>
      </c>
      <c r="B376" s="8" t="s">
        <v>1043</v>
      </c>
    </row>
    <row r="377" spans="1:2" ht="28.5" customHeight="1" x14ac:dyDescent="0.3">
      <c r="A377" s="12" t="s">
        <v>1044</v>
      </c>
      <c r="B377" s="8" t="s">
        <v>167</v>
      </c>
    </row>
    <row r="378" spans="1:2" ht="28.5" customHeight="1" x14ac:dyDescent="0.3">
      <c r="A378" s="11" t="s">
        <v>1045</v>
      </c>
      <c r="B378" s="8" t="s">
        <v>1046</v>
      </c>
    </row>
    <row r="379" spans="1:2" ht="28.5" customHeight="1" x14ac:dyDescent="0.3">
      <c r="A379" s="12" t="s">
        <v>1047</v>
      </c>
      <c r="B379" s="8" t="s">
        <v>226</v>
      </c>
    </row>
    <row r="380" spans="1:2" ht="28.5" customHeight="1" x14ac:dyDescent="0.3">
      <c r="A380" s="12" t="s">
        <v>1048</v>
      </c>
      <c r="B380" s="8" t="s">
        <v>496</v>
      </c>
    </row>
    <row r="381" spans="1:2" ht="28.5" customHeight="1" x14ac:dyDescent="0.3">
      <c r="A381" s="12" t="s">
        <v>1049</v>
      </c>
      <c r="B381" s="8" t="s">
        <v>757</v>
      </c>
    </row>
    <row r="382" spans="1:2" ht="28.5" customHeight="1" x14ac:dyDescent="0.3">
      <c r="A382" s="12" t="s">
        <v>1050</v>
      </c>
      <c r="B382" s="8" t="s">
        <v>654</v>
      </c>
    </row>
    <row r="383" spans="1:2" ht="28.5" customHeight="1" x14ac:dyDescent="0.3">
      <c r="A383" s="11" t="s">
        <v>1051</v>
      </c>
      <c r="B383" s="8" t="s">
        <v>602</v>
      </c>
    </row>
    <row r="384" spans="1:2" ht="28.5" customHeight="1" x14ac:dyDescent="0.3">
      <c r="A384" s="11" t="s">
        <v>1052</v>
      </c>
      <c r="B384" s="8" t="s">
        <v>604</v>
      </c>
    </row>
    <row r="385" spans="1:2" ht="28.5" customHeight="1" x14ac:dyDescent="0.3">
      <c r="A385" s="11" t="s">
        <v>1053</v>
      </c>
      <c r="B385" s="8" t="s">
        <v>606</v>
      </c>
    </row>
    <row r="386" spans="1:2" ht="28.5" customHeight="1" x14ac:dyDescent="0.3">
      <c r="A386" s="11" t="s">
        <v>1054</v>
      </c>
      <c r="B386" s="8" t="s">
        <v>1055</v>
      </c>
    </row>
    <row r="387" spans="1:2" ht="28.5" customHeight="1" x14ac:dyDescent="0.3">
      <c r="A387" s="11" t="s">
        <v>1056</v>
      </c>
      <c r="B387" s="8" t="s">
        <v>1057</v>
      </c>
    </row>
    <row r="388" spans="1:2" ht="28.5" customHeight="1" x14ac:dyDescent="0.3">
      <c r="A388" s="11" t="s">
        <v>1058</v>
      </c>
      <c r="B388" s="8" t="s">
        <v>624</v>
      </c>
    </row>
    <row r="389" spans="1:2" ht="28.5" customHeight="1" x14ac:dyDescent="0.3">
      <c r="A389" s="11" t="s">
        <v>1059</v>
      </c>
      <c r="B389" s="8" t="s">
        <v>626</v>
      </c>
    </row>
    <row r="390" spans="1:2" ht="28.5" customHeight="1" x14ac:dyDescent="0.3">
      <c r="A390" s="11" t="s">
        <v>1060</v>
      </c>
      <c r="B390" s="8" t="s">
        <v>628</v>
      </c>
    </row>
    <row r="391" spans="1:2" ht="28.5" customHeight="1" x14ac:dyDescent="0.3">
      <c r="A391" s="11" t="s">
        <v>1060</v>
      </c>
      <c r="B391" s="8" t="s">
        <v>628</v>
      </c>
    </row>
    <row r="392" spans="1:2" ht="28.5" customHeight="1" x14ac:dyDescent="0.3">
      <c r="A392" s="11" t="s">
        <v>1061</v>
      </c>
      <c r="B392" s="8" t="s">
        <v>1062</v>
      </c>
    </row>
    <row r="393" spans="1:2" ht="28.5" customHeight="1" x14ac:dyDescent="0.3">
      <c r="A393" s="11" t="s">
        <v>1063</v>
      </c>
      <c r="B393" s="8" t="s">
        <v>1064</v>
      </c>
    </row>
    <row r="394" spans="1:2" ht="28.5" customHeight="1" x14ac:dyDescent="0.3">
      <c r="A394" s="11" t="s">
        <v>1065</v>
      </c>
      <c r="B394" s="8" t="s">
        <v>1066</v>
      </c>
    </row>
    <row r="395" spans="1:2" ht="28.5" customHeight="1" x14ac:dyDescent="0.3">
      <c r="A395" s="11" t="s">
        <v>1067</v>
      </c>
      <c r="B395" s="8" t="s">
        <v>1068</v>
      </c>
    </row>
    <row r="396" spans="1:2" ht="28.5" customHeight="1" x14ac:dyDescent="0.3">
      <c r="A396" s="12" t="s">
        <v>1069</v>
      </c>
      <c r="B396" s="8" t="s">
        <v>1070</v>
      </c>
    </row>
    <row r="397" spans="1:2" ht="28.5" customHeight="1" x14ac:dyDescent="0.3">
      <c r="A397" s="12" t="s">
        <v>1071</v>
      </c>
      <c r="B397" s="8" t="s">
        <v>1072</v>
      </c>
    </row>
    <row r="398" spans="1:2" ht="28.5" customHeight="1" x14ac:dyDescent="0.3">
      <c r="A398" s="12" t="s">
        <v>1073</v>
      </c>
      <c r="B398" s="8" t="s">
        <v>1074</v>
      </c>
    </row>
    <row r="399" spans="1:2" ht="28.5" customHeight="1" x14ac:dyDescent="0.3">
      <c r="A399" s="11" t="s">
        <v>1075</v>
      </c>
      <c r="B399" s="8" t="s">
        <v>226</v>
      </c>
    </row>
    <row r="400" spans="1:2" ht="28.5" customHeight="1" x14ac:dyDescent="0.3">
      <c r="A400" s="12" t="s">
        <v>1076</v>
      </c>
      <c r="B400" s="8" t="s">
        <v>754</v>
      </c>
    </row>
    <row r="401" spans="1:2" ht="28.5" customHeight="1" x14ac:dyDescent="0.3">
      <c r="A401" s="12" t="s">
        <v>1077</v>
      </c>
      <c r="B401" s="8" t="s">
        <v>97</v>
      </c>
    </row>
    <row r="402" spans="1:2" ht="28.5" customHeight="1" x14ac:dyDescent="0.3">
      <c r="A402" s="11" t="s">
        <v>1078</v>
      </c>
      <c r="B402" s="8" t="s">
        <v>757</v>
      </c>
    </row>
    <row r="403" spans="1:2" ht="28.5" customHeight="1" x14ac:dyDescent="0.3">
      <c r="A403" s="11" t="s">
        <v>1079</v>
      </c>
      <c r="B403" s="8" t="s">
        <v>489</v>
      </c>
    </row>
    <row r="404" spans="1:2" ht="28.5" customHeight="1" x14ac:dyDescent="0.3">
      <c r="A404" s="12" t="s">
        <v>1080</v>
      </c>
      <c r="B404" s="8" t="s">
        <v>487</v>
      </c>
    </row>
    <row r="405" spans="1:2" ht="28.5" customHeight="1" x14ac:dyDescent="0.3">
      <c r="A405" s="11" t="s">
        <v>1081</v>
      </c>
      <c r="B405" s="8" t="s">
        <v>437</v>
      </c>
    </row>
    <row r="406" spans="1:2" ht="28.5" customHeight="1" x14ac:dyDescent="0.3">
      <c r="A406" s="12" t="s">
        <v>1082</v>
      </c>
      <c r="B406" s="8" t="s">
        <v>157</v>
      </c>
    </row>
    <row r="407" spans="1:2" ht="28.5" customHeight="1" x14ac:dyDescent="0.3">
      <c r="A407" s="12" t="s">
        <v>1083</v>
      </c>
      <c r="B407" s="8" t="s">
        <v>604</v>
      </c>
    </row>
    <row r="408" spans="1:2" ht="28.5" customHeight="1" x14ac:dyDescent="0.3">
      <c r="A408" s="12" t="s">
        <v>1084</v>
      </c>
      <c r="B408" s="8" t="s">
        <v>606</v>
      </c>
    </row>
    <row r="409" spans="1:2" ht="28.5" customHeight="1" x14ac:dyDescent="0.3">
      <c r="A409" s="12" t="s">
        <v>1085</v>
      </c>
      <c r="B409" s="8" t="s">
        <v>1055</v>
      </c>
    </row>
    <row r="410" spans="1:2" ht="28.5" customHeight="1" x14ac:dyDescent="0.3">
      <c r="A410" s="12" t="s">
        <v>1086</v>
      </c>
      <c r="B410" s="8" t="s">
        <v>1087</v>
      </c>
    </row>
    <row r="411" spans="1:2" ht="28.5" customHeight="1" x14ac:dyDescent="0.3">
      <c r="A411" s="12" t="s">
        <v>1088</v>
      </c>
      <c r="B411" s="8" t="s">
        <v>757</v>
      </c>
    </row>
    <row r="412" spans="1:2" ht="28.5" customHeight="1" x14ac:dyDescent="0.3">
      <c r="A412" s="12" t="s">
        <v>1089</v>
      </c>
      <c r="B412" s="8" t="s">
        <v>654</v>
      </c>
    </row>
    <row r="413" spans="1:2" ht="28.5" customHeight="1" x14ac:dyDescent="0.3">
      <c r="A413" s="11" t="s">
        <v>1090</v>
      </c>
      <c r="B413" s="8" t="s">
        <v>1057</v>
      </c>
    </row>
    <row r="414" spans="1:2" ht="28.5" customHeight="1" x14ac:dyDescent="0.3">
      <c r="A414" s="12" t="s">
        <v>1091</v>
      </c>
      <c r="B414" s="8" t="s">
        <v>622</v>
      </c>
    </row>
    <row r="415" spans="1:2" ht="28.5" customHeight="1" x14ac:dyDescent="0.3">
      <c r="A415" s="12" t="s">
        <v>1092</v>
      </c>
      <c r="B415" s="8" t="s">
        <v>1093</v>
      </c>
    </row>
    <row r="416" spans="1:2" ht="28.5" customHeight="1" x14ac:dyDescent="0.3">
      <c r="A416" s="12" t="s">
        <v>1094</v>
      </c>
      <c r="B416" s="8" t="s">
        <v>626</v>
      </c>
    </row>
    <row r="417" spans="1:2" ht="28.5" customHeight="1" x14ac:dyDescent="0.3">
      <c r="A417" s="11" t="s">
        <v>1095</v>
      </c>
      <c r="B417" s="8" t="s">
        <v>628</v>
      </c>
    </row>
    <row r="418" spans="1:2" ht="28.5" customHeight="1" x14ac:dyDescent="0.3">
      <c r="A418" s="12" t="s">
        <v>1096</v>
      </c>
      <c r="B418" s="8" t="s">
        <v>1097</v>
      </c>
    </row>
    <row r="419" spans="1:2" ht="28.5" customHeight="1" x14ac:dyDescent="0.3">
      <c r="A419" s="12" t="s">
        <v>1098</v>
      </c>
      <c r="B419" s="8" t="s">
        <v>1099</v>
      </c>
    </row>
    <row r="420" spans="1:2" ht="28.5" customHeight="1" x14ac:dyDescent="0.3">
      <c r="A420" s="12" t="s">
        <v>1100</v>
      </c>
      <c r="B420" s="8" t="s">
        <v>953</v>
      </c>
    </row>
    <row r="421" spans="1:2" ht="28.5" customHeight="1" x14ac:dyDescent="0.3">
      <c r="A421" s="12" t="s">
        <v>1101</v>
      </c>
      <c r="B421" s="8" t="s">
        <v>1102</v>
      </c>
    </row>
    <row r="422" spans="1:2" ht="28.5" customHeight="1" x14ac:dyDescent="0.3">
      <c r="A422" s="11" t="s">
        <v>1103</v>
      </c>
      <c r="B422" s="8" t="s">
        <v>1064</v>
      </c>
    </row>
    <row r="423" spans="1:2" ht="28.5" customHeight="1" x14ac:dyDescent="0.3">
      <c r="A423" s="12" t="s">
        <v>1104</v>
      </c>
      <c r="B423" s="8" t="s">
        <v>1105</v>
      </c>
    </row>
    <row r="424" spans="1:2" ht="28.5" customHeight="1" x14ac:dyDescent="0.3">
      <c r="A424" s="12" t="s">
        <v>1106</v>
      </c>
      <c r="B424" s="8" t="s">
        <v>644</v>
      </c>
    </row>
    <row r="425" spans="1:2" ht="28.5" customHeight="1" x14ac:dyDescent="0.3">
      <c r="A425" s="11" t="s">
        <v>1107</v>
      </c>
      <c r="B425" s="8" t="s">
        <v>647</v>
      </c>
    </row>
    <row r="426" spans="1:2" ht="28.5" customHeight="1" x14ac:dyDescent="0.3">
      <c r="A426" s="12" t="s">
        <v>1108</v>
      </c>
      <c r="B426" s="8" t="s">
        <v>1109</v>
      </c>
    </row>
    <row r="427" spans="1:2" ht="28.5" customHeight="1" x14ac:dyDescent="0.3">
      <c r="A427" s="12" t="s">
        <v>1110</v>
      </c>
      <c r="B427" s="8" t="s">
        <v>167</v>
      </c>
    </row>
    <row r="428" spans="1:2" ht="28.5" customHeight="1" x14ac:dyDescent="0.3">
      <c r="A428" s="12" t="s">
        <v>1111</v>
      </c>
      <c r="B428" s="8" t="s">
        <v>1112</v>
      </c>
    </row>
    <row r="429" spans="1:2" ht="28.5" customHeight="1" x14ac:dyDescent="0.3">
      <c r="A429" s="12" t="s">
        <v>1113</v>
      </c>
      <c r="B429" s="8" t="s">
        <v>1114</v>
      </c>
    </row>
    <row r="430" spans="1:2" ht="28.5" customHeight="1" x14ac:dyDescent="0.3">
      <c r="A430" s="12" t="s">
        <v>1115</v>
      </c>
      <c r="B430" s="8" t="s">
        <v>1006</v>
      </c>
    </row>
    <row r="431" spans="1:2" ht="28.5" customHeight="1" x14ac:dyDescent="0.3">
      <c r="A431" s="12" t="s">
        <v>1116</v>
      </c>
      <c r="B431" s="8" t="s">
        <v>1008</v>
      </c>
    </row>
    <row r="432" spans="1:2" ht="28.5" customHeight="1" x14ac:dyDescent="0.3">
      <c r="A432" s="12" t="s">
        <v>1117</v>
      </c>
      <c r="B432" s="8" t="s">
        <v>500</v>
      </c>
    </row>
    <row r="433" spans="1:2" ht="28.5" customHeight="1" x14ac:dyDescent="0.3">
      <c r="A433" s="12" t="s">
        <v>1118</v>
      </c>
      <c r="B433" s="8" t="s">
        <v>1119</v>
      </c>
    </row>
    <row r="434" spans="1:2" ht="28.5" customHeight="1" x14ac:dyDescent="0.3">
      <c r="A434" s="11" t="s">
        <v>1120</v>
      </c>
      <c r="B434" s="8" t="s">
        <v>1121</v>
      </c>
    </row>
    <row r="435" spans="1:2" ht="28.5" customHeight="1" x14ac:dyDescent="0.3">
      <c r="A435" s="12" t="s">
        <v>1122</v>
      </c>
      <c r="B435" s="8" t="s">
        <v>1123</v>
      </c>
    </row>
    <row r="436" spans="1:2" ht="28.5" customHeight="1" x14ac:dyDescent="0.3">
      <c r="A436" s="12" t="s">
        <v>1124</v>
      </c>
      <c r="B436" s="8" t="s">
        <v>1125</v>
      </c>
    </row>
    <row r="437" spans="1:2" ht="28.5" customHeight="1" x14ac:dyDescent="0.3">
      <c r="A437" s="12" t="s">
        <v>1126</v>
      </c>
      <c r="B437" s="8" t="s">
        <v>1127</v>
      </c>
    </row>
    <row r="438" spans="1:2" ht="28.5" customHeight="1" x14ac:dyDescent="0.3">
      <c r="A438" s="12" t="s">
        <v>1128</v>
      </c>
      <c r="B438" s="8" t="s">
        <v>167</v>
      </c>
    </row>
    <row r="439" spans="1:2" ht="28.5" customHeight="1" x14ac:dyDescent="0.3">
      <c r="A439" s="11" t="s">
        <v>1129</v>
      </c>
      <c r="B439" s="8" t="s">
        <v>511</v>
      </c>
    </row>
    <row r="440" spans="1:2" ht="28.5" customHeight="1" x14ac:dyDescent="0.3">
      <c r="A440" s="12" t="s">
        <v>1130</v>
      </c>
      <c r="B440" s="8" t="s">
        <v>513</v>
      </c>
    </row>
    <row r="441" spans="1:2" ht="28.5" customHeight="1" x14ac:dyDescent="0.3">
      <c r="A441" s="12" t="s">
        <v>1131</v>
      </c>
      <c r="B441" s="8" t="s">
        <v>515</v>
      </c>
    </row>
    <row r="442" spans="1:2" ht="28.5" customHeight="1" x14ac:dyDescent="0.3">
      <c r="A442" s="11" t="s">
        <v>1132</v>
      </c>
      <c r="B442" s="8" t="s">
        <v>1133</v>
      </c>
    </row>
    <row r="443" spans="1:2" ht="28.5" customHeight="1" x14ac:dyDescent="0.3">
      <c r="A443" s="12" t="s">
        <v>1134</v>
      </c>
      <c r="B443" s="8" t="s">
        <v>1135</v>
      </c>
    </row>
    <row r="444" spans="1:2" ht="28.5" customHeight="1" x14ac:dyDescent="0.3">
      <c r="A444" s="12" t="s">
        <v>1136</v>
      </c>
      <c r="B444" s="8" t="s">
        <v>1137</v>
      </c>
    </row>
    <row r="445" spans="1:2" ht="28.5" customHeight="1" x14ac:dyDescent="0.3">
      <c r="A445" s="12" t="s">
        <v>1138</v>
      </c>
      <c r="B445" s="8" t="s">
        <v>523</v>
      </c>
    </row>
    <row r="446" spans="1:2" ht="28.5" customHeight="1" x14ac:dyDescent="0.3">
      <c r="A446" s="12" t="s">
        <v>1139</v>
      </c>
      <c r="B446" s="8" t="s">
        <v>918</v>
      </c>
    </row>
    <row r="447" spans="1:2" ht="28.5" customHeight="1" x14ac:dyDescent="0.3">
      <c r="A447" s="12" t="s">
        <v>1140</v>
      </c>
      <c r="B447" s="8" t="s">
        <v>527</v>
      </c>
    </row>
    <row r="448" spans="1:2" ht="28.5" customHeight="1" x14ac:dyDescent="0.3">
      <c r="A448" s="12" t="s">
        <v>1141</v>
      </c>
      <c r="B448" s="8" t="s">
        <v>1142</v>
      </c>
    </row>
    <row r="449" spans="1:2" ht="28.5" customHeight="1" x14ac:dyDescent="0.3">
      <c r="A449" s="12" t="s">
        <v>1143</v>
      </c>
      <c r="B449" s="8" t="s">
        <v>529</v>
      </c>
    </row>
    <row r="450" spans="1:2" ht="28.5" customHeight="1" x14ac:dyDescent="0.3">
      <c r="A450" s="12" t="s">
        <v>1144</v>
      </c>
      <c r="B450" s="8" t="s">
        <v>1145</v>
      </c>
    </row>
    <row r="451" spans="1:2" ht="28.5" customHeight="1" x14ac:dyDescent="0.3">
      <c r="A451" s="11" t="s">
        <v>1146</v>
      </c>
      <c r="B451" s="8" t="s">
        <v>1147</v>
      </c>
    </row>
    <row r="452" spans="1:2" ht="28.5" customHeight="1" x14ac:dyDescent="0.3">
      <c r="A452" s="11" t="s">
        <v>1148</v>
      </c>
      <c r="B452" s="8" t="s">
        <v>437</v>
      </c>
    </row>
    <row r="453" spans="1:2" ht="28.5" customHeight="1" x14ac:dyDescent="0.3">
      <c r="A453" s="11" t="s">
        <v>1149</v>
      </c>
      <c r="B453" s="8" t="s">
        <v>1150</v>
      </c>
    </row>
    <row r="454" spans="1:2" ht="28.5" customHeight="1" x14ac:dyDescent="0.3">
      <c r="A454" s="12" t="s">
        <v>1151</v>
      </c>
      <c r="B454" s="8" t="s">
        <v>1152</v>
      </c>
    </row>
    <row r="455" spans="1:2" ht="28.5" customHeight="1" x14ac:dyDescent="0.3">
      <c r="A455" s="12" t="s">
        <v>1153</v>
      </c>
      <c r="B455" s="8" t="s">
        <v>1046</v>
      </c>
    </row>
    <row r="456" spans="1:2" ht="28.5" customHeight="1" x14ac:dyDescent="0.3">
      <c r="A456" s="12" t="s">
        <v>1154</v>
      </c>
      <c r="B456" s="8" t="s">
        <v>1155</v>
      </c>
    </row>
    <row r="457" spans="1:2" ht="28.5" customHeight="1" x14ac:dyDescent="0.3">
      <c r="A457" s="12" t="s">
        <v>1156</v>
      </c>
      <c r="B457" s="8" t="s">
        <v>1157</v>
      </c>
    </row>
    <row r="458" spans="1:2" ht="28.5" customHeight="1" x14ac:dyDescent="0.3">
      <c r="A458" s="12" t="s">
        <v>1158</v>
      </c>
      <c r="B458" s="8" t="s">
        <v>1159</v>
      </c>
    </row>
    <row r="459" spans="1:2" ht="28.5" customHeight="1" x14ac:dyDescent="0.3">
      <c r="A459" s="12" t="s">
        <v>1160</v>
      </c>
      <c r="B459" s="8" t="s">
        <v>1161</v>
      </c>
    </row>
    <row r="460" spans="1:2" ht="28.5" customHeight="1" x14ac:dyDescent="0.3">
      <c r="A460" s="12" t="s">
        <v>1162</v>
      </c>
      <c r="B460" s="8" t="s">
        <v>1057</v>
      </c>
    </row>
    <row r="461" spans="1:2" ht="28.5" customHeight="1" x14ac:dyDescent="0.3">
      <c r="A461" s="12" t="s">
        <v>1163</v>
      </c>
      <c r="B461" s="8" t="s">
        <v>1164</v>
      </c>
    </row>
    <row r="462" spans="1:2" ht="28.5" customHeight="1" x14ac:dyDescent="0.3">
      <c r="A462" s="12" t="s">
        <v>1165</v>
      </c>
      <c r="B462" s="8" t="s">
        <v>679</v>
      </c>
    </row>
    <row r="463" spans="1:2" ht="28.5" customHeight="1" x14ac:dyDescent="0.3">
      <c r="A463" s="12" t="s">
        <v>1166</v>
      </c>
      <c r="B463" s="8" t="s">
        <v>1167</v>
      </c>
    </row>
    <row r="464" spans="1:2" ht="28.5" customHeight="1" x14ac:dyDescent="0.3">
      <c r="A464" s="12" t="s">
        <v>1168</v>
      </c>
      <c r="B464" s="8" t="s">
        <v>1169</v>
      </c>
    </row>
    <row r="465" spans="1:2" ht="28.5" customHeight="1" x14ac:dyDescent="0.3">
      <c r="A465" s="12" t="s">
        <v>1170</v>
      </c>
      <c r="B465" s="8" t="s">
        <v>1171</v>
      </c>
    </row>
    <row r="466" spans="1:2" ht="28.5" customHeight="1" x14ac:dyDescent="0.3">
      <c r="A466" s="12" t="s">
        <v>1172</v>
      </c>
      <c r="B466" s="8" t="s">
        <v>1173</v>
      </c>
    </row>
    <row r="467" spans="1:2" ht="28.5" customHeight="1" x14ac:dyDescent="0.3">
      <c r="A467" s="12" t="s">
        <v>1174</v>
      </c>
      <c r="B467" s="8" t="s">
        <v>1175</v>
      </c>
    </row>
    <row r="468" spans="1:2" ht="28.5" customHeight="1" x14ac:dyDescent="0.3">
      <c r="A468" s="12" t="s">
        <v>1176</v>
      </c>
      <c r="B468" s="8" t="s">
        <v>1177</v>
      </c>
    </row>
    <row r="469" spans="1:2" ht="28.5" customHeight="1" x14ac:dyDescent="0.3">
      <c r="A469" s="12" t="s">
        <v>1178</v>
      </c>
      <c r="B469" s="8" t="s">
        <v>1179</v>
      </c>
    </row>
    <row r="470" spans="1:2" ht="28.5" customHeight="1" x14ac:dyDescent="0.3">
      <c r="A470" s="12" t="s">
        <v>1180</v>
      </c>
      <c r="B470" s="8" t="s">
        <v>1181</v>
      </c>
    </row>
    <row r="471" spans="1:2" ht="28.5" customHeight="1" x14ac:dyDescent="0.3">
      <c r="A471" s="12" t="s">
        <v>1182</v>
      </c>
      <c r="B471" s="8" t="s">
        <v>167</v>
      </c>
    </row>
    <row r="472" spans="1:2" ht="28.5" customHeight="1" x14ac:dyDescent="0.3">
      <c r="A472" s="12" t="s">
        <v>1183</v>
      </c>
      <c r="B472" s="8" t="s">
        <v>1184</v>
      </c>
    </row>
    <row r="473" spans="1:2" ht="28.5" customHeight="1" x14ac:dyDescent="0.3">
      <c r="A473" s="12" t="s">
        <v>1029</v>
      </c>
      <c r="B473" s="8" t="s">
        <v>1030</v>
      </c>
    </row>
    <row r="474" spans="1:2" ht="28.5" customHeight="1" x14ac:dyDescent="0.3">
      <c r="A474" s="12" t="s">
        <v>1185</v>
      </c>
      <c r="B474" s="8" t="s">
        <v>226</v>
      </c>
    </row>
    <row r="475" spans="1:2" ht="28.5" customHeight="1" x14ac:dyDescent="0.3">
      <c r="A475" s="11" t="s">
        <v>1186</v>
      </c>
      <c r="B475" s="8" t="s">
        <v>1187</v>
      </c>
    </row>
    <row r="476" spans="1:2" ht="28.5" customHeight="1" x14ac:dyDescent="0.3">
      <c r="A476" s="12" t="s">
        <v>1188</v>
      </c>
      <c r="B476" s="8" t="s">
        <v>757</v>
      </c>
    </row>
    <row r="477" spans="1:2" ht="28.5" customHeight="1" x14ac:dyDescent="0.3">
      <c r="A477" s="11" t="s">
        <v>1189</v>
      </c>
      <c r="B477" s="8" t="s">
        <v>1190</v>
      </c>
    </row>
    <row r="478" spans="1:2" ht="28.5" customHeight="1" x14ac:dyDescent="0.3">
      <c r="A478" s="12" t="s">
        <v>1191</v>
      </c>
      <c r="B478" s="8" t="s">
        <v>644</v>
      </c>
    </row>
    <row r="479" spans="1:2" ht="28.5" customHeight="1" x14ac:dyDescent="0.3">
      <c r="A479" s="12" t="s">
        <v>1189</v>
      </c>
      <c r="B479" s="8" t="s">
        <v>1190</v>
      </c>
    </row>
    <row r="480" spans="1:2" ht="28.5" customHeight="1" x14ac:dyDescent="0.3">
      <c r="A480" s="12" t="s">
        <v>1192</v>
      </c>
      <c r="B480" s="8" t="s">
        <v>167</v>
      </c>
    </row>
    <row r="481" spans="1:2" ht="28.5" customHeight="1" x14ac:dyDescent="0.3">
      <c r="A481" s="27" t="s">
        <v>1193</v>
      </c>
      <c r="B481" s="23" t="s">
        <v>1194</v>
      </c>
    </row>
    <row r="482" spans="1:2" ht="28.5" customHeight="1" x14ac:dyDescent="0.3">
      <c r="A482" s="12" t="s">
        <v>1195</v>
      </c>
      <c r="B482" s="8" t="s">
        <v>226</v>
      </c>
    </row>
    <row r="483" spans="1:2" ht="28.5" customHeight="1" x14ac:dyDescent="0.3">
      <c r="A483" s="12" t="s">
        <v>1196</v>
      </c>
      <c r="B483" s="8" t="s">
        <v>478</v>
      </c>
    </row>
    <row r="484" spans="1:2" ht="28.5" customHeight="1" x14ac:dyDescent="0.3">
      <c r="A484" s="11" t="s">
        <v>1197</v>
      </c>
      <c r="B484" s="8" t="s">
        <v>249</v>
      </c>
    </row>
    <row r="485" spans="1:2" ht="28.5" customHeight="1" x14ac:dyDescent="0.3">
      <c r="A485" s="12" t="s">
        <v>1198</v>
      </c>
      <c r="B485" s="8" t="s">
        <v>188</v>
      </c>
    </row>
    <row r="486" spans="1:2" ht="28.5" customHeight="1" x14ac:dyDescent="0.3">
      <c r="A486" s="12" t="s">
        <v>1199</v>
      </c>
      <c r="B486" s="8" t="s">
        <v>97</v>
      </c>
    </row>
    <row r="487" spans="1:2" ht="28.5" customHeight="1" x14ac:dyDescent="0.3">
      <c r="A487" s="11" t="s">
        <v>1200</v>
      </c>
      <c r="B487" s="8" t="s">
        <v>487</v>
      </c>
    </row>
    <row r="488" spans="1:2" ht="28.5" customHeight="1" x14ac:dyDescent="0.3">
      <c r="A488" s="12" t="s">
        <v>1201</v>
      </c>
      <c r="B488" s="8" t="s">
        <v>437</v>
      </c>
    </row>
    <row r="489" spans="1:2" ht="28.5" customHeight="1" x14ac:dyDescent="0.3">
      <c r="A489" s="12" t="s">
        <v>1202</v>
      </c>
      <c r="B489" s="8" t="s">
        <v>489</v>
      </c>
    </row>
    <row r="490" spans="1:2" ht="28.5" customHeight="1" x14ac:dyDescent="0.3">
      <c r="A490" s="11" t="s">
        <v>1203</v>
      </c>
      <c r="B490" s="8" t="s">
        <v>151</v>
      </c>
    </row>
    <row r="491" spans="1:2" ht="28.5" customHeight="1" x14ac:dyDescent="0.3">
      <c r="A491" s="11" t="s">
        <v>1204</v>
      </c>
      <c r="B491" s="8" t="s">
        <v>167</v>
      </c>
    </row>
    <row r="492" spans="1:2" ht="28.5" customHeight="1" x14ac:dyDescent="0.3">
      <c r="A492" s="12" t="s">
        <v>1205</v>
      </c>
      <c r="B492" s="8" t="s">
        <v>493</v>
      </c>
    </row>
    <row r="493" spans="1:2" ht="28.5" customHeight="1" x14ac:dyDescent="0.3">
      <c r="A493" s="11" t="s">
        <v>1206</v>
      </c>
      <c r="B493" s="8" t="s">
        <v>1207</v>
      </c>
    </row>
    <row r="494" spans="1:2" ht="28.5" customHeight="1" x14ac:dyDescent="0.3">
      <c r="A494" s="11" t="s">
        <v>1208</v>
      </c>
      <c r="B494" s="8" t="s">
        <v>1209</v>
      </c>
    </row>
    <row r="495" spans="1:2" ht="28.5" customHeight="1" x14ac:dyDescent="0.3">
      <c r="A495" s="12" t="s">
        <v>1210</v>
      </c>
      <c r="B495" s="8" t="s">
        <v>1211</v>
      </c>
    </row>
    <row r="496" spans="1:2" ht="28.5" customHeight="1" x14ac:dyDescent="0.3">
      <c r="A496" s="12" t="s">
        <v>1212</v>
      </c>
      <c r="B496" s="8" t="s">
        <v>226</v>
      </c>
    </row>
    <row r="497" spans="1:2" ht="28.5" customHeight="1" x14ac:dyDescent="0.3">
      <c r="A497" s="12" t="s">
        <v>1213</v>
      </c>
      <c r="B497" s="8" t="s">
        <v>478</v>
      </c>
    </row>
    <row r="498" spans="1:2" ht="28.5" customHeight="1" x14ac:dyDescent="0.3">
      <c r="A498" s="11" t="s">
        <v>1214</v>
      </c>
      <c r="B498" s="8" t="s">
        <v>249</v>
      </c>
    </row>
    <row r="499" spans="1:2" ht="28.5" customHeight="1" x14ac:dyDescent="0.3">
      <c r="A499" s="12" t="s">
        <v>1215</v>
      </c>
      <c r="B499" s="8" t="s">
        <v>188</v>
      </c>
    </row>
    <row r="500" spans="1:2" ht="28.5" customHeight="1" x14ac:dyDescent="0.3">
      <c r="A500" s="12" t="s">
        <v>1216</v>
      </c>
      <c r="B500" s="8" t="s">
        <v>97</v>
      </c>
    </row>
    <row r="501" spans="1:2" ht="28.5" customHeight="1" x14ac:dyDescent="0.3">
      <c r="A501" s="11" t="s">
        <v>1217</v>
      </c>
      <c r="B501" s="8" t="s">
        <v>487</v>
      </c>
    </row>
    <row r="502" spans="1:2" ht="28.5" customHeight="1" x14ac:dyDescent="0.3">
      <c r="A502" s="12" t="s">
        <v>1218</v>
      </c>
      <c r="B502" s="8" t="s">
        <v>697</v>
      </c>
    </row>
    <row r="503" spans="1:2" ht="28.5" customHeight="1" x14ac:dyDescent="0.3">
      <c r="A503" s="12" t="s">
        <v>1219</v>
      </c>
      <c r="B503" s="8" t="s">
        <v>437</v>
      </c>
    </row>
    <row r="504" spans="1:2" ht="28.5" customHeight="1" x14ac:dyDescent="0.3">
      <c r="A504" s="11" t="s">
        <v>1220</v>
      </c>
      <c r="B504" s="8" t="s">
        <v>208</v>
      </c>
    </row>
    <row r="505" spans="1:2" ht="28.5" customHeight="1" x14ac:dyDescent="0.3">
      <c r="A505" s="11" t="s">
        <v>1221</v>
      </c>
      <c r="B505" s="8" t="s">
        <v>167</v>
      </c>
    </row>
    <row r="506" spans="1:2" ht="28.5" customHeight="1" x14ac:dyDescent="0.3">
      <c r="A506" s="12" t="s">
        <v>1222</v>
      </c>
      <c r="B506" s="8" t="s">
        <v>157</v>
      </c>
    </row>
    <row r="507" spans="1:2" ht="28.5" customHeight="1" x14ac:dyDescent="0.3">
      <c r="A507" s="12" t="s">
        <v>1223</v>
      </c>
      <c r="B507" s="8" t="s">
        <v>226</v>
      </c>
    </row>
    <row r="508" spans="1:2" ht="28.5" customHeight="1" x14ac:dyDescent="0.3">
      <c r="A508" s="12" t="s">
        <v>1224</v>
      </c>
      <c r="B508" s="8" t="s">
        <v>478</v>
      </c>
    </row>
    <row r="509" spans="1:2" ht="28.5" customHeight="1" x14ac:dyDescent="0.3">
      <c r="A509" s="11" t="s">
        <v>1225</v>
      </c>
      <c r="B509" s="8" t="s">
        <v>249</v>
      </c>
    </row>
    <row r="510" spans="1:2" ht="28.5" customHeight="1" x14ac:dyDescent="0.3">
      <c r="A510" s="12" t="s">
        <v>1226</v>
      </c>
      <c r="B510" s="8" t="s">
        <v>188</v>
      </c>
    </row>
    <row r="511" spans="1:2" ht="28.5" customHeight="1" x14ac:dyDescent="0.3">
      <c r="A511" s="12" t="s">
        <v>1227</v>
      </c>
      <c r="B511" s="8" t="s">
        <v>97</v>
      </c>
    </row>
    <row r="512" spans="1:2" ht="28.5" customHeight="1" x14ac:dyDescent="0.3">
      <c r="A512" s="11" t="s">
        <v>1228</v>
      </c>
      <c r="B512" s="8" t="s">
        <v>437</v>
      </c>
    </row>
    <row r="513" spans="1:2" ht="28.5" customHeight="1" x14ac:dyDescent="0.3">
      <c r="A513" s="12" t="s">
        <v>1229</v>
      </c>
      <c r="B513" s="8" t="s">
        <v>1230</v>
      </c>
    </row>
    <row r="514" spans="1:2" ht="28.5" customHeight="1" x14ac:dyDescent="0.3">
      <c r="A514" s="12" t="s">
        <v>1231</v>
      </c>
      <c r="B514" s="8" t="s">
        <v>489</v>
      </c>
    </row>
    <row r="515" spans="1:2" ht="28.5" customHeight="1" x14ac:dyDescent="0.3">
      <c r="A515" s="12" t="s">
        <v>1232</v>
      </c>
      <c r="B515" s="8" t="s">
        <v>487</v>
      </c>
    </row>
    <row r="516" spans="1:2" ht="28.5" customHeight="1" x14ac:dyDescent="0.3">
      <c r="A516" s="11" t="s">
        <v>1233</v>
      </c>
      <c r="B516" s="8" t="s">
        <v>151</v>
      </c>
    </row>
    <row r="517" spans="1:2" ht="28.5" customHeight="1" x14ac:dyDescent="0.3">
      <c r="A517" s="11" t="s">
        <v>1234</v>
      </c>
      <c r="B517" s="8" t="s">
        <v>928</v>
      </c>
    </row>
    <row r="518" spans="1:2" ht="28.5" customHeight="1" x14ac:dyDescent="0.3">
      <c r="A518" s="11" t="s">
        <v>1235</v>
      </c>
      <c r="B518" s="8" t="s">
        <v>167</v>
      </c>
    </row>
    <row r="519" spans="1:2" ht="28.5" customHeight="1" x14ac:dyDescent="0.3">
      <c r="A519" s="12" t="s">
        <v>1236</v>
      </c>
      <c r="B519" s="8" t="s">
        <v>493</v>
      </c>
    </row>
    <row r="520" spans="1:2" ht="28.5" customHeight="1" x14ac:dyDescent="0.3">
      <c r="A520" s="11" t="s">
        <v>1237</v>
      </c>
      <c r="B520" s="8" t="s">
        <v>1238</v>
      </c>
    </row>
    <row r="521" spans="1:2" ht="28.5" customHeight="1" x14ac:dyDescent="0.3">
      <c r="A521" s="11" t="s">
        <v>1239</v>
      </c>
      <c r="B521" s="8" t="s">
        <v>1240</v>
      </c>
    </row>
    <row r="522" spans="1:2" ht="28.5" customHeight="1" x14ac:dyDescent="0.3">
      <c r="A522" s="11" t="s">
        <v>1241</v>
      </c>
      <c r="B522" s="8" t="s">
        <v>1242</v>
      </c>
    </row>
    <row r="523" spans="1:2" ht="28.5" customHeight="1" x14ac:dyDescent="0.3">
      <c r="A523" s="11" t="s">
        <v>1243</v>
      </c>
      <c r="B523" s="8" t="s">
        <v>1244</v>
      </c>
    </row>
    <row r="524" spans="1:2" ht="28.5" customHeight="1" x14ac:dyDescent="0.3">
      <c r="A524" s="11" t="s">
        <v>1245</v>
      </c>
      <c r="B524" s="8" t="s">
        <v>1246</v>
      </c>
    </row>
    <row r="525" spans="1:2" ht="28.5" customHeight="1" x14ac:dyDescent="0.3">
      <c r="A525" s="11" t="s">
        <v>1247</v>
      </c>
      <c r="B525" s="8" t="s">
        <v>1248</v>
      </c>
    </row>
    <row r="526" spans="1:2" ht="28.5" customHeight="1" x14ac:dyDescent="0.3">
      <c r="A526" s="11" t="s">
        <v>1249</v>
      </c>
      <c r="B526" s="8" t="s">
        <v>1250</v>
      </c>
    </row>
    <row r="527" spans="1:2" ht="28.5" customHeight="1" x14ac:dyDescent="0.3">
      <c r="A527" s="11" t="s">
        <v>1251</v>
      </c>
      <c r="B527" s="8" t="s">
        <v>1252</v>
      </c>
    </row>
    <row r="528" spans="1:2" ht="28.5" customHeight="1" x14ac:dyDescent="0.3">
      <c r="A528" s="11" t="s">
        <v>1253</v>
      </c>
      <c r="B528" s="8" t="s">
        <v>1254</v>
      </c>
    </row>
    <row r="529" spans="1:2" ht="28.5" customHeight="1" x14ac:dyDescent="0.3">
      <c r="A529" s="11" t="s">
        <v>1255</v>
      </c>
      <c r="B529" s="8" t="s">
        <v>527</v>
      </c>
    </row>
    <row r="530" spans="1:2" ht="28.5" customHeight="1" x14ac:dyDescent="0.3">
      <c r="A530" s="11" t="s">
        <v>1256</v>
      </c>
      <c r="B530" s="8" t="s">
        <v>517</v>
      </c>
    </row>
    <row r="531" spans="1:2" ht="28.5" customHeight="1" x14ac:dyDescent="0.3">
      <c r="A531" s="12" t="s">
        <v>1257</v>
      </c>
      <c r="B531" s="8" t="s">
        <v>1258</v>
      </c>
    </row>
    <row r="532" spans="1:2" ht="28.5" customHeight="1" x14ac:dyDescent="0.3">
      <c r="A532" s="12" t="s">
        <v>1259</v>
      </c>
      <c r="B532" s="8" t="s">
        <v>226</v>
      </c>
    </row>
    <row r="533" spans="1:2" ht="28.5" customHeight="1" x14ac:dyDescent="0.3">
      <c r="A533" s="11" t="s">
        <v>1260</v>
      </c>
      <c r="B533" s="8" t="s">
        <v>543</v>
      </c>
    </row>
    <row r="534" spans="1:2" ht="28.5" customHeight="1" x14ac:dyDescent="0.3">
      <c r="A534" s="11" t="s">
        <v>1261</v>
      </c>
      <c r="B534" s="8" t="s">
        <v>534</v>
      </c>
    </row>
    <row r="535" spans="1:2" ht="28.5" customHeight="1" x14ac:dyDescent="0.3">
      <c r="A535" s="11" t="s">
        <v>1262</v>
      </c>
      <c r="B535" s="8" t="s">
        <v>537</v>
      </c>
    </row>
    <row r="536" spans="1:2" ht="28.5" customHeight="1" x14ac:dyDescent="0.3">
      <c r="A536" s="11" t="s">
        <v>1263</v>
      </c>
      <c r="B536" s="8" t="s">
        <v>532</v>
      </c>
    </row>
    <row r="537" spans="1:2" ht="28.5" customHeight="1" x14ac:dyDescent="0.3">
      <c r="A537" s="11" t="s">
        <v>1264</v>
      </c>
      <c r="B537" s="8" t="s">
        <v>385</v>
      </c>
    </row>
    <row r="538" spans="1:2" ht="28.5" customHeight="1" x14ac:dyDescent="0.3">
      <c r="A538" s="11" t="s">
        <v>1265</v>
      </c>
      <c r="B538" s="8" t="s">
        <v>539</v>
      </c>
    </row>
    <row r="539" spans="1:2" ht="28.5" customHeight="1" x14ac:dyDescent="0.3">
      <c r="A539" s="12" t="s">
        <v>1266</v>
      </c>
      <c r="B539" s="8" t="s">
        <v>541</v>
      </c>
    </row>
    <row r="540" spans="1:2" ht="28.5" customHeight="1" x14ac:dyDescent="0.3">
      <c r="A540" s="11" t="s">
        <v>1267</v>
      </c>
      <c r="B540" s="8" t="s">
        <v>545</v>
      </c>
    </row>
    <row r="541" spans="1:2" ht="28.5" customHeight="1" x14ac:dyDescent="0.3">
      <c r="A541" s="11" t="s">
        <v>1268</v>
      </c>
      <c r="B541" s="8" t="s">
        <v>547</v>
      </c>
    </row>
    <row r="542" spans="1:2" ht="28.5" customHeight="1" x14ac:dyDescent="0.3">
      <c r="A542" s="12" t="s">
        <v>1269</v>
      </c>
      <c r="B542" s="8" t="s">
        <v>549</v>
      </c>
    </row>
    <row r="543" spans="1:2" ht="28.5" customHeight="1" x14ac:dyDescent="0.3">
      <c r="A543" s="12" t="s">
        <v>1270</v>
      </c>
      <c r="B543" s="8" t="s">
        <v>167</v>
      </c>
    </row>
    <row r="544" spans="1:2" ht="28.5" customHeight="1" x14ac:dyDescent="0.3">
      <c r="A544" s="12" t="s">
        <v>1271</v>
      </c>
      <c r="B544" s="8" t="s">
        <v>226</v>
      </c>
    </row>
    <row r="545" spans="1:2" ht="28.5" customHeight="1" x14ac:dyDescent="0.3">
      <c r="A545" s="12" t="s">
        <v>1272</v>
      </c>
      <c r="B545" s="8" t="s">
        <v>1273</v>
      </c>
    </row>
    <row r="546" spans="1:2" ht="28.5" customHeight="1" x14ac:dyDescent="0.3">
      <c r="A546" s="12" t="s">
        <v>1274</v>
      </c>
      <c r="B546" s="8" t="s">
        <v>757</v>
      </c>
    </row>
    <row r="547" spans="1:2" ht="28.5" customHeight="1" x14ac:dyDescent="0.3">
      <c r="A547" s="12" t="s">
        <v>1275</v>
      </c>
      <c r="B547" s="8" t="s">
        <v>654</v>
      </c>
    </row>
    <row r="548" spans="1:2" ht="28.5" customHeight="1" x14ac:dyDescent="0.3">
      <c r="A548" s="11" t="s">
        <v>1276</v>
      </c>
      <c r="B548" s="8" t="s">
        <v>1277</v>
      </c>
    </row>
    <row r="549" spans="1:2" ht="28.5" customHeight="1" x14ac:dyDescent="0.3">
      <c r="A549" s="12" t="s">
        <v>1278</v>
      </c>
      <c r="B549" s="8" t="s">
        <v>1279</v>
      </c>
    </row>
    <row r="550" spans="1:2" ht="28.5" customHeight="1" x14ac:dyDescent="0.3">
      <c r="A550" s="12" t="s">
        <v>1280</v>
      </c>
      <c r="B550" s="8" t="s">
        <v>1281</v>
      </c>
    </row>
    <row r="551" spans="1:2" ht="28.5" customHeight="1" x14ac:dyDescent="0.3">
      <c r="A551" s="12" t="s">
        <v>1282</v>
      </c>
      <c r="B551" s="8" t="s">
        <v>1283</v>
      </c>
    </row>
    <row r="552" spans="1:2" ht="28.5" customHeight="1" x14ac:dyDescent="0.3">
      <c r="A552" s="12" t="s">
        <v>1284</v>
      </c>
      <c r="B552" s="8" t="s">
        <v>1285</v>
      </c>
    </row>
    <row r="553" spans="1:2" ht="28.5" customHeight="1" x14ac:dyDescent="0.3">
      <c r="A553" s="12" t="s">
        <v>1286</v>
      </c>
      <c r="B553" s="8" t="s">
        <v>656</v>
      </c>
    </row>
    <row r="554" spans="1:2" ht="28.5" customHeight="1" x14ac:dyDescent="0.3">
      <c r="A554" s="11" t="s">
        <v>1287</v>
      </c>
      <c r="B554" s="8" t="s">
        <v>1039</v>
      </c>
    </row>
    <row r="555" spans="1:2" ht="28.5" customHeight="1" x14ac:dyDescent="0.3">
      <c r="A555" s="12" t="s">
        <v>1288</v>
      </c>
      <c r="B555" s="8" t="s">
        <v>644</v>
      </c>
    </row>
    <row r="556" spans="1:2" ht="28.5" customHeight="1" x14ac:dyDescent="0.3">
      <c r="A556" s="11" t="s">
        <v>1289</v>
      </c>
      <c r="B556" s="8" t="s">
        <v>226</v>
      </c>
    </row>
    <row r="557" spans="1:2" ht="28.5" customHeight="1" x14ac:dyDescent="0.3">
      <c r="A557" s="11" t="s">
        <v>1290</v>
      </c>
      <c r="B557" s="8" t="s">
        <v>496</v>
      </c>
    </row>
    <row r="558" spans="1:2" ht="28.5" customHeight="1" x14ac:dyDescent="0.3">
      <c r="A558" s="11" t="s">
        <v>1291</v>
      </c>
      <c r="B558" s="8" t="s">
        <v>757</v>
      </c>
    </row>
    <row r="559" spans="1:2" ht="28.5" customHeight="1" x14ac:dyDescent="0.3">
      <c r="A559" s="11" t="s">
        <v>1292</v>
      </c>
      <c r="B559" s="8" t="s">
        <v>654</v>
      </c>
    </row>
    <row r="560" spans="1:2" ht="28.5" customHeight="1" x14ac:dyDescent="0.3">
      <c r="A560" s="11" t="s">
        <v>1293</v>
      </c>
      <c r="B560" s="8" t="s">
        <v>656</v>
      </c>
    </row>
    <row r="561" spans="1:2" ht="28.5" customHeight="1" x14ac:dyDescent="0.3">
      <c r="A561" s="11" t="s">
        <v>1294</v>
      </c>
      <c r="B561" s="8" t="s">
        <v>642</v>
      </c>
    </row>
    <row r="562" spans="1:2" ht="28.5" customHeight="1" x14ac:dyDescent="0.3">
      <c r="A562" s="11" t="s">
        <v>1295</v>
      </c>
      <c r="B562" s="8" t="s">
        <v>644</v>
      </c>
    </row>
    <row r="563" spans="1:2" ht="28.5" customHeight="1" x14ac:dyDescent="0.3">
      <c r="A563" s="12" t="s">
        <v>1296</v>
      </c>
      <c r="B563" s="8" t="s">
        <v>167</v>
      </c>
    </row>
    <row r="564" spans="1:2" ht="28.5" customHeight="1" x14ac:dyDescent="0.3">
      <c r="A564" s="12" t="s">
        <v>1297</v>
      </c>
      <c r="B564" s="8" t="s">
        <v>226</v>
      </c>
    </row>
    <row r="565" spans="1:2" ht="28.5" customHeight="1" x14ac:dyDescent="0.3">
      <c r="A565" s="12" t="s">
        <v>1298</v>
      </c>
      <c r="B565" s="8" t="s">
        <v>478</v>
      </c>
    </row>
    <row r="566" spans="1:2" ht="28.5" customHeight="1" x14ac:dyDescent="0.3">
      <c r="A566" s="11" t="s">
        <v>1299</v>
      </c>
      <c r="B566" s="8" t="s">
        <v>249</v>
      </c>
    </row>
    <row r="567" spans="1:2" ht="28.5" customHeight="1" x14ac:dyDescent="0.3">
      <c r="A567" s="12" t="s">
        <v>1300</v>
      </c>
      <c r="B567" s="8" t="s">
        <v>188</v>
      </c>
    </row>
    <row r="568" spans="1:2" ht="28.5" customHeight="1" x14ac:dyDescent="0.3">
      <c r="A568" s="12" t="s">
        <v>1301</v>
      </c>
      <c r="B568" s="8" t="s">
        <v>97</v>
      </c>
    </row>
    <row r="569" spans="1:2" ht="28.5" customHeight="1" x14ac:dyDescent="0.3">
      <c r="A569" s="11" t="s">
        <v>1302</v>
      </c>
      <c r="B569" s="8" t="s">
        <v>487</v>
      </c>
    </row>
    <row r="570" spans="1:2" ht="28.5" customHeight="1" x14ac:dyDescent="0.3">
      <c r="A570" s="12" t="s">
        <v>1303</v>
      </c>
      <c r="B570" s="8" t="s">
        <v>697</v>
      </c>
    </row>
    <row r="571" spans="1:2" ht="28.5" customHeight="1" x14ac:dyDescent="0.3">
      <c r="A571" s="12" t="s">
        <v>1304</v>
      </c>
      <c r="B571" s="8" t="s">
        <v>437</v>
      </c>
    </row>
    <row r="572" spans="1:2" ht="28.5" customHeight="1" x14ac:dyDescent="0.3">
      <c r="A572" s="11" t="s">
        <v>1305</v>
      </c>
      <c r="B572" s="8" t="s">
        <v>151</v>
      </c>
    </row>
    <row r="573" spans="1:2" ht="28.5" customHeight="1" x14ac:dyDescent="0.3">
      <c r="A573" s="11" t="s">
        <v>1306</v>
      </c>
      <c r="B573" s="8" t="s">
        <v>208</v>
      </c>
    </row>
    <row r="574" spans="1:2" ht="28.5" customHeight="1" x14ac:dyDescent="0.3">
      <c r="A574" s="11" t="s">
        <v>1307</v>
      </c>
      <c r="B574" s="8" t="s">
        <v>167</v>
      </c>
    </row>
    <row r="575" spans="1:2" ht="28.5" customHeight="1" x14ac:dyDescent="0.3">
      <c r="A575" s="12" t="s">
        <v>1308</v>
      </c>
      <c r="B575" s="8" t="s">
        <v>157</v>
      </c>
    </row>
    <row r="576" spans="1:2" ht="28.5" customHeight="1" x14ac:dyDescent="0.3">
      <c r="A576" s="11" t="s">
        <v>1309</v>
      </c>
      <c r="B576" s="8" t="s">
        <v>511</v>
      </c>
    </row>
    <row r="577" spans="1:2" ht="28.5" customHeight="1" x14ac:dyDescent="0.3">
      <c r="A577" s="12" t="s">
        <v>1310</v>
      </c>
      <c r="B577" s="8" t="s">
        <v>513</v>
      </c>
    </row>
    <row r="578" spans="1:2" ht="28.5" customHeight="1" x14ac:dyDescent="0.3">
      <c r="A578" s="12" t="s">
        <v>1311</v>
      </c>
      <c r="B578" s="8" t="s">
        <v>515</v>
      </c>
    </row>
    <row r="579" spans="1:2" ht="28.5" customHeight="1" x14ac:dyDescent="0.3">
      <c r="A579" s="11" t="s">
        <v>1312</v>
      </c>
      <c r="B579" s="8" t="s">
        <v>517</v>
      </c>
    </row>
    <row r="580" spans="1:2" ht="28.5" customHeight="1" x14ac:dyDescent="0.3">
      <c r="A580" s="12" t="s">
        <v>1313</v>
      </c>
      <c r="B580" s="8" t="s">
        <v>519</v>
      </c>
    </row>
    <row r="581" spans="1:2" ht="28.5" customHeight="1" x14ac:dyDescent="0.3">
      <c r="A581" s="12" t="s">
        <v>1314</v>
      </c>
      <c r="B581" s="8" t="s">
        <v>521</v>
      </c>
    </row>
    <row r="582" spans="1:2" ht="28.5" customHeight="1" x14ac:dyDescent="0.3">
      <c r="A582" s="12" t="s">
        <v>1315</v>
      </c>
      <c r="B582" s="8" t="s">
        <v>523</v>
      </c>
    </row>
    <row r="583" spans="1:2" ht="28.5" customHeight="1" x14ac:dyDescent="0.3">
      <c r="A583" s="12" t="s">
        <v>1316</v>
      </c>
      <c r="B583" s="8" t="s">
        <v>918</v>
      </c>
    </row>
    <row r="584" spans="1:2" ht="28.5" customHeight="1" x14ac:dyDescent="0.3">
      <c r="A584" s="12" t="s">
        <v>1317</v>
      </c>
      <c r="B584" s="8" t="s">
        <v>527</v>
      </c>
    </row>
    <row r="585" spans="1:2" ht="28.5" customHeight="1" x14ac:dyDescent="0.3">
      <c r="A585" s="12" t="s">
        <v>1318</v>
      </c>
      <c r="B585" s="8" t="s">
        <v>529</v>
      </c>
    </row>
    <row r="586" spans="1:2" ht="28.5" customHeight="1" x14ac:dyDescent="0.3">
      <c r="A586" s="12" t="s">
        <v>1319</v>
      </c>
      <c r="B586" s="8" t="s">
        <v>1320</v>
      </c>
    </row>
    <row r="587" spans="1:2" ht="28.5" customHeight="1" x14ac:dyDescent="0.3">
      <c r="A587" s="12" t="s">
        <v>1321</v>
      </c>
      <c r="B587" s="8" t="s">
        <v>1322</v>
      </c>
    </row>
    <row r="588" spans="1:2" ht="28.5" customHeight="1" x14ac:dyDescent="0.3">
      <c r="A588" s="12" t="s">
        <v>1323</v>
      </c>
      <c r="B588" s="8" t="s">
        <v>226</v>
      </c>
    </row>
    <row r="589" spans="1:2" ht="28.5" customHeight="1" x14ac:dyDescent="0.3">
      <c r="A589" s="12" t="s">
        <v>1324</v>
      </c>
      <c r="B589" s="8" t="s">
        <v>754</v>
      </c>
    </row>
    <row r="590" spans="1:2" ht="28.5" customHeight="1" x14ac:dyDescent="0.3">
      <c r="A590" s="12" t="s">
        <v>1325</v>
      </c>
      <c r="B590" s="8" t="s">
        <v>757</v>
      </c>
    </row>
    <row r="591" spans="1:2" ht="28.5" customHeight="1" x14ac:dyDescent="0.3">
      <c r="A591" s="12" t="s">
        <v>1326</v>
      </c>
      <c r="B591" s="8" t="s">
        <v>951</v>
      </c>
    </row>
    <row r="592" spans="1:2" ht="28.5" customHeight="1" x14ac:dyDescent="0.3">
      <c r="A592" s="12" t="s">
        <v>1327</v>
      </c>
      <c r="B592" s="8" t="s">
        <v>656</v>
      </c>
    </row>
    <row r="593" spans="1:2" ht="28.5" customHeight="1" x14ac:dyDescent="0.3">
      <c r="A593" s="11" t="s">
        <v>1328</v>
      </c>
      <c r="B593" s="8" t="s">
        <v>1039</v>
      </c>
    </row>
    <row r="594" spans="1:2" ht="28.5" customHeight="1" x14ac:dyDescent="0.3">
      <c r="A594" s="12" t="s">
        <v>1329</v>
      </c>
      <c r="B594" s="8" t="s">
        <v>644</v>
      </c>
    </row>
    <row r="595" spans="1:2" ht="28.5" customHeight="1" x14ac:dyDescent="0.3">
      <c r="A595" s="12" t="s">
        <v>1330</v>
      </c>
      <c r="B595" s="8" t="s">
        <v>1036</v>
      </c>
    </row>
    <row r="596" spans="1:2" ht="28.5" customHeight="1" x14ac:dyDescent="0.3">
      <c r="A596" s="12" t="s">
        <v>1331</v>
      </c>
      <c r="B596" s="8" t="s">
        <v>167</v>
      </c>
    </row>
    <row r="597" spans="1:2" ht="28.5" customHeight="1" x14ac:dyDescent="0.3">
      <c r="A597" s="12" t="s">
        <v>1332</v>
      </c>
      <c r="B597" s="8" t="s">
        <v>1043</v>
      </c>
    </row>
    <row r="598" spans="1:2" ht="28.5" customHeight="1" x14ac:dyDescent="0.3">
      <c r="A598" s="12" t="s">
        <v>1331</v>
      </c>
      <c r="B598" s="8" t="s">
        <v>167</v>
      </c>
    </row>
    <row r="599" spans="1:2" ht="28.5" customHeight="1" x14ac:dyDescent="0.3">
      <c r="A599" s="11" t="s">
        <v>1333</v>
      </c>
      <c r="B599" s="8" t="s">
        <v>1334</v>
      </c>
    </row>
    <row r="600" spans="1:2" ht="28.5" customHeight="1" x14ac:dyDescent="0.3">
      <c r="A600" s="11" t="s">
        <v>1333</v>
      </c>
      <c r="B600" s="8" t="s">
        <v>1335</v>
      </c>
    </row>
    <row r="601" spans="1:2" ht="28.5" customHeight="1" x14ac:dyDescent="0.3">
      <c r="A601" s="11" t="s">
        <v>1206</v>
      </c>
      <c r="B601" s="8" t="s">
        <v>1336</v>
      </c>
    </row>
    <row r="602" spans="1:2" ht="28.5" customHeight="1" x14ac:dyDescent="0.3">
      <c r="A602" s="11" t="s">
        <v>1208</v>
      </c>
      <c r="B602" s="8" t="s">
        <v>1337</v>
      </c>
    </row>
    <row r="603" spans="1:2" ht="28.5" customHeight="1" x14ac:dyDescent="0.3">
      <c r="A603" s="12" t="s">
        <v>1210</v>
      </c>
      <c r="B603" s="8" t="s">
        <v>1338</v>
      </c>
    </row>
    <row r="604" spans="1:2" ht="28.5" customHeight="1" x14ac:dyDescent="0.3">
      <c r="A604" s="12" t="s">
        <v>1339</v>
      </c>
      <c r="B604" s="8" t="s">
        <v>226</v>
      </c>
    </row>
    <row r="605" spans="1:2" ht="28.5" customHeight="1" x14ac:dyDescent="0.3">
      <c r="A605" s="12" t="s">
        <v>1340</v>
      </c>
      <c r="B605" s="8" t="s">
        <v>478</v>
      </c>
    </row>
    <row r="606" spans="1:2" ht="28.5" customHeight="1" x14ac:dyDescent="0.3">
      <c r="A606" s="11" t="s">
        <v>1341</v>
      </c>
      <c r="B606" s="8" t="s">
        <v>1342</v>
      </c>
    </row>
    <row r="607" spans="1:2" ht="28.5" customHeight="1" x14ac:dyDescent="0.3">
      <c r="A607" s="12" t="s">
        <v>1343</v>
      </c>
      <c r="B607" s="8" t="s">
        <v>1344</v>
      </c>
    </row>
    <row r="608" spans="1:2" ht="28.5" customHeight="1" x14ac:dyDescent="0.3">
      <c r="A608" s="12" t="s">
        <v>1345</v>
      </c>
      <c r="B608" s="8" t="s">
        <v>1346</v>
      </c>
    </row>
    <row r="609" spans="1:2" ht="28.5" customHeight="1" x14ac:dyDescent="0.3">
      <c r="A609" s="11" t="s">
        <v>1347</v>
      </c>
      <c r="B609" s="8" t="s">
        <v>487</v>
      </c>
    </row>
    <row r="610" spans="1:2" ht="28.5" customHeight="1" x14ac:dyDescent="0.3">
      <c r="A610" s="12" t="s">
        <v>1348</v>
      </c>
      <c r="B610" s="8" t="s">
        <v>1349</v>
      </c>
    </row>
    <row r="611" spans="1:2" ht="28.5" customHeight="1" x14ac:dyDescent="0.3">
      <c r="A611" s="11" t="s">
        <v>1350</v>
      </c>
      <c r="B611" s="8" t="s">
        <v>437</v>
      </c>
    </row>
    <row r="612" spans="1:2" ht="28.5" customHeight="1" x14ac:dyDescent="0.3">
      <c r="A612" s="12" t="s">
        <v>1351</v>
      </c>
      <c r="B612" s="8" t="s">
        <v>1352</v>
      </c>
    </row>
    <row r="613" spans="1:2" ht="28.5" customHeight="1" x14ac:dyDescent="0.3">
      <c r="A613" s="11" t="s">
        <v>1353</v>
      </c>
      <c r="B613" s="8" t="s">
        <v>151</v>
      </c>
    </row>
    <row r="614" spans="1:2" ht="28.5" customHeight="1" x14ac:dyDescent="0.3">
      <c r="A614" s="11" t="s">
        <v>1354</v>
      </c>
      <c r="B614" s="8" t="s">
        <v>167</v>
      </c>
    </row>
    <row r="615" spans="1:2" ht="28.5" customHeight="1" x14ac:dyDescent="0.3">
      <c r="A615" s="12" t="s">
        <v>1355</v>
      </c>
      <c r="B615" s="8" t="s">
        <v>1356</v>
      </c>
    </row>
    <row r="616" spans="1:2" ht="28.5" customHeight="1" x14ac:dyDescent="0.3">
      <c r="A616" s="12" t="s">
        <v>1357</v>
      </c>
      <c r="B616" s="8" t="s">
        <v>226</v>
      </c>
    </row>
    <row r="617" spans="1:2" ht="28.5" customHeight="1" x14ac:dyDescent="0.3">
      <c r="A617" s="12" t="s">
        <v>1358</v>
      </c>
      <c r="B617" s="8" t="s">
        <v>496</v>
      </c>
    </row>
    <row r="618" spans="1:2" ht="28.5" customHeight="1" x14ac:dyDescent="0.3">
      <c r="A618" s="12" t="s">
        <v>1359</v>
      </c>
      <c r="B618" s="8" t="s">
        <v>757</v>
      </c>
    </row>
    <row r="619" spans="1:2" ht="28.5" customHeight="1" x14ac:dyDescent="0.3">
      <c r="A619" s="12" t="s">
        <v>1360</v>
      </c>
      <c r="B619" s="8" t="s">
        <v>654</v>
      </c>
    </row>
    <row r="620" spans="1:2" ht="28.5" customHeight="1" x14ac:dyDescent="0.3">
      <c r="A620" s="12" t="s">
        <v>1361</v>
      </c>
      <c r="B620" s="8" t="s">
        <v>1285</v>
      </c>
    </row>
    <row r="621" spans="1:2" ht="28.5" customHeight="1" x14ac:dyDescent="0.3">
      <c r="A621" s="12" t="s">
        <v>1362</v>
      </c>
      <c r="B621" s="8" t="s">
        <v>656</v>
      </c>
    </row>
    <row r="622" spans="1:2" ht="28.5" customHeight="1" x14ac:dyDescent="0.3">
      <c r="A622" s="11" t="s">
        <v>1363</v>
      </c>
      <c r="B622" s="8" t="s">
        <v>1039</v>
      </c>
    </row>
    <row r="623" spans="1:2" ht="28.5" customHeight="1" x14ac:dyDescent="0.3">
      <c r="A623" s="12" t="s">
        <v>1364</v>
      </c>
      <c r="B623" s="8" t="s">
        <v>644</v>
      </c>
    </row>
    <row r="624" spans="1:2" ht="28.5" customHeight="1" x14ac:dyDescent="0.3">
      <c r="A624" s="12" t="s">
        <v>1365</v>
      </c>
      <c r="B624" s="13" t="s">
        <v>1366</v>
      </c>
    </row>
    <row r="625" spans="1:2" ht="28.5" customHeight="1" x14ac:dyDescent="0.3">
      <c r="A625" s="11" t="s">
        <v>1367</v>
      </c>
      <c r="B625" s="9" t="s">
        <v>1368</v>
      </c>
    </row>
    <row r="626" spans="1:2" ht="28.5" customHeight="1" x14ac:dyDescent="0.3">
      <c r="A626" s="11" t="s">
        <v>1367</v>
      </c>
      <c r="B626" s="9" t="s">
        <v>1369</v>
      </c>
    </row>
    <row r="627" spans="1:2" ht="28.5" customHeight="1" x14ac:dyDescent="0.3">
      <c r="A627" s="11" t="s">
        <v>1370</v>
      </c>
      <c r="B627" s="9" t="s">
        <v>1147</v>
      </c>
    </row>
    <row r="628" spans="1:2" ht="28.5" customHeight="1" x14ac:dyDescent="0.3">
      <c r="A628" s="12" t="s">
        <v>1371</v>
      </c>
      <c r="B628" s="13" t="s">
        <v>1372</v>
      </c>
    </row>
    <row r="629" spans="1:2" ht="28.5" customHeight="1" x14ac:dyDescent="0.3">
      <c r="A629" s="12" t="s">
        <v>1373</v>
      </c>
      <c r="B629" s="8" t="s">
        <v>226</v>
      </c>
    </row>
    <row r="630" spans="1:2" ht="28.5" customHeight="1" x14ac:dyDescent="0.3">
      <c r="A630" s="12" t="s">
        <v>1374</v>
      </c>
      <c r="B630" s="8" t="s">
        <v>478</v>
      </c>
    </row>
    <row r="631" spans="1:2" ht="28.5" customHeight="1" x14ac:dyDescent="0.3">
      <c r="A631" s="12" t="s">
        <v>1375</v>
      </c>
      <c r="B631" s="8" t="s">
        <v>188</v>
      </c>
    </row>
    <row r="632" spans="1:2" ht="28.5" customHeight="1" x14ac:dyDescent="0.3">
      <c r="A632" s="12" t="s">
        <v>1376</v>
      </c>
      <c r="B632" s="8" t="s">
        <v>97</v>
      </c>
    </row>
    <row r="633" spans="1:2" ht="28.5" customHeight="1" x14ac:dyDescent="0.3">
      <c r="A633" s="11" t="s">
        <v>1377</v>
      </c>
      <c r="B633" s="8" t="s">
        <v>487</v>
      </c>
    </row>
    <row r="634" spans="1:2" ht="28.5" customHeight="1" x14ac:dyDescent="0.3">
      <c r="A634" s="12" t="s">
        <v>1378</v>
      </c>
      <c r="B634" s="8" t="s">
        <v>697</v>
      </c>
    </row>
    <row r="635" spans="1:2" ht="28.5" customHeight="1" x14ac:dyDescent="0.3">
      <c r="A635" s="11" t="s">
        <v>1379</v>
      </c>
      <c r="B635" s="8" t="s">
        <v>249</v>
      </c>
    </row>
    <row r="636" spans="1:2" ht="28.5" customHeight="1" x14ac:dyDescent="0.3">
      <c r="A636" s="12" t="s">
        <v>1380</v>
      </c>
      <c r="B636" s="8" t="s">
        <v>437</v>
      </c>
    </row>
    <row r="637" spans="1:2" ht="28.5" customHeight="1" x14ac:dyDescent="0.3">
      <c r="A637" s="11" t="s">
        <v>1381</v>
      </c>
      <c r="B637" s="8" t="s">
        <v>151</v>
      </c>
    </row>
    <row r="638" spans="1:2" ht="28.5" customHeight="1" x14ac:dyDescent="0.3">
      <c r="A638" s="12" t="s">
        <v>1382</v>
      </c>
      <c r="B638" s="8" t="s">
        <v>167</v>
      </c>
    </row>
    <row r="639" spans="1:2" ht="28.5" customHeight="1" x14ac:dyDescent="0.3">
      <c r="A639" s="11" t="s">
        <v>1383</v>
      </c>
      <c r="B639" s="9" t="s">
        <v>1384</v>
      </c>
    </row>
    <row r="640" spans="1:2" ht="28.5" customHeight="1" x14ac:dyDescent="0.3">
      <c r="A640" s="11" t="s">
        <v>1385</v>
      </c>
      <c r="B640" s="9" t="s">
        <v>1386</v>
      </c>
    </row>
    <row r="641" spans="1:2" ht="28.5" customHeight="1" x14ac:dyDescent="0.3">
      <c r="A641" s="11" t="s">
        <v>1387</v>
      </c>
      <c r="B641" s="9" t="s">
        <v>1388</v>
      </c>
    </row>
    <row r="642" spans="1:2" ht="28.5" customHeight="1" x14ac:dyDescent="0.3">
      <c r="A642" s="11" t="s">
        <v>1389</v>
      </c>
      <c r="B642" s="9" t="s">
        <v>1390</v>
      </c>
    </row>
    <row r="643" spans="1:2" ht="28.5" customHeight="1" x14ac:dyDescent="0.3">
      <c r="A643" s="11" t="s">
        <v>1391</v>
      </c>
      <c r="B643" s="9" t="s">
        <v>1392</v>
      </c>
    </row>
    <row r="644" spans="1:2" ht="28.5" customHeight="1" x14ac:dyDescent="0.3">
      <c r="A644" s="11" t="s">
        <v>1393</v>
      </c>
      <c r="B644" s="9" t="s">
        <v>1394</v>
      </c>
    </row>
    <row r="645" spans="1:2" ht="28.5" customHeight="1" x14ac:dyDescent="0.3">
      <c r="A645" s="11" t="s">
        <v>1395</v>
      </c>
      <c r="B645" s="9" t="s">
        <v>1396</v>
      </c>
    </row>
    <row r="646" spans="1:2" ht="28.5" customHeight="1" x14ac:dyDescent="0.3">
      <c r="A646" s="11" t="s">
        <v>1397</v>
      </c>
      <c r="B646" s="9" t="s">
        <v>537</v>
      </c>
    </row>
    <row r="647" spans="1:2" ht="28.5" customHeight="1" x14ac:dyDescent="0.3">
      <c r="A647" s="12" t="s">
        <v>1398</v>
      </c>
      <c r="B647" s="13" t="s">
        <v>1399</v>
      </c>
    </row>
    <row r="648" spans="1:2" ht="28.5" customHeight="1" x14ac:dyDescent="0.3">
      <c r="A648" s="12" t="s">
        <v>1400</v>
      </c>
      <c r="B648" s="8" t="s">
        <v>226</v>
      </c>
    </row>
    <row r="649" spans="1:2" ht="28.5" customHeight="1" x14ac:dyDescent="0.3">
      <c r="A649" s="12" t="s">
        <v>1401</v>
      </c>
      <c r="B649" s="8" t="s">
        <v>534</v>
      </c>
    </row>
    <row r="650" spans="1:2" ht="28.5" customHeight="1" x14ac:dyDescent="0.3">
      <c r="A650" s="11" t="s">
        <v>1402</v>
      </c>
      <c r="B650" s="8" t="s">
        <v>537</v>
      </c>
    </row>
    <row r="651" spans="1:2" ht="28.5" customHeight="1" x14ac:dyDescent="0.3">
      <c r="A651" s="11" t="s">
        <v>1403</v>
      </c>
      <c r="B651" s="8" t="s">
        <v>539</v>
      </c>
    </row>
    <row r="652" spans="1:2" ht="28.5" customHeight="1" x14ac:dyDescent="0.3">
      <c r="A652" s="11" t="s">
        <v>1404</v>
      </c>
      <c r="B652" s="8" t="s">
        <v>385</v>
      </c>
    </row>
    <row r="653" spans="1:2" ht="28.5" customHeight="1" x14ac:dyDescent="0.3">
      <c r="A653" s="12" t="s">
        <v>1405</v>
      </c>
      <c r="B653" s="8" t="s">
        <v>541</v>
      </c>
    </row>
    <row r="654" spans="1:2" ht="28.5" customHeight="1" x14ac:dyDescent="0.3">
      <c r="A654" s="12" t="s">
        <v>1406</v>
      </c>
      <c r="B654" s="8" t="s">
        <v>543</v>
      </c>
    </row>
    <row r="655" spans="1:2" ht="28.5" customHeight="1" x14ac:dyDescent="0.3">
      <c r="A655" s="11" t="s">
        <v>1407</v>
      </c>
      <c r="B655" s="8" t="s">
        <v>545</v>
      </c>
    </row>
    <row r="656" spans="1:2" ht="28.5" customHeight="1" x14ac:dyDescent="0.3">
      <c r="A656" s="11" t="s">
        <v>1408</v>
      </c>
      <c r="B656" s="8" t="s">
        <v>547</v>
      </c>
    </row>
    <row r="657" spans="1:2" ht="28.5" customHeight="1" x14ac:dyDescent="0.3">
      <c r="A657" s="11" t="s">
        <v>1409</v>
      </c>
      <c r="B657" s="8" t="s">
        <v>549</v>
      </c>
    </row>
    <row r="658" spans="1:2" ht="28.5" customHeight="1" x14ac:dyDescent="0.3">
      <c r="A658" s="12" t="s">
        <v>1410</v>
      </c>
      <c r="B658" s="8" t="s">
        <v>532</v>
      </c>
    </row>
    <row r="659" spans="1:2" ht="28.5" customHeight="1" x14ac:dyDescent="0.3">
      <c r="A659" s="12" t="s">
        <v>1411</v>
      </c>
      <c r="B659" s="8" t="s">
        <v>167</v>
      </c>
    </row>
    <row r="660" spans="1:2" ht="28.5" customHeight="1" x14ac:dyDescent="0.3">
      <c r="A660" s="12" t="s">
        <v>1412</v>
      </c>
      <c r="B660" s="23" t="s">
        <v>1413</v>
      </c>
    </row>
    <row r="661" spans="1:2" ht="28.5" customHeight="1" x14ac:dyDescent="0.3">
      <c r="A661" s="12" t="s">
        <v>1414</v>
      </c>
      <c r="B661" s="8" t="s">
        <v>226</v>
      </c>
    </row>
    <row r="662" spans="1:2" ht="28.5" customHeight="1" x14ac:dyDescent="0.3">
      <c r="A662" s="11" t="s">
        <v>1415</v>
      </c>
      <c r="B662" s="8" t="s">
        <v>1187</v>
      </c>
    </row>
    <row r="663" spans="1:2" ht="28.5" customHeight="1" x14ac:dyDescent="0.3">
      <c r="A663" s="12" t="s">
        <v>1416</v>
      </c>
      <c r="B663" s="8" t="s">
        <v>757</v>
      </c>
    </row>
    <row r="664" spans="1:2" ht="28.5" customHeight="1" x14ac:dyDescent="0.3">
      <c r="A664" s="11" t="s">
        <v>1417</v>
      </c>
      <c r="B664" s="8" t="s">
        <v>1190</v>
      </c>
    </row>
    <row r="665" spans="1:2" ht="28.5" customHeight="1" x14ac:dyDescent="0.3">
      <c r="A665" s="12" t="s">
        <v>1418</v>
      </c>
      <c r="B665" s="8" t="s">
        <v>644</v>
      </c>
    </row>
    <row r="666" spans="1:2" ht="28.5" customHeight="1" x14ac:dyDescent="0.3">
      <c r="A666" s="12" t="s">
        <v>1417</v>
      </c>
      <c r="B666" s="8" t="s">
        <v>1190</v>
      </c>
    </row>
    <row r="667" spans="1:2" ht="28.5" customHeight="1" x14ac:dyDescent="0.3">
      <c r="A667" s="12" t="s">
        <v>1419</v>
      </c>
      <c r="B667" s="8" t="s">
        <v>167</v>
      </c>
    </row>
    <row r="668" spans="1:2" ht="28.5" customHeight="1" x14ac:dyDescent="0.3">
      <c r="A668" s="12" t="s">
        <v>1420</v>
      </c>
      <c r="B668" s="8" t="s">
        <v>226</v>
      </c>
    </row>
    <row r="669" spans="1:2" ht="28.5" customHeight="1" x14ac:dyDescent="0.3">
      <c r="A669" s="12" t="s">
        <v>1421</v>
      </c>
      <c r="B669" s="8" t="s">
        <v>534</v>
      </c>
    </row>
    <row r="670" spans="1:2" ht="28.5" customHeight="1" x14ac:dyDescent="0.3">
      <c r="A670" s="11" t="s">
        <v>1422</v>
      </c>
      <c r="B670" s="8" t="s">
        <v>537</v>
      </c>
    </row>
    <row r="671" spans="1:2" ht="28.5" customHeight="1" x14ac:dyDescent="0.3">
      <c r="A671" s="11" t="s">
        <v>1423</v>
      </c>
      <c r="B671" s="8" t="s">
        <v>539</v>
      </c>
    </row>
    <row r="672" spans="1:2" ht="28.5" customHeight="1" x14ac:dyDescent="0.3">
      <c r="A672" s="11" t="s">
        <v>1424</v>
      </c>
      <c r="B672" s="8" t="s">
        <v>385</v>
      </c>
    </row>
    <row r="673" spans="1:2" ht="28.5" customHeight="1" x14ac:dyDescent="0.3">
      <c r="A673" s="12" t="s">
        <v>1425</v>
      </c>
      <c r="B673" s="8" t="s">
        <v>541</v>
      </c>
    </row>
    <row r="674" spans="1:2" ht="28.5" customHeight="1" x14ac:dyDescent="0.3">
      <c r="A674" s="12" t="s">
        <v>1426</v>
      </c>
      <c r="B674" s="8" t="s">
        <v>543</v>
      </c>
    </row>
    <row r="675" spans="1:2" ht="28.5" customHeight="1" x14ac:dyDescent="0.3">
      <c r="A675" s="11" t="s">
        <v>1427</v>
      </c>
      <c r="B675" s="8" t="s">
        <v>545</v>
      </c>
    </row>
    <row r="676" spans="1:2" ht="28.5" customHeight="1" x14ac:dyDescent="0.3">
      <c r="A676" s="11" t="s">
        <v>1428</v>
      </c>
      <c r="B676" s="8" t="s">
        <v>547</v>
      </c>
    </row>
    <row r="677" spans="1:2" ht="28.5" customHeight="1" x14ac:dyDescent="0.3">
      <c r="A677" s="11" t="s">
        <v>1429</v>
      </c>
      <c r="B677" s="8" t="s">
        <v>549</v>
      </c>
    </row>
    <row r="678" spans="1:2" ht="28.5" customHeight="1" x14ac:dyDescent="0.3">
      <c r="A678" s="12" t="s">
        <v>1430</v>
      </c>
      <c r="B678" s="8" t="s">
        <v>532</v>
      </c>
    </row>
    <row r="679" spans="1:2" ht="28.5" customHeight="1" x14ac:dyDescent="0.3">
      <c r="A679" s="12" t="s">
        <v>1431</v>
      </c>
      <c r="B679" s="8" t="s">
        <v>167</v>
      </c>
    </row>
    <row r="680" spans="1:2" ht="28.5" customHeight="1" x14ac:dyDescent="0.3">
      <c r="A680" s="27" t="s">
        <v>1432</v>
      </c>
      <c r="B680" s="23" t="s">
        <v>1433</v>
      </c>
    </row>
    <row r="681" spans="1:2" ht="28.5" customHeight="1" x14ac:dyDescent="0.3">
      <c r="A681" s="27" t="s">
        <v>1434</v>
      </c>
      <c r="B681" s="23" t="s">
        <v>1435</v>
      </c>
    </row>
    <row r="682" spans="1:2" ht="28.5" customHeight="1" x14ac:dyDescent="0.3">
      <c r="A682" s="11" t="s">
        <v>1436</v>
      </c>
      <c r="B682" s="8" t="s">
        <v>249</v>
      </c>
    </row>
    <row r="683" spans="1:2" ht="28.5" customHeight="1" x14ac:dyDescent="0.3">
      <c r="A683" s="12" t="s">
        <v>1437</v>
      </c>
      <c r="B683" s="8" t="s">
        <v>226</v>
      </c>
    </row>
    <row r="684" spans="1:2" ht="28.5" customHeight="1" x14ac:dyDescent="0.3">
      <c r="A684" s="11" t="s">
        <v>1438</v>
      </c>
      <c r="B684" s="8" t="s">
        <v>97</v>
      </c>
    </row>
    <row r="685" spans="1:2" ht="28.5" customHeight="1" x14ac:dyDescent="0.3">
      <c r="A685" s="11" t="s">
        <v>1439</v>
      </c>
      <c r="B685" s="8" t="s">
        <v>487</v>
      </c>
    </row>
    <row r="686" spans="1:2" ht="28.5" customHeight="1" x14ac:dyDescent="0.3">
      <c r="A686" s="12" t="s">
        <v>1440</v>
      </c>
      <c r="B686" s="8" t="s">
        <v>437</v>
      </c>
    </row>
    <row r="687" spans="1:2" ht="28.5" customHeight="1" x14ac:dyDescent="0.3">
      <c r="A687" s="11" t="s">
        <v>1441</v>
      </c>
      <c r="B687" s="8" t="s">
        <v>493</v>
      </c>
    </row>
    <row r="688" spans="1:2" ht="28.5" customHeight="1" x14ac:dyDescent="0.3">
      <c r="A688" s="12" t="s">
        <v>1442</v>
      </c>
      <c r="B688" s="8" t="s">
        <v>188</v>
      </c>
    </row>
    <row r="689" spans="1:2" ht="28.5" customHeight="1" x14ac:dyDescent="0.3">
      <c r="A689" s="12" t="s">
        <v>1443</v>
      </c>
      <c r="B689" s="8" t="s">
        <v>489</v>
      </c>
    </row>
    <row r="690" spans="1:2" ht="28.5" customHeight="1" x14ac:dyDescent="0.3">
      <c r="A690" s="11" t="s">
        <v>1444</v>
      </c>
      <c r="B690" s="8" t="s">
        <v>151</v>
      </c>
    </row>
    <row r="691" spans="1:2" ht="28.5" customHeight="1" x14ac:dyDescent="0.3">
      <c r="A691" s="12" t="s">
        <v>1445</v>
      </c>
      <c r="B691" s="8" t="s">
        <v>928</v>
      </c>
    </row>
    <row r="692" spans="1:2" ht="28.5" customHeight="1" x14ac:dyDescent="0.3">
      <c r="A692" s="12" t="s">
        <v>1446</v>
      </c>
      <c r="B692" s="8" t="s">
        <v>167</v>
      </c>
    </row>
    <row r="693" spans="1:2" ht="28.5" customHeight="1" x14ac:dyDescent="0.3">
      <c r="A693" s="11" t="s">
        <v>1447</v>
      </c>
      <c r="B693" s="5" t="s">
        <v>1147</v>
      </c>
    </row>
    <row r="694" spans="1:2" ht="28.5" customHeight="1" x14ac:dyDescent="0.3">
      <c r="A694" s="12" t="s">
        <v>1448</v>
      </c>
      <c r="B694" s="23" t="s">
        <v>1399</v>
      </c>
    </row>
    <row r="695" spans="1:2" ht="28.5" customHeight="1" x14ac:dyDescent="0.3">
      <c r="A695" s="12" t="s">
        <v>1449</v>
      </c>
      <c r="B695" s="23" t="s">
        <v>167</v>
      </c>
    </row>
    <row r="696" spans="1:2" ht="28.5" customHeight="1" x14ac:dyDescent="0.3">
      <c r="A696" s="11" t="s">
        <v>1450</v>
      </c>
      <c r="B696" s="5" t="s">
        <v>757</v>
      </c>
    </row>
    <row r="697" spans="1:2" ht="28.5" customHeight="1" x14ac:dyDescent="0.3">
      <c r="A697" s="11" t="s">
        <v>1451</v>
      </c>
      <c r="B697" s="5" t="s">
        <v>496</v>
      </c>
    </row>
    <row r="698" spans="1:2" ht="28.5" customHeight="1" x14ac:dyDescent="0.3">
      <c r="A698" s="11" t="s">
        <v>1452</v>
      </c>
      <c r="B698" s="5" t="s">
        <v>925</v>
      </c>
    </row>
    <row r="699" spans="1:2" ht="28.5" customHeight="1" x14ac:dyDescent="0.3">
      <c r="A699" s="12" t="s">
        <v>1453</v>
      </c>
      <c r="B699" s="23" t="s">
        <v>226</v>
      </c>
    </row>
    <row r="700" spans="1:2" ht="28.5" customHeight="1" x14ac:dyDescent="0.3">
      <c r="A700" s="12" t="s">
        <v>1454</v>
      </c>
      <c r="B700" s="23" t="s">
        <v>654</v>
      </c>
    </row>
    <row r="701" spans="1:2" ht="28.5" customHeight="1" x14ac:dyDescent="0.3">
      <c r="A701" s="12" t="s">
        <v>1455</v>
      </c>
      <c r="B701" s="8" t="s">
        <v>167</v>
      </c>
    </row>
  </sheetData>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1">
    <pageSetUpPr fitToPage="1"/>
  </sheetPr>
  <dimension ref="A1:J1885"/>
  <sheetViews>
    <sheetView showGridLines="0" view="pageBreakPreview" zoomScale="52" zoomScaleNormal="40" zoomScaleSheetLayoutView="40" zoomScalePageLayoutView="55" workbookViewId="0">
      <selection activeCell="J15" sqref="J15"/>
    </sheetView>
  </sheetViews>
  <sheetFormatPr baseColWidth="10" defaultColWidth="9.109375" defaultRowHeight="25.8" x14ac:dyDescent="0.5"/>
  <cols>
    <col min="1" max="1" width="36.6640625" style="14" customWidth="1"/>
    <col min="2" max="2" width="54.109375" style="14" customWidth="1"/>
    <col min="3" max="3" width="165" style="14" customWidth="1"/>
    <col min="4" max="4" width="19.6640625" style="15" bestFit="1" customWidth="1"/>
    <col min="5" max="5" width="18.88671875" style="14" bestFit="1" customWidth="1"/>
    <col min="6" max="6" width="13.88671875" style="14" bestFit="1" customWidth="1"/>
    <col min="7" max="7" width="24.5546875" style="16" customWidth="1"/>
    <col min="8" max="16384" width="9.109375" style="16"/>
  </cols>
  <sheetData>
    <row r="1" spans="1:10" x14ac:dyDescent="0.5">
      <c r="C1" s="14" t="s">
        <v>1456</v>
      </c>
    </row>
    <row r="2" spans="1:10" ht="15.6" customHeight="1" x14ac:dyDescent="0.5">
      <c r="C2" s="17"/>
      <c r="D2" s="17"/>
      <c r="E2" s="17"/>
    </row>
    <row r="3" spans="1:10" ht="15.6" customHeight="1" x14ac:dyDescent="0.5">
      <c r="C3" s="17"/>
      <c r="D3" s="17"/>
      <c r="E3" s="17"/>
      <c r="J3" s="18">
        <f>IFERROR(VLOOKUP('A imprimir'!$B$13,Hoja2!$A$1:$B$10,2,FALSE),"0")</f>
        <v>251</v>
      </c>
    </row>
    <row r="4" spans="1:10" ht="15.6" customHeight="1" x14ac:dyDescent="0.5">
      <c r="C4" s="17"/>
      <c r="D4" s="17"/>
      <c r="E4" s="17"/>
    </row>
    <row r="5" spans="1:10" ht="26.4" thickBot="1" x14ac:dyDescent="0.55000000000000004"/>
    <row r="6" spans="1:10" ht="27" thickTop="1" thickBot="1" x14ac:dyDescent="0.55000000000000004">
      <c r="A6" s="19" t="s">
        <v>1457</v>
      </c>
      <c r="B6" s="22">
        <f ca="1">TODAY()</f>
        <v>46211</v>
      </c>
    </row>
    <row r="7" spans="1:10" ht="27" thickTop="1" thickBot="1" x14ac:dyDescent="0.55000000000000004">
      <c r="A7" s="19" t="s">
        <v>1458</v>
      </c>
      <c r="B7" s="22" t="s">
        <v>1459</v>
      </c>
    </row>
    <row r="8" spans="1:10" ht="27" thickTop="1" thickBot="1" x14ac:dyDescent="0.55000000000000004">
      <c r="A8" s="19" t="s">
        <v>1460</v>
      </c>
      <c r="B8" s="19" t="str">
        <f>MID(Inicial!I2,1,7)</f>
        <v>PRETF45</v>
      </c>
    </row>
    <row r="9" spans="1:10" ht="27" thickTop="1" thickBot="1" x14ac:dyDescent="0.55000000000000004">
      <c r="A9" s="33" t="s">
        <v>1461</v>
      </c>
      <c r="B9" s="22"/>
    </row>
    <row r="10" spans="1:10" ht="27" thickTop="1" thickBot="1" x14ac:dyDescent="0.55000000000000004">
      <c r="A10" s="34"/>
      <c r="B10" s="22"/>
    </row>
    <row r="11" spans="1:10" ht="19.5" customHeight="1" thickTop="1" thickBot="1" x14ac:dyDescent="0.55000000000000004">
      <c r="A11" s="34"/>
      <c r="B11" s="19"/>
      <c r="F11" s="25"/>
    </row>
    <row r="12" spans="1:10" ht="19.5" customHeight="1" thickTop="1" thickBot="1" x14ac:dyDescent="0.55000000000000004">
      <c r="A12" s="35"/>
      <c r="B12" s="19"/>
      <c r="F12" s="25"/>
    </row>
    <row r="13" spans="1:10" x14ac:dyDescent="0.5">
      <c r="A13" s="30" t="s">
        <v>22</v>
      </c>
      <c r="B13" s="14" t="s">
        <v>1462</v>
      </c>
      <c r="C13" s="32"/>
      <c r="D13" s="32"/>
      <c r="E13" s="32"/>
      <c r="F13" s="25"/>
    </row>
    <row r="14" spans="1:10" x14ac:dyDescent="0.5">
      <c r="F14" s="24"/>
    </row>
    <row r="15" spans="1:10" ht="28.2" x14ac:dyDescent="0.5">
      <c r="A15" s="20" t="s">
        <v>21</v>
      </c>
      <c r="B15" s="21" t="s">
        <v>7</v>
      </c>
      <c r="C15" s="21" t="s">
        <v>5</v>
      </c>
      <c r="D15" s="21" t="s">
        <v>1</v>
      </c>
      <c r="E15" s="21" t="s">
        <v>1463</v>
      </c>
    </row>
    <row r="16" spans="1:10" x14ac:dyDescent="0.5">
      <c r="A16" s="14" t="s">
        <v>226</v>
      </c>
      <c r="B16" s="24" t="s">
        <v>226</v>
      </c>
      <c r="C16" s="14" t="s">
        <v>224</v>
      </c>
      <c r="D16" s="14" t="s">
        <v>25</v>
      </c>
      <c r="E16" s="31">
        <v>1</v>
      </c>
    </row>
    <row r="17" spans="1:5" x14ac:dyDescent="0.5">
      <c r="B17" s="24"/>
      <c r="C17" s="14" t="s">
        <v>268</v>
      </c>
      <c r="D17" s="14" t="s">
        <v>25</v>
      </c>
      <c r="E17" s="31">
        <v>1</v>
      </c>
    </row>
    <row r="18" spans="1:5" x14ac:dyDescent="0.5">
      <c r="B18" s="14" t="s">
        <v>1464</v>
      </c>
      <c r="D18" s="14"/>
      <c r="E18" s="31">
        <v>2</v>
      </c>
    </row>
    <row r="19" spans="1:5" ht="51.6" x14ac:dyDescent="0.5">
      <c r="A19" s="14" t="s">
        <v>1464</v>
      </c>
      <c r="D19" s="14"/>
      <c r="E19" s="31">
        <v>2</v>
      </c>
    </row>
    <row r="20" spans="1:5" x14ac:dyDescent="0.5">
      <c r="A20" s="14" t="s">
        <v>1465</v>
      </c>
      <c r="D20" s="14"/>
      <c r="E20" s="31">
        <v>2</v>
      </c>
    </row>
    <row r="21" spans="1:5" x14ac:dyDescent="0.5">
      <c r="A21"/>
      <c r="B21"/>
      <c r="C21"/>
      <c r="D21"/>
      <c r="E21"/>
    </row>
    <row r="22" spans="1:5" x14ac:dyDescent="0.5">
      <c r="A22"/>
      <c r="B22"/>
      <c r="C22"/>
      <c r="D22"/>
      <c r="E22"/>
    </row>
    <row r="23" spans="1:5" x14ac:dyDescent="0.5">
      <c r="A23"/>
      <c r="B23"/>
      <c r="C23"/>
      <c r="D23"/>
      <c r="E23"/>
    </row>
    <row r="24" spans="1:5" x14ac:dyDescent="0.5">
      <c r="A24"/>
      <c r="B24"/>
      <c r="C24"/>
      <c r="D24"/>
      <c r="E24"/>
    </row>
    <row r="25" spans="1:5" x14ac:dyDescent="0.5">
      <c r="A25"/>
      <c r="B25"/>
      <c r="C25"/>
      <c r="D25"/>
      <c r="E25"/>
    </row>
    <row r="26" spans="1:5" x14ac:dyDescent="0.5">
      <c r="A26"/>
      <c r="B26"/>
      <c r="C26"/>
      <c r="D26"/>
      <c r="E26"/>
    </row>
    <row r="27" spans="1:5" x14ac:dyDescent="0.5">
      <c r="A27"/>
      <c r="B27"/>
      <c r="C27"/>
      <c r="D27"/>
      <c r="E27"/>
    </row>
    <row r="28" spans="1:5" x14ac:dyDescent="0.5">
      <c r="A28"/>
      <c r="B28"/>
      <c r="C28"/>
      <c r="D28"/>
      <c r="E28"/>
    </row>
    <row r="29" spans="1:5" x14ac:dyDescent="0.5">
      <c r="A29"/>
      <c r="B29"/>
      <c r="C29"/>
      <c r="D29"/>
      <c r="E29"/>
    </row>
    <row r="30" spans="1:5" x14ac:dyDescent="0.5">
      <c r="A30"/>
      <c r="B30"/>
      <c r="C30"/>
      <c r="D30"/>
      <c r="E30"/>
    </row>
    <row r="31" spans="1:5" x14ac:dyDescent="0.5">
      <c r="A31"/>
      <c r="B31"/>
      <c r="C31"/>
      <c r="D31"/>
      <c r="E31"/>
    </row>
    <row r="32" spans="1:5" x14ac:dyDescent="0.5">
      <c r="A32"/>
      <c r="B32"/>
      <c r="C32"/>
      <c r="D32"/>
      <c r="E32"/>
    </row>
    <row r="33" spans="1:5" x14ac:dyDescent="0.5">
      <c r="A33"/>
      <c r="B33"/>
      <c r="C33"/>
      <c r="D33"/>
      <c r="E33"/>
    </row>
    <row r="34" spans="1:5" x14ac:dyDescent="0.5">
      <c r="A34"/>
      <c r="B34"/>
      <c r="C34"/>
      <c r="D34"/>
      <c r="E34"/>
    </row>
    <row r="35" spans="1:5" x14ac:dyDescent="0.5">
      <c r="A35"/>
      <c r="B35"/>
      <c r="C35"/>
      <c r="D35"/>
      <c r="E35"/>
    </row>
    <row r="36" spans="1:5" x14ac:dyDescent="0.5">
      <c r="A36"/>
      <c r="B36"/>
      <c r="C36"/>
      <c r="D36"/>
      <c r="E36"/>
    </row>
    <row r="37" spans="1:5" x14ac:dyDescent="0.5">
      <c r="A37"/>
      <c r="B37"/>
      <c r="C37"/>
      <c r="D37"/>
      <c r="E37"/>
    </row>
    <row r="38" spans="1:5" x14ac:dyDescent="0.5">
      <c r="A38"/>
      <c r="B38"/>
      <c r="C38"/>
      <c r="D38"/>
      <c r="E38"/>
    </row>
    <row r="39" spans="1:5" x14ac:dyDescent="0.5">
      <c r="A39"/>
      <c r="B39"/>
      <c r="C39"/>
      <c r="D39"/>
      <c r="E39"/>
    </row>
    <row r="40" spans="1:5" x14ac:dyDescent="0.5">
      <c r="A40"/>
      <c r="B40"/>
      <c r="C40"/>
      <c r="D40"/>
      <c r="E40"/>
    </row>
    <row r="41" spans="1:5" x14ac:dyDescent="0.5">
      <c r="A41"/>
      <c r="B41"/>
      <c r="C41"/>
      <c r="D41"/>
      <c r="E41"/>
    </row>
    <row r="42" spans="1:5" x14ac:dyDescent="0.5">
      <c r="A42"/>
      <c r="B42"/>
      <c r="C42"/>
      <c r="D42"/>
      <c r="E42"/>
    </row>
    <row r="43" spans="1:5" x14ac:dyDescent="0.5">
      <c r="A43"/>
      <c r="B43"/>
      <c r="C43"/>
      <c r="D43"/>
      <c r="E43"/>
    </row>
    <row r="44" spans="1:5" x14ac:dyDescent="0.5">
      <c r="A44"/>
      <c r="B44"/>
      <c r="C44"/>
      <c r="D44"/>
      <c r="E44"/>
    </row>
    <row r="45" spans="1:5" x14ac:dyDescent="0.5">
      <c r="A45"/>
      <c r="B45"/>
      <c r="C45"/>
      <c r="D45"/>
      <c r="E45"/>
    </row>
    <row r="46" spans="1:5" x14ac:dyDescent="0.5">
      <c r="A46"/>
      <c r="B46"/>
      <c r="C46"/>
      <c r="D46"/>
      <c r="E46"/>
    </row>
    <row r="47" spans="1:5" x14ac:dyDescent="0.5">
      <c r="A47"/>
      <c r="B47"/>
      <c r="C47"/>
      <c r="D47"/>
      <c r="E47"/>
    </row>
    <row r="48" spans="1:5" x14ac:dyDescent="0.5">
      <c r="A48"/>
      <c r="B48"/>
      <c r="C48"/>
      <c r="D48"/>
      <c r="E48"/>
    </row>
    <row r="49" spans="1:5" x14ac:dyDescent="0.5">
      <c r="A49"/>
      <c r="B49"/>
      <c r="C49"/>
      <c r="D49"/>
      <c r="E49"/>
    </row>
    <row r="50" spans="1:5" x14ac:dyDescent="0.5">
      <c r="A50"/>
      <c r="B50"/>
      <c r="C50"/>
      <c r="D50"/>
      <c r="E50"/>
    </row>
    <row r="51" spans="1:5" x14ac:dyDescent="0.5">
      <c r="A51"/>
      <c r="B51"/>
      <c r="C51"/>
      <c r="D51"/>
      <c r="E51"/>
    </row>
    <row r="52" spans="1:5" x14ac:dyDescent="0.5">
      <c r="A52"/>
      <c r="B52"/>
      <c r="C52"/>
      <c r="D52"/>
      <c r="E52"/>
    </row>
    <row r="53" spans="1:5" x14ac:dyDescent="0.5">
      <c r="A53"/>
      <c r="B53"/>
      <c r="C53"/>
      <c r="D53"/>
      <c r="E53"/>
    </row>
    <row r="54" spans="1:5" x14ac:dyDescent="0.5">
      <c r="A54"/>
      <c r="B54"/>
      <c r="C54"/>
      <c r="D54"/>
      <c r="E54"/>
    </row>
    <row r="55" spans="1:5" x14ac:dyDescent="0.5">
      <c r="A55"/>
      <c r="B55"/>
      <c r="C55"/>
      <c r="D55"/>
      <c r="E55"/>
    </row>
    <row r="56" spans="1:5" x14ac:dyDescent="0.5">
      <c r="A56"/>
      <c r="B56"/>
      <c r="C56"/>
      <c r="D56"/>
      <c r="E56"/>
    </row>
    <row r="57" spans="1:5" x14ac:dyDescent="0.5">
      <c r="A57"/>
      <c r="B57"/>
      <c r="C57"/>
      <c r="D57"/>
      <c r="E57"/>
    </row>
    <row r="58" spans="1:5" x14ac:dyDescent="0.5">
      <c r="A58"/>
      <c r="B58"/>
      <c r="C58"/>
      <c r="D58"/>
      <c r="E58"/>
    </row>
    <row r="59" spans="1:5" x14ac:dyDescent="0.5">
      <c r="A59"/>
      <c r="B59"/>
      <c r="C59"/>
      <c r="D59"/>
      <c r="E59"/>
    </row>
    <row r="60" spans="1:5" x14ac:dyDescent="0.5">
      <c r="A60"/>
      <c r="B60"/>
      <c r="C60"/>
      <c r="D60"/>
      <c r="E60"/>
    </row>
    <row r="61" spans="1:5" x14ac:dyDescent="0.5">
      <c r="A61"/>
      <c r="B61"/>
      <c r="C61"/>
      <c r="D61"/>
      <c r="E61"/>
    </row>
    <row r="62" spans="1:5" x14ac:dyDescent="0.5">
      <c r="A62"/>
      <c r="B62"/>
      <c r="C62"/>
      <c r="D62"/>
      <c r="E62"/>
    </row>
    <row r="63" spans="1:5" x14ac:dyDescent="0.5">
      <c r="A63"/>
      <c r="B63"/>
      <c r="C63"/>
      <c r="D63"/>
      <c r="E63"/>
    </row>
    <row r="64" spans="1:5" x14ac:dyDescent="0.5">
      <c r="A64"/>
      <c r="B64"/>
      <c r="C64"/>
      <c r="D64"/>
      <c r="E64"/>
    </row>
    <row r="65" spans="1:5" x14ac:dyDescent="0.5">
      <c r="A65"/>
      <c r="B65"/>
      <c r="C65"/>
      <c r="D65"/>
      <c r="E65"/>
    </row>
    <row r="66" spans="1:5" x14ac:dyDescent="0.5">
      <c r="A66"/>
      <c r="B66"/>
      <c r="C66"/>
      <c r="D66"/>
      <c r="E66"/>
    </row>
    <row r="67" spans="1:5" x14ac:dyDescent="0.5">
      <c r="A67"/>
      <c r="B67"/>
      <c r="C67"/>
      <c r="D67"/>
      <c r="E67"/>
    </row>
    <row r="68" spans="1:5" x14ac:dyDescent="0.5">
      <c r="A68"/>
      <c r="B68"/>
      <c r="C68"/>
      <c r="D68"/>
      <c r="E68"/>
    </row>
    <row r="69" spans="1:5" x14ac:dyDescent="0.5">
      <c r="A69"/>
      <c r="B69"/>
      <c r="C69"/>
      <c r="D69"/>
      <c r="E69"/>
    </row>
    <row r="70" spans="1:5" x14ac:dyDescent="0.5">
      <c r="A70"/>
      <c r="B70"/>
      <c r="C70"/>
      <c r="D70"/>
      <c r="E70"/>
    </row>
    <row r="71" spans="1:5" x14ac:dyDescent="0.5">
      <c r="A71"/>
      <c r="B71"/>
      <c r="C71"/>
      <c r="D71"/>
      <c r="E71"/>
    </row>
    <row r="72" spans="1:5" x14ac:dyDescent="0.5">
      <c r="A72"/>
      <c r="B72"/>
      <c r="C72"/>
      <c r="D72"/>
      <c r="E72"/>
    </row>
    <row r="73" spans="1:5" x14ac:dyDescent="0.5">
      <c r="A73"/>
      <c r="B73"/>
      <c r="C73"/>
      <c r="D73"/>
      <c r="E73"/>
    </row>
    <row r="74" spans="1:5" x14ac:dyDescent="0.5">
      <c r="A74"/>
      <c r="B74"/>
      <c r="C74"/>
      <c r="D74"/>
      <c r="E74"/>
    </row>
    <row r="75" spans="1:5" x14ac:dyDescent="0.5">
      <c r="A75"/>
      <c r="B75"/>
      <c r="C75"/>
      <c r="D75"/>
      <c r="E75"/>
    </row>
    <row r="76" spans="1:5" x14ac:dyDescent="0.5">
      <c r="A76"/>
      <c r="B76"/>
      <c r="C76"/>
      <c r="D76"/>
      <c r="E76"/>
    </row>
    <row r="77" spans="1:5" x14ac:dyDescent="0.5">
      <c r="A77"/>
      <c r="B77"/>
      <c r="C77"/>
      <c r="D77"/>
      <c r="E77"/>
    </row>
    <row r="78" spans="1:5" x14ac:dyDescent="0.5">
      <c r="A78"/>
      <c r="B78"/>
      <c r="C78"/>
      <c r="D78"/>
      <c r="E78"/>
    </row>
    <row r="79" spans="1:5" x14ac:dyDescent="0.5">
      <c r="A79"/>
      <c r="B79"/>
      <c r="C79"/>
      <c r="D79"/>
      <c r="E79"/>
    </row>
    <row r="80" spans="1:5" x14ac:dyDescent="0.5">
      <c r="A80"/>
      <c r="B80"/>
      <c r="C80"/>
      <c r="D80"/>
      <c r="E80"/>
    </row>
    <row r="81" spans="1:5" x14ac:dyDescent="0.5">
      <c r="A81"/>
      <c r="B81"/>
      <c r="C81"/>
      <c r="D81"/>
      <c r="E81"/>
    </row>
    <row r="82" spans="1:5" x14ac:dyDescent="0.5">
      <c r="A82"/>
      <c r="B82"/>
      <c r="C82"/>
      <c r="D82"/>
      <c r="E82"/>
    </row>
    <row r="83" spans="1:5" x14ac:dyDescent="0.5">
      <c r="A83"/>
      <c r="B83"/>
      <c r="C83"/>
      <c r="D83"/>
      <c r="E83"/>
    </row>
    <row r="84" spans="1:5" x14ac:dyDescent="0.5">
      <c r="A84"/>
      <c r="B84"/>
      <c r="C84"/>
      <c r="D84"/>
      <c r="E84"/>
    </row>
    <row r="85" spans="1:5" x14ac:dyDescent="0.5">
      <c r="A85"/>
      <c r="B85"/>
      <c r="C85"/>
      <c r="D85"/>
      <c r="E85"/>
    </row>
    <row r="86" spans="1:5" x14ac:dyDescent="0.5">
      <c r="A86"/>
      <c r="B86"/>
      <c r="C86"/>
      <c r="D86"/>
      <c r="E86"/>
    </row>
    <row r="87" spans="1:5" x14ac:dyDescent="0.5">
      <c r="A87"/>
      <c r="B87"/>
      <c r="C87"/>
      <c r="D87"/>
      <c r="E87"/>
    </row>
    <row r="88" spans="1:5" x14ac:dyDescent="0.5">
      <c r="A88"/>
      <c r="B88"/>
      <c r="C88"/>
      <c r="D88"/>
      <c r="E88"/>
    </row>
    <row r="89" spans="1:5" x14ac:dyDescent="0.5">
      <c r="A89"/>
      <c r="B89"/>
      <c r="C89"/>
      <c r="D89"/>
      <c r="E89"/>
    </row>
    <row r="90" spans="1:5" x14ac:dyDescent="0.5">
      <c r="A90"/>
      <c r="B90"/>
      <c r="C90"/>
      <c r="D90"/>
      <c r="E90"/>
    </row>
    <row r="91" spans="1:5" x14ac:dyDescent="0.5">
      <c r="A91"/>
      <c r="B91"/>
      <c r="C91"/>
      <c r="D91"/>
      <c r="E91"/>
    </row>
    <row r="92" spans="1:5" x14ac:dyDescent="0.5">
      <c r="A92"/>
      <c r="B92"/>
      <c r="C92"/>
      <c r="D92"/>
      <c r="E92"/>
    </row>
    <row r="93" spans="1:5" x14ac:dyDescent="0.5">
      <c r="A93"/>
      <c r="B93"/>
      <c r="C93"/>
      <c r="D93"/>
      <c r="E93"/>
    </row>
    <row r="94" spans="1:5" x14ac:dyDescent="0.5">
      <c r="A94"/>
      <c r="B94"/>
      <c r="C94"/>
      <c r="D94"/>
      <c r="E94"/>
    </row>
    <row r="95" spans="1:5" x14ac:dyDescent="0.5">
      <c r="A95"/>
      <c r="B95"/>
      <c r="C95"/>
      <c r="D95"/>
      <c r="E95"/>
    </row>
    <row r="96" spans="1:5" x14ac:dyDescent="0.5">
      <c r="A96"/>
      <c r="B96"/>
      <c r="C96"/>
      <c r="D96"/>
      <c r="E96"/>
    </row>
    <row r="97" spans="1:5" x14ac:dyDescent="0.5">
      <c r="A97"/>
      <c r="B97"/>
      <c r="C97"/>
      <c r="D97"/>
      <c r="E97"/>
    </row>
    <row r="98" spans="1:5" x14ac:dyDescent="0.5">
      <c r="A98"/>
      <c r="B98"/>
      <c r="C98"/>
      <c r="D98"/>
      <c r="E98"/>
    </row>
    <row r="99" spans="1:5" x14ac:dyDescent="0.5">
      <c r="A99"/>
      <c r="B99"/>
      <c r="C99"/>
      <c r="D99"/>
      <c r="E99"/>
    </row>
    <row r="100" spans="1:5" x14ac:dyDescent="0.5">
      <c r="A100"/>
      <c r="B100"/>
      <c r="C100"/>
      <c r="D100"/>
      <c r="E100"/>
    </row>
    <row r="101" spans="1:5" x14ac:dyDescent="0.5">
      <c r="A101"/>
      <c r="B101"/>
      <c r="C101"/>
      <c r="D101"/>
      <c r="E101"/>
    </row>
    <row r="102" spans="1:5" x14ac:dyDescent="0.5">
      <c r="A102"/>
      <c r="B102"/>
      <c r="C102"/>
      <c r="D102"/>
      <c r="E102"/>
    </row>
    <row r="103" spans="1:5" x14ac:dyDescent="0.5">
      <c r="A103"/>
      <c r="B103"/>
      <c r="C103"/>
      <c r="D103"/>
      <c r="E103"/>
    </row>
    <row r="104" spans="1:5" x14ac:dyDescent="0.5">
      <c r="A104"/>
      <c r="B104"/>
      <c r="C104"/>
      <c r="D104"/>
      <c r="E104"/>
    </row>
    <row r="105" spans="1:5" x14ac:dyDescent="0.5">
      <c r="A105"/>
      <c r="B105"/>
      <c r="C105"/>
      <c r="D105"/>
      <c r="E105"/>
    </row>
    <row r="106" spans="1:5" x14ac:dyDescent="0.5">
      <c r="A106"/>
      <c r="B106"/>
      <c r="C106"/>
      <c r="D106"/>
      <c r="E106"/>
    </row>
    <row r="107" spans="1:5" x14ac:dyDescent="0.5">
      <c r="A107"/>
      <c r="B107"/>
      <c r="C107"/>
      <c r="D107"/>
      <c r="E107"/>
    </row>
    <row r="108" spans="1:5" x14ac:dyDescent="0.5">
      <c r="A108"/>
      <c r="B108"/>
      <c r="C108"/>
      <c r="D108"/>
      <c r="E108"/>
    </row>
    <row r="109" spans="1:5" x14ac:dyDescent="0.5">
      <c r="A109"/>
      <c r="B109"/>
      <c r="C109"/>
      <c r="D109"/>
      <c r="E109"/>
    </row>
    <row r="110" spans="1:5" x14ac:dyDescent="0.5">
      <c r="A110"/>
      <c r="B110"/>
      <c r="C110"/>
      <c r="D110"/>
      <c r="E110"/>
    </row>
    <row r="111" spans="1:5" x14ac:dyDescent="0.5">
      <c r="A111"/>
      <c r="B111"/>
      <c r="C111"/>
      <c r="D111"/>
      <c r="E111"/>
    </row>
    <row r="112" spans="1:5" x14ac:dyDescent="0.5">
      <c r="A112"/>
      <c r="B112"/>
      <c r="C112"/>
      <c r="D112"/>
      <c r="E112"/>
    </row>
    <row r="113" spans="1:5" x14ac:dyDescent="0.5">
      <c r="A113"/>
      <c r="B113"/>
      <c r="C113"/>
      <c r="D113"/>
      <c r="E113"/>
    </row>
    <row r="114" spans="1:5" x14ac:dyDescent="0.5">
      <c r="A114"/>
      <c r="B114"/>
      <c r="C114"/>
      <c r="D114"/>
      <c r="E114"/>
    </row>
    <row r="115" spans="1:5" x14ac:dyDescent="0.5">
      <c r="A115"/>
      <c r="B115"/>
      <c r="C115"/>
      <c r="D115"/>
      <c r="E115"/>
    </row>
    <row r="116" spans="1:5" x14ac:dyDescent="0.5">
      <c r="A116"/>
      <c r="B116"/>
      <c r="C116"/>
      <c r="D116"/>
      <c r="E116"/>
    </row>
    <row r="117" spans="1:5" x14ac:dyDescent="0.5">
      <c r="A117"/>
      <c r="B117"/>
      <c r="C117"/>
      <c r="D117"/>
      <c r="E117"/>
    </row>
    <row r="118" spans="1:5" x14ac:dyDescent="0.5">
      <c r="A118"/>
      <c r="B118"/>
      <c r="C118"/>
      <c r="D118"/>
      <c r="E118"/>
    </row>
    <row r="119" spans="1:5" x14ac:dyDescent="0.5">
      <c r="A119"/>
      <c r="B119"/>
      <c r="C119"/>
      <c r="D119"/>
      <c r="E119"/>
    </row>
    <row r="120" spans="1:5" x14ac:dyDescent="0.5">
      <c r="A120"/>
      <c r="B120"/>
      <c r="C120"/>
      <c r="D120"/>
      <c r="E120"/>
    </row>
    <row r="121" spans="1:5" x14ac:dyDescent="0.5">
      <c r="A121"/>
      <c r="B121"/>
      <c r="C121"/>
      <c r="D121"/>
      <c r="E121"/>
    </row>
    <row r="122" spans="1:5" x14ac:dyDescent="0.5">
      <c r="A122"/>
      <c r="B122"/>
      <c r="C122"/>
      <c r="D122"/>
      <c r="E122"/>
    </row>
    <row r="123" spans="1:5" x14ac:dyDescent="0.5">
      <c r="A123"/>
      <c r="B123"/>
      <c r="C123"/>
      <c r="D123"/>
      <c r="E123"/>
    </row>
    <row r="124" spans="1:5" x14ac:dyDescent="0.5">
      <c r="A124"/>
      <c r="B124"/>
      <c r="C124"/>
      <c r="D124"/>
      <c r="E124"/>
    </row>
    <row r="125" spans="1:5" x14ac:dyDescent="0.5">
      <c r="A125"/>
      <c r="B125"/>
      <c r="C125"/>
      <c r="D125"/>
      <c r="E125"/>
    </row>
    <row r="126" spans="1:5" x14ac:dyDescent="0.5">
      <c r="A126"/>
      <c r="B126"/>
      <c r="C126"/>
      <c r="D126"/>
      <c r="E126"/>
    </row>
    <row r="127" spans="1:5" x14ac:dyDescent="0.5">
      <c r="A127"/>
      <c r="B127"/>
      <c r="C127"/>
      <c r="D127"/>
      <c r="E127"/>
    </row>
    <row r="128" spans="1:5" x14ac:dyDescent="0.5">
      <c r="A128"/>
      <c r="B128"/>
      <c r="C128"/>
      <c r="D128"/>
      <c r="E128"/>
    </row>
    <row r="129" spans="1:5" x14ac:dyDescent="0.5">
      <c r="A129"/>
      <c r="B129"/>
      <c r="C129"/>
      <c r="D129"/>
      <c r="E129"/>
    </row>
    <row r="130" spans="1:5" x14ac:dyDescent="0.5">
      <c r="A130"/>
      <c r="B130"/>
      <c r="C130"/>
      <c r="D130"/>
      <c r="E130"/>
    </row>
    <row r="131" spans="1:5" x14ac:dyDescent="0.5">
      <c r="A131"/>
      <c r="B131"/>
      <c r="C131"/>
      <c r="D131"/>
      <c r="E131"/>
    </row>
    <row r="132" spans="1:5" x14ac:dyDescent="0.5">
      <c r="A132"/>
      <c r="B132"/>
      <c r="C132"/>
      <c r="D132"/>
      <c r="E132"/>
    </row>
    <row r="133" spans="1:5" x14ac:dyDescent="0.5">
      <c r="A133"/>
      <c r="B133"/>
      <c r="C133"/>
      <c r="D133"/>
      <c r="E133"/>
    </row>
    <row r="134" spans="1:5" x14ac:dyDescent="0.5">
      <c r="A134"/>
      <c r="B134"/>
      <c r="C134"/>
      <c r="D134"/>
      <c r="E134"/>
    </row>
    <row r="135" spans="1:5" x14ac:dyDescent="0.5">
      <c r="A135"/>
      <c r="B135"/>
      <c r="C135"/>
      <c r="D135"/>
      <c r="E135"/>
    </row>
    <row r="136" spans="1:5" x14ac:dyDescent="0.5">
      <c r="A136"/>
      <c r="B136"/>
      <c r="C136"/>
      <c r="D136"/>
      <c r="E136"/>
    </row>
    <row r="137" spans="1:5" x14ac:dyDescent="0.5">
      <c r="A137"/>
      <c r="B137"/>
      <c r="C137"/>
      <c r="D137"/>
      <c r="E137"/>
    </row>
    <row r="138" spans="1:5" x14ac:dyDescent="0.5">
      <c r="A138"/>
      <c r="B138"/>
      <c r="C138"/>
      <c r="D138"/>
      <c r="E138"/>
    </row>
    <row r="139" spans="1:5" x14ac:dyDescent="0.5">
      <c r="A139"/>
      <c r="B139"/>
      <c r="C139"/>
      <c r="D139"/>
      <c r="E139"/>
    </row>
    <row r="140" spans="1:5" x14ac:dyDescent="0.5">
      <c r="A140"/>
      <c r="B140"/>
      <c r="C140"/>
      <c r="D140"/>
      <c r="E140"/>
    </row>
    <row r="141" spans="1:5" x14ac:dyDescent="0.5">
      <c r="A141"/>
      <c r="B141"/>
      <c r="C141"/>
      <c r="D141"/>
      <c r="E141"/>
    </row>
    <row r="142" spans="1:5" x14ac:dyDescent="0.5">
      <c r="A142"/>
      <c r="B142"/>
      <c r="C142"/>
      <c r="D142"/>
      <c r="E142"/>
    </row>
    <row r="143" spans="1:5" x14ac:dyDescent="0.5">
      <c r="A143"/>
      <c r="B143"/>
      <c r="C143"/>
      <c r="D143"/>
      <c r="E143"/>
    </row>
    <row r="144" spans="1:5" x14ac:dyDescent="0.5">
      <c r="A144"/>
      <c r="B144"/>
      <c r="C144"/>
      <c r="D144"/>
      <c r="E144"/>
    </row>
    <row r="145" spans="1:5" x14ac:dyDescent="0.5">
      <c r="A145"/>
      <c r="B145"/>
      <c r="C145"/>
      <c r="D145"/>
      <c r="E145"/>
    </row>
    <row r="146" spans="1:5" x14ac:dyDescent="0.5">
      <c r="A146"/>
      <c r="B146"/>
      <c r="C146"/>
      <c r="D146"/>
      <c r="E146"/>
    </row>
    <row r="147" spans="1:5" x14ac:dyDescent="0.5">
      <c r="A147"/>
      <c r="B147"/>
      <c r="C147"/>
      <c r="D147"/>
      <c r="E147"/>
    </row>
    <row r="148" spans="1:5" x14ac:dyDescent="0.5">
      <c r="A148"/>
      <c r="B148"/>
      <c r="C148"/>
      <c r="D148"/>
      <c r="E148"/>
    </row>
    <row r="149" spans="1:5" x14ac:dyDescent="0.5">
      <c r="A149"/>
      <c r="B149"/>
      <c r="C149"/>
      <c r="D149"/>
      <c r="E149"/>
    </row>
    <row r="150" spans="1:5" x14ac:dyDescent="0.5">
      <c r="A150"/>
      <c r="B150"/>
      <c r="C150"/>
      <c r="D150"/>
      <c r="E150"/>
    </row>
    <row r="151" spans="1:5" x14ac:dyDescent="0.5">
      <c r="A151"/>
      <c r="B151"/>
      <c r="C151"/>
      <c r="D151"/>
      <c r="E151"/>
    </row>
    <row r="152" spans="1:5" x14ac:dyDescent="0.5">
      <c r="A152"/>
      <c r="B152"/>
      <c r="C152"/>
      <c r="D152"/>
      <c r="E152"/>
    </row>
    <row r="153" spans="1:5" x14ac:dyDescent="0.5">
      <c r="A153"/>
      <c r="B153"/>
      <c r="C153"/>
      <c r="D153"/>
      <c r="E153"/>
    </row>
    <row r="154" spans="1:5" x14ac:dyDescent="0.5">
      <c r="A154"/>
      <c r="B154"/>
      <c r="C154"/>
      <c r="D154"/>
      <c r="E154"/>
    </row>
    <row r="155" spans="1:5" x14ac:dyDescent="0.5">
      <c r="A155"/>
      <c r="B155"/>
      <c r="C155"/>
      <c r="D155"/>
      <c r="E155"/>
    </row>
    <row r="156" spans="1:5" x14ac:dyDescent="0.5">
      <c r="A156"/>
      <c r="B156"/>
      <c r="C156"/>
      <c r="D156"/>
      <c r="E156"/>
    </row>
    <row r="157" spans="1:5" x14ac:dyDescent="0.5">
      <c r="A157"/>
      <c r="B157"/>
      <c r="C157"/>
      <c r="D157"/>
      <c r="E157"/>
    </row>
    <row r="158" spans="1:5" x14ac:dyDescent="0.5">
      <c r="A158"/>
      <c r="B158"/>
      <c r="C158"/>
      <c r="D158"/>
      <c r="E158"/>
    </row>
    <row r="159" spans="1:5" x14ac:dyDescent="0.5">
      <c r="A159"/>
      <c r="B159"/>
      <c r="C159"/>
      <c r="D159"/>
      <c r="E159"/>
    </row>
    <row r="160" spans="1:5" x14ac:dyDescent="0.5">
      <c r="A160"/>
      <c r="B160"/>
      <c r="C160"/>
      <c r="D160"/>
      <c r="E160"/>
    </row>
    <row r="161" spans="1:5" x14ac:dyDescent="0.5">
      <c r="A161"/>
      <c r="B161"/>
      <c r="C161"/>
      <c r="D161"/>
      <c r="E161"/>
    </row>
    <row r="162" spans="1:5" x14ac:dyDescent="0.5">
      <c r="A162"/>
      <c r="B162"/>
      <c r="C162"/>
      <c r="D162"/>
      <c r="E162"/>
    </row>
    <row r="163" spans="1:5" x14ac:dyDescent="0.5">
      <c r="A163"/>
      <c r="B163"/>
      <c r="C163"/>
      <c r="D163"/>
      <c r="E163"/>
    </row>
    <row r="164" spans="1:5" x14ac:dyDescent="0.5">
      <c r="A164"/>
      <c r="B164"/>
      <c r="C164"/>
      <c r="D164"/>
      <c r="E164"/>
    </row>
    <row r="165" spans="1:5" x14ac:dyDescent="0.5">
      <c r="A165"/>
      <c r="B165"/>
      <c r="C165"/>
      <c r="D165"/>
      <c r="E165"/>
    </row>
    <row r="166" spans="1:5" x14ac:dyDescent="0.5">
      <c r="A166"/>
      <c r="B166"/>
      <c r="C166"/>
      <c r="D166"/>
      <c r="E166"/>
    </row>
    <row r="167" spans="1:5" x14ac:dyDescent="0.5">
      <c r="A167"/>
      <c r="B167"/>
      <c r="C167"/>
      <c r="D167"/>
      <c r="E167"/>
    </row>
    <row r="168" spans="1:5" x14ac:dyDescent="0.5">
      <c r="A168"/>
      <c r="B168"/>
      <c r="C168"/>
      <c r="D168"/>
      <c r="E168"/>
    </row>
    <row r="169" spans="1:5" x14ac:dyDescent="0.5">
      <c r="A169"/>
      <c r="B169"/>
      <c r="C169"/>
      <c r="D169"/>
      <c r="E169"/>
    </row>
    <row r="170" spans="1:5" x14ac:dyDescent="0.5">
      <c r="A170"/>
      <c r="B170"/>
      <c r="C170"/>
      <c r="D170"/>
      <c r="E170"/>
    </row>
    <row r="171" spans="1:5" x14ac:dyDescent="0.5">
      <c r="A171"/>
      <c r="B171"/>
      <c r="C171"/>
      <c r="D171"/>
      <c r="E171"/>
    </row>
    <row r="172" spans="1:5" x14ac:dyDescent="0.5">
      <c r="A172"/>
      <c r="B172"/>
      <c r="C172"/>
      <c r="D172"/>
      <c r="E172"/>
    </row>
    <row r="173" spans="1:5" x14ac:dyDescent="0.5">
      <c r="A173"/>
      <c r="B173"/>
      <c r="C173"/>
      <c r="D173"/>
      <c r="E173"/>
    </row>
    <row r="174" spans="1:5" x14ac:dyDescent="0.5">
      <c r="A174"/>
      <c r="B174"/>
      <c r="C174"/>
      <c r="D174"/>
      <c r="E174"/>
    </row>
    <row r="175" spans="1:5" x14ac:dyDescent="0.5">
      <c r="A175"/>
      <c r="B175"/>
      <c r="C175"/>
      <c r="D175"/>
      <c r="E175"/>
    </row>
    <row r="176" spans="1:5" x14ac:dyDescent="0.5">
      <c r="A176"/>
      <c r="B176"/>
      <c r="C176"/>
      <c r="D176"/>
      <c r="E176"/>
    </row>
    <row r="177" spans="1:5" x14ac:dyDescent="0.5">
      <c r="A177"/>
      <c r="B177"/>
      <c r="C177"/>
      <c r="D177"/>
      <c r="E177"/>
    </row>
    <row r="178" spans="1:5" x14ac:dyDescent="0.5">
      <c r="A178"/>
      <c r="B178"/>
      <c r="C178"/>
      <c r="D178"/>
      <c r="E178"/>
    </row>
    <row r="179" spans="1:5" x14ac:dyDescent="0.5">
      <c r="A179"/>
      <c r="B179"/>
      <c r="C179"/>
      <c r="D179"/>
      <c r="E179"/>
    </row>
    <row r="180" spans="1:5" x14ac:dyDescent="0.5">
      <c r="A180"/>
      <c r="B180"/>
      <c r="C180"/>
      <c r="D180"/>
      <c r="E180"/>
    </row>
    <row r="181" spans="1:5" x14ac:dyDescent="0.5">
      <c r="A181"/>
      <c r="B181"/>
      <c r="C181"/>
      <c r="D181"/>
      <c r="E181"/>
    </row>
    <row r="182" spans="1:5" x14ac:dyDescent="0.5">
      <c r="A182"/>
      <c r="B182"/>
      <c r="C182"/>
      <c r="D182"/>
      <c r="E182"/>
    </row>
    <row r="183" spans="1:5" x14ac:dyDescent="0.5">
      <c r="A183"/>
      <c r="B183"/>
      <c r="C183"/>
      <c r="D183"/>
      <c r="E183"/>
    </row>
    <row r="184" spans="1:5" x14ac:dyDescent="0.5">
      <c r="A184"/>
      <c r="B184"/>
      <c r="C184"/>
      <c r="D184"/>
      <c r="E184"/>
    </row>
    <row r="185" spans="1:5" x14ac:dyDescent="0.5">
      <c r="A185"/>
      <c r="B185"/>
      <c r="C185"/>
      <c r="D185"/>
      <c r="E185"/>
    </row>
    <row r="186" spans="1:5" x14ac:dyDescent="0.5">
      <c r="A186"/>
      <c r="B186"/>
      <c r="C186"/>
      <c r="D186"/>
      <c r="E186"/>
    </row>
    <row r="187" spans="1:5" x14ac:dyDescent="0.5">
      <c r="A187"/>
      <c r="B187"/>
      <c r="C187"/>
      <c r="D187"/>
      <c r="E187"/>
    </row>
    <row r="188" spans="1:5" x14ac:dyDescent="0.5">
      <c r="A188"/>
      <c r="B188"/>
      <c r="C188"/>
      <c r="D188"/>
      <c r="E188"/>
    </row>
    <row r="189" spans="1:5" x14ac:dyDescent="0.5">
      <c r="A189"/>
      <c r="B189"/>
      <c r="C189"/>
      <c r="D189"/>
      <c r="E189"/>
    </row>
    <row r="190" spans="1:5" x14ac:dyDescent="0.5">
      <c r="A190"/>
      <c r="B190"/>
      <c r="C190"/>
      <c r="D190"/>
      <c r="E190"/>
    </row>
    <row r="191" spans="1:5" x14ac:dyDescent="0.5">
      <c r="A191"/>
      <c r="B191"/>
      <c r="C191"/>
      <c r="D191"/>
      <c r="E191"/>
    </row>
    <row r="192" spans="1:5" x14ac:dyDescent="0.5">
      <c r="A192"/>
      <c r="B192"/>
      <c r="C192"/>
      <c r="D192"/>
      <c r="E192"/>
    </row>
    <row r="193" spans="1:5" x14ac:dyDescent="0.5">
      <c r="A193"/>
      <c r="B193"/>
      <c r="C193"/>
      <c r="D193"/>
      <c r="E193"/>
    </row>
    <row r="194" spans="1:5" x14ac:dyDescent="0.5">
      <c r="A194"/>
      <c r="B194"/>
      <c r="C194"/>
      <c r="D194"/>
      <c r="E194"/>
    </row>
    <row r="195" spans="1:5" x14ac:dyDescent="0.5">
      <c r="A195"/>
      <c r="B195"/>
      <c r="C195"/>
      <c r="D195"/>
      <c r="E195"/>
    </row>
    <row r="196" spans="1:5" x14ac:dyDescent="0.5">
      <c r="A196"/>
      <c r="B196"/>
      <c r="C196"/>
      <c r="D196"/>
      <c r="E196"/>
    </row>
    <row r="197" spans="1:5" x14ac:dyDescent="0.5">
      <c r="A197"/>
      <c r="B197"/>
      <c r="C197"/>
      <c r="D197"/>
      <c r="E197"/>
    </row>
    <row r="198" spans="1:5" x14ac:dyDescent="0.5">
      <c r="A198"/>
      <c r="B198"/>
      <c r="C198"/>
      <c r="D198"/>
      <c r="E198"/>
    </row>
    <row r="199" spans="1:5" x14ac:dyDescent="0.5">
      <c r="A199"/>
      <c r="B199"/>
      <c r="C199"/>
      <c r="D199"/>
      <c r="E199"/>
    </row>
    <row r="200" spans="1:5" x14ac:dyDescent="0.5">
      <c r="A200"/>
      <c r="B200"/>
      <c r="C200"/>
      <c r="D200"/>
      <c r="E200"/>
    </row>
    <row r="201" spans="1:5" x14ac:dyDescent="0.5">
      <c r="A201"/>
      <c r="B201"/>
      <c r="C201"/>
      <c r="D201"/>
      <c r="E201"/>
    </row>
    <row r="202" spans="1:5" x14ac:dyDescent="0.5">
      <c r="A202"/>
      <c r="B202"/>
      <c r="C202"/>
      <c r="D202"/>
      <c r="E202"/>
    </row>
    <row r="203" spans="1:5" x14ac:dyDescent="0.5">
      <c r="A203"/>
      <c r="B203"/>
      <c r="C203"/>
      <c r="D203"/>
      <c r="E203"/>
    </row>
    <row r="204" spans="1:5" x14ac:dyDescent="0.5">
      <c r="A204"/>
      <c r="B204"/>
      <c r="C204"/>
      <c r="D204"/>
      <c r="E204"/>
    </row>
    <row r="205" spans="1:5" x14ac:dyDescent="0.5">
      <c r="A205"/>
      <c r="B205"/>
      <c r="C205"/>
      <c r="D205"/>
      <c r="E205"/>
    </row>
    <row r="206" spans="1:5" x14ac:dyDescent="0.5">
      <c r="A206"/>
      <c r="B206"/>
      <c r="C206"/>
      <c r="D206"/>
      <c r="E206"/>
    </row>
    <row r="207" spans="1:5" x14ac:dyDescent="0.5">
      <c r="A207"/>
      <c r="B207"/>
      <c r="C207"/>
      <c r="D207"/>
      <c r="E207"/>
    </row>
    <row r="208" spans="1:5" x14ac:dyDescent="0.5">
      <c r="A208"/>
      <c r="B208"/>
      <c r="C208"/>
      <c r="D208"/>
      <c r="E208"/>
    </row>
    <row r="209" spans="1:5" x14ac:dyDescent="0.5">
      <c r="A209"/>
      <c r="B209"/>
      <c r="C209"/>
      <c r="D209"/>
      <c r="E209"/>
    </row>
    <row r="210" spans="1:5" x14ac:dyDescent="0.5">
      <c r="A210"/>
      <c r="B210"/>
      <c r="C210"/>
      <c r="D210"/>
      <c r="E210"/>
    </row>
    <row r="211" spans="1:5" x14ac:dyDescent="0.5">
      <c r="A211"/>
      <c r="B211"/>
      <c r="C211"/>
      <c r="D211"/>
      <c r="E211"/>
    </row>
    <row r="212" spans="1:5" x14ac:dyDescent="0.5">
      <c r="A212"/>
      <c r="B212"/>
      <c r="C212"/>
      <c r="D212"/>
      <c r="E212"/>
    </row>
    <row r="213" spans="1:5" x14ac:dyDescent="0.5">
      <c r="A213"/>
      <c r="B213"/>
      <c r="C213"/>
      <c r="D213"/>
      <c r="E213"/>
    </row>
    <row r="214" spans="1:5" x14ac:dyDescent="0.5">
      <c r="A214"/>
      <c r="B214"/>
      <c r="C214"/>
      <c r="D214"/>
      <c r="E214"/>
    </row>
    <row r="215" spans="1:5" x14ac:dyDescent="0.5">
      <c r="A215"/>
      <c r="B215"/>
      <c r="C215"/>
      <c r="D215"/>
      <c r="E215"/>
    </row>
    <row r="216" spans="1:5" x14ac:dyDescent="0.5">
      <c r="A216"/>
      <c r="B216"/>
      <c r="C216"/>
      <c r="D216"/>
      <c r="E216"/>
    </row>
    <row r="217" spans="1:5" x14ac:dyDescent="0.5">
      <c r="A217"/>
      <c r="B217"/>
      <c r="C217"/>
      <c r="D217"/>
      <c r="E217"/>
    </row>
    <row r="218" spans="1:5" x14ac:dyDescent="0.5">
      <c r="A218"/>
      <c r="B218"/>
      <c r="C218"/>
      <c r="D218"/>
      <c r="E218"/>
    </row>
    <row r="219" spans="1:5" x14ac:dyDescent="0.5">
      <c r="A219"/>
      <c r="B219"/>
      <c r="C219"/>
      <c r="D219"/>
      <c r="E219"/>
    </row>
    <row r="220" spans="1:5" x14ac:dyDescent="0.5">
      <c r="A220"/>
      <c r="B220"/>
      <c r="C220"/>
      <c r="D220"/>
      <c r="E220"/>
    </row>
    <row r="221" spans="1:5" x14ac:dyDescent="0.5">
      <c r="A221"/>
      <c r="B221"/>
      <c r="C221"/>
      <c r="D221"/>
      <c r="E221"/>
    </row>
    <row r="222" spans="1:5" x14ac:dyDescent="0.5">
      <c r="A222"/>
      <c r="B222"/>
      <c r="C222"/>
      <c r="D222"/>
      <c r="E222"/>
    </row>
    <row r="223" spans="1:5" x14ac:dyDescent="0.5">
      <c r="A223"/>
      <c r="B223"/>
      <c r="C223"/>
      <c r="D223"/>
      <c r="E223"/>
    </row>
    <row r="224" spans="1:5" x14ac:dyDescent="0.5">
      <c r="A224"/>
      <c r="B224"/>
      <c r="C224"/>
      <c r="D224"/>
      <c r="E224"/>
    </row>
    <row r="225" spans="1:5" x14ac:dyDescent="0.5">
      <c r="A225"/>
      <c r="B225"/>
      <c r="C225"/>
      <c r="D225"/>
      <c r="E225"/>
    </row>
    <row r="226" spans="1:5" x14ac:dyDescent="0.5">
      <c r="A226"/>
      <c r="B226"/>
      <c r="C226"/>
      <c r="D226"/>
      <c r="E226"/>
    </row>
    <row r="227" spans="1:5" x14ac:dyDescent="0.5">
      <c r="A227"/>
      <c r="B227"/>
      <c r="C227"/>
      <c r="D227"/>
      <c r="E227"/>
    </row>
    <row r="228" spans="1:5" x14ac:dyDescent="0.5">
      <c r="A228"/>
      <c r="B228"/>
      <c r="C228"/>
      <c r="D228"/>
      <c r="E228"/>
    </row>
    <row r="229" spans="1:5" x14ac:dyDescent="0.5">
      <c r="A229"/>
      <c r="B229"/>
      <c r="C229"/>
      <c r="D229"/>
      <c r="E229"/>
    </row>
    <row r="230" spans="1:5" x14ac:dyDescent="0.5">
      <c r="A230"/>
      <c r="B230"/>
      <c r="C230"/>
      <c r="D230"/>
      <c r="E230"/>
    </row>
    <row r="231" spans="1:5" x14ac:dyDescent="0.5">
      <c r="A231"/>
      <c r="B231"/>
      <c r="C231"/>
      <c r="D231"/>
      <c r="E231"/>
    </row>
    <row r="232" spans="1:5" x14ac:dyDescent="0.5">
      <c r="A232"/>
      <c r="B232"/>
      <c r="C232"/>
      <c r="D232"/>
      <c r="E232"/>
    </row>
    <row r="233" spans="1:5" x14ac:dyDescent="0.5">
      <c r="A233"/>
      <c r="B233"/>
      <c r="C233"/>
      <c r="D233"/>
      <c r="E233"/>
    </row>
    <row r="234" spans="1:5" x14ac:dyDescent="0.5">
      <c r="A234"/>
      <c r="B234"/>
      <c r="C234"/>
      <c r="D234"/>
      <c r="E234"/>
    </row>
    <row r="235" spans="1:5" x14ac:dyDescent="0.5">
      <c r="A235"/>
      <c r="B235"/>
      <c r="C235"/>
      <c r="D235"/>
      <c r="E235"/>
    </row>
    <row r="236" spans="1:5" x14ac:dyDescent="0.5">
      <c r="A236"/>
      <c r="B236"/>
      <c r="C236"/>
      <c r="D236"/>
      <c r="E236"/>
    </row>
    <row r="237" spans="1:5" x14ac:dyDescent="0.5">
      <c r="A237"/>
      <c r="B237"/>
      <c r="C237"/>
      <c r="D237"/>
      <c r="E237"/>
    </row>
    <row r="238" spans="1:5" x14ac:dyDescent="0.5">
      <c r="A238"/>
      <c r="B238"/>
      <c r="C238"/>
      <c r="D238"/>
      <c r="E238"/>
    </row>
    <row r="239" spans="1:5" x14ac:dyDescent="0.5">
      <c r="A239"/>
      <c r="B239"/>
      <c r="C239"/>
      <c r="D239"/>
      <c r="E239"/>
    </row>
    <row r="240" spans="1:5" x14ac:dyDescent="0.5">
      <c r="A240"/>
      <c r="B240"/>
      <c r="C240"/>
      <c r="D240"/>
      <c r="E240"/>
    </row>
    <row r="241" spans="1:5" x14ac:dyDescent="0.5">
      <c r="A241"/>
      <c r="B241"/>
      <c r="C241"/>
      <c r="D241"/>
      <c r="E241"/>
    </row>
    <row r="242" spans="1:5" x14ac:dyDescent="0.5">
      <c r="A242"/>
      <c r="B242"/>
      <c r="C242"/>
      <c r="D242"/>
      <c r="E242"/>
    </row>
    <row r="243" spans="1:5" x14ac:dyDescent="0.5">
      <c r="A243"/>
      <c r="B243"/>
      <c r="C243"/>
      <c r="D243"/>
      <c r="E243"/>
    </row>
    <row r="244" spans="1:5" x14ac:dyDescent="0.5">
      <c r="A244"/>
      <c r="B244"/>
      <c r="C244"/>
      <c r="D244"/>
      <c r="E244"/>
    </row>
    <row r="245" spans="1:5" x14ac:dyDescent="0.5">
      <c r="A245"/>
      <c r="B245"/>
      <c r="C245"/>
      <c r="D245"/>
      <c r="E245"/>
    </row>
    <row r="246" spans="1:5" x14ac:dyDescent="0.5">
      <c r="A246"/>
      <c r="B246"/>
      <c r="C246"/>
      <c r="D246"/>
      <c r="E246"/>
    </row>
    <row r="247" spans="1:5" x14ac:dyDescent="0.5">
      <c r="A247"/>
      <c r="B247"/>
      <c r="C247"/>
      <c r="D247"/>
      <c r="E247"/>
    </row>
    <row r="248" spans="1:5" x14ac:dyDescent="0.5">
      <c r="A248"/>
      <c r="B248"/>
      <c r="C248"/>
      <c r="D248"/>
      <c r="E248"/>
    </row>
    <row r="249" spans="1:5" x14ac:dyDescent="0.5">
      <c r="A249"/>
      <c r="B249"/>
      <c r="C249"/>
      <c r="D249"/>
      <c r="E249"/>
    </row>
    <row r="250" spans="1:5" x14ac:dyDescent="0.5">
      <c r="A250"/>
      <c r="B250"/>
      <c r="C250"/>
      <c r="D250"/>
      <c r="E250"/>
    </row>
    <row r="251" spans="1:5" x14ac:dyDescent="0.5">
      <c r="A251"/>
      <c r="B251"/>
      <c r="C251"/>
      <c r="D251"/>
      <c r="E251"/>
    </row>
    <row r="252" spans="1:5" x14ac:dyDescent="0.5">
      <c r="A252"/>
      <c r="B252"/>
      <c r="C252"/>
      <c r="D252"/>
      <c r="E252"/>
    </row>
    <row r="253" spans="1:5" x14ac:dyDescent="0.5">
      <c r="A253"/>
      <c r="B253"/>
      <c r="C253"/>
      <c r="D253"/>
      <c r="E253"/>
    </row>
    <row r="254" spans="1:5" x14ac:dyDescent="0.5">
      <c r="A254"/>
      <c r="B254"/>
      <c r="C254"/>
      <c r="D254"/>
      <c r="E254"/>
    </row>
    <row r="255" spans="1:5" x14ac:dyDescent="0.5">
      <c r="A255"/>
      <c r="B255"/>
      <c r="C255"/>
      <c r="D255"/>
      <c r="E255"/>
    </row>
    <row r="256" spans="1:5" x14ac:dyDescent="0.5">
      <c r="A256"/>
      <c r="B256"/>
      <c r="C256"/>
      <c r="D256"/>
      <c r="E256"/>
    </row>
    <row r="257" spans="1:5" x14ac:dyDescent="0.5">
      <c r="A257"/>
      <c r="B257"/>
      <c r="C257"/>
      <c r="D257"/>
      <c r="E257"/>
    </row>
    <row r="258" spans="1:5" x14ac:dyDescent="0.5">
      <c r="A258"/>
      <c r="B258"/>
      <c r="C258"/>
      <c r="D258"/>
      <c r="E258"/>
    </row>
    <row r="259" spans="1:5" x14ac:dyDescent="0.5">
      <c r="A259"/>
      <c r="B259"/>
      <c r="C259"/>
      <c r="D259"/>
      <c r="E259"/>
    </row>
    <row r="260" spans="1:5" x14ac:dyDescent="0.5">
      <c r="A260"/>
      <c r="B260"/>
      <c r="C260"/>
      <c r="D260"/>
      <c r="E260"/>
    </row>
    <row r="261" spans="1:5" x14ac:dyDescent="0.5">
      <c r="A261"/>
      <c r="B261"/>
      <c r="C261"/>
      <c r="D261"/>
      <c r="E261"/>
    </row>
    <row r="262" spans="1:5" x14ac:dyDescent="0.5">
      <c r="A262"/>
      <c r="B262"/>
      <c r="C262"/>
      <c r="D262"/>
      <c r="E262"/>
    </row>
    <row r="263" spans="1:5" x14ac:dyDescent="0.5">
      <c r="A263"/>
      <c r="B263"/>
      <c r="C263"/>
      <c r="D263"/>
      <c r="E263"/>
    </row>
    <row r="264" spans="1:5" x14ac:dyDescent="0.5">
      <c r="A264"/>
      <c r="B264"/>
      <c r="C264"/>
      <c r="D264"/>
      <c r="E264"/>
    </row>
    <row r="265" spans="1:5" x14ac:dyDescent="0.5">
      <c r="A265"/>
      <c r="B265"/>
      <c r="C265"/>
      <c r="D265"/>
      <c r="E265"/>
    </row>
    <row r="266" spans="1:5" x14ac:dyDescent="0.5">
      <c r="A266"/>
      <c r="B266"/>
      <c r="C266"/>
      <c r="D266"/>
      <c r="E266"/>
    </row>
    <row r="267" spans="1:5" x14ac:dyDescent="0.5">
      <c r="A267"/>
      <c r="B267"/>
      <c r="C267"/>
      <c r="D267"/>
      <c r="E267"/>
    </row>
    <row r="268" spans="1:5" x14ac:dyDescent="0.5">
      <c r="A268"/>
      <c r="B268"/>
      <c r="C268"/>
      <c r="D268"/>
      <c r="E268"/>
    </row>
    <row r="269" spans="1:5" x14ac:dyDescent="0.5">
      <c r="A269"/>
      <c r="B269"/>
      <c r="C269"/>
      <c r="D269"/>
      <c r="E269"/>
    </row>
    <row r="270" spans="1:5" x14ac:dyDescent="0.5">
      <c r="A270"/>
      <c r="B270"/>
      <c r="C270"/>
      <c r="D270"/>
      <c r="E270"/>
    </row>
    <row r="271" spans="1:5" x14ac:dyDescent="0.5">
      <c r="A271"/>
      <c r="B271"/>
      <c r="C271"/>
      <c r="D271"/>
      <c r="E271"/>
    </row>
    <row r="272" spans="1:5" x14ac:dyDescent="0.5">
      <c r="A272"/>
      <c r="B272"/>
      <c r="C272"/>
      <c r="D272"/>
      <c r="E272"/>
    </row>
    <row r="273" spans="1:5" x14ac:dyDescent="0.5">
      <c r="A273"/>
      <c r="B273"/>
      <c r="C273"/>
      <c r="D273"/>
      <c r="E273"/>
    </row>
    <row r="274" spans="1:5" x14ac:dyDescent="0.5">
      <c r="A274"/>
      <c r="B274"/>
      <c r="C274"/>
      <c r="D274"/>
      <c r="E274"/>
    </row>
    <row r="275" spans="1:5" x14ac:dyDescent="0.5">
      <c r="A275"/>
      <c r="B275"/>
      <c r="C275"/>
      <c r="D275"/>
      <c r="E275"/>
    </row>
    <row r="276" spans="1:5" x14ac:dyDescent="0.5">
      <c r="A276"/>
      <c r="B276"/>
      <c r="C276"/>
      <c r="D276"/>
      <c r="E276"/>
    </row>
    <row r="277" spans="1:5" x14ac:dyDescent="0.5">
      <c r="A277"/>
      <c r="B277"/>
      <c r="C277"/>
      <c r="D277"/>
      <c r="E277"/>
    </row>
    <row r="278" spans="1:5" x14ac:dyDescent="0.5">
      <c r="A278"/>
      <c r="B278"/>
      <c r="C278"/>
      <c r="D278"/>
      <c r="E278"/>
    </row>
    <row r="279" spans="1:5" x14ac:dyDescent="0.5">
      <c r="A279"/>
      <c r="B279"/>
      <c r="C279"/>
      <c r="D279"/>
      <c r="E279"/>
    </row>
    <row r="280" spans="1:5" x14ac:dyDescent="0.5">
      <c r="A280"/>
      <c r="B280"/>
      <c r="C280"/>
      <c r="D280"/>
      <c r="E280"/>
    </row>
    <row r="281" spans="1:5" x14ac:dyDescent="0.5">
      <c r="A281"/>
      <c r="B281"/>
      <c r="C281"/>
      <c r="D281"/>
      <c r="E281"/>
    </row>
    <row r="282" spans="1:5" x14ac:dyDescent="0.5">
      <c r="A282"/>
      <c r="B282"/>
      <c r="C282"/>
      <c r="D282"/>
      <c r="E282"/>
    </row>
    <row r="283" spans="1:5" x14ac:dyDescent="0.5">
      <c r="A283"/>
      <c r="B283"/>
      <c r="C283"/>
      <c r="D283"/>
      <c r="E283"/>
    </row>
    <row r="284" spans="1:5" x14ac:dyDescent="0.5">
      <c r="A284"/>
      <c r="B284"/>
      <c r="C284"/>
      <c r="D284"/>
      <c r="E284"/>
    </row>
    <row r="285" spans="1:5" x14ac:dyDescent="0.5">
      <c r="A285"/>
      <c r="B285"/>
      <c r="C285"/>
      <c r="D285"/>
      <c r="E285"/>
    </row>
    <row r="286" spans="1:5" x14ac:dyDescent="0.5">
      <c r="A286"/>
      <c r="B286"/>
      <c r="C286"/>
      <c r="D286"/>
      <c r="E286"/>
    </row>
    <row r="287" spans="1:5" x14ac:dyDescent="0.5">
      <c r="A287"/>
      <c r="B287"/>
      <c r="C287"/>
      <c r="D287"/>
      <c r="E287"/>
    </row>
    <row r="288" spans="1:5" x14ac:dyDescent="0.5">
      <c r="A288"/>
      <c r="B288"/>
      <c r="C288"/>
      <c r="D288"/>
      <c r="E288"/>
    </row>
    <row r="289" spans="1:5" x14ac:dyDescent="0.5">
      <c r="A289"/>
      <c r="B289"/>
      <c r="C289"/>
      <c r="D289"/>
      <c r="E289"/>
    </row>
    <row r="290" spans="1:5" x14ac:dyDescent="0.5">
      <c r="A290"/>
      <c r="B290"/>
      <c r="C290"/>
      <c r="D290"/>
      <c r="E290"/>
    </row>
    <row r="291" spans="1:5" x14ac:dyDescent="0.5">
      <c r="A291"/>
      <c r="B291"/>
      <c r="C291"/>
      <c r="D291"/>
      <c r="E291"/>
    </row>
    <row r="292" spans="1:5" x14ac:dyDescent="0.5">
      <c r="A292"/>
      <c r="B292"/>
      <c r="C292"/>
      <c r="D292"/>
      <c r="E292"/>
    </row>
    <row r="293" spans="1:5" x14ac:dyDescent="0.5">
      <c r="A293"/>
      <c r="B293"/>
      <c r="C293"/>
      <c r="D293"/>
      <c r="E293"/>
    </row>
    <row r="294" spans="1:5" x14ac:dyDescent="0.5">
      <c r="A294"/>
      <c r="B294"/>
      <c r="C294"/>
      <c r="D294"/>
      <c r="E294"/>
    </row>
    <row r="295" spans="1:5" x14ac:dyDescent="0.5">
      <c r="A295"/>
      <c r="B295"/>
      <c r="C295"/>
      <c r="D295"/>
      <c r="E295"/>
    </row>
    <row r="296" spans="1:5" x14ac:dyDescent="0.5">
      <c r="A296"/>
      <c r="B296"/>
      <c r="C296"/>
      <c r="D296"/>
      <c r="E296"/>
    </row>
    <row r="297" spans="1:5" x14ac:dyDescent="0.5">
      <c r="A297"/>
      <c r="B297"/>
      <c r="C297"/>
      <c r="D297"/>
      <c r="E297"/>
    </row>
    <row r="298" spans="1:5" x14ac:dyDescent="0.5">
      <c r="A298"/>
      <c r="B298"/>
      <c r="C298"/>
      <c r="D298"/>
      <c r="E298"/>
    </row>
    <row r="299" spans="1:5" x14ac:dyDescent="0.5">
      <c r="A299"/>
      <c r="B299"/>
      <c r="C299"/>
      <c r="D299"/>
      <c r="E299"/>
    </row>
    <row r="300" spans="1:5" x14ac:dyDescent="0.5">
      <c r="A300"/>
      <c r="B300"/>
      <c r="C300"/>
      <c r="D300"/>
      <c r="E300"/>
    </row>
    <row r="301" spans="1:5" x14ac:dyDescent="0.5">
      <c r="A301"/>
      <c r="B301"/>
      <c r="C301"/>
      <c r="D301"/>
      <c r="E301"/>
    </row>
    <row r="302" spans="1:5" x14ac:dyDescent="0.5">
      <c r="A302"/>
      <c r="B302"/>
      <c r="C302"/>
      <c r="D302"/>
      <c r="E302"/>
    </row>
    <row r="303" spans="1:5" x14ac:dyDescent="0.5">
      <c r="A303"/>
      <c r="B303"/>
      <c r="C303"/>
      <c r="D303"/>
      <c r="E303"/>
    </row>
    <row r="304" spans="1:5" x14ac:dyDescent="0.5">
      <c r="A304"/>
      <c r="B304"/>
      <c r="C304"/>
      <c r="D304"/>
      <c r="E304"/>
    </row>
    <row r="305" spans="1:5" x14ac:dyDescent="0.5">
      <c r="A305"/>
      <c r="B305"/>
      <c r="C305"/>
      <c r="D305"/>
      <c r="E305"/>
    </row>
    <row r="306" spans="1:5" x14ac:dyDescent="0.5">
      <c r="A306"/>
      <c r="B306"/>
      <c r="C306"/>
      <c r="D306"/>
      <c r="E306"/>
    </row>
    <row r="307" spans="1:5" x14ac:dyDescent="0.5">
      <c r="A307"/>
      <c r="B307"/>
      <c r="C307"/>
      <c r="D307"/>
      <c r="E307"/>
    </row>
    <row r="308" spans="1:5" x14ac:dyDescent="0.5">
      <c r="A308"/>
      <c r="B308"/>
      <c r="C308"/>
      <c r="D308"/>
      <c r="E308"/>
    </row>
    <row r="309" spans="1:5" x14ac:dyDescent="0.5">
      <c r="A309"/>
      <c r="B309"/>
      <c r="C309"/>
      <c r="D309"/>
      <c r="E309"/>
    </row>
    <row r="310" spans="1:5" x14ac:dyDescent="0.5">
      <c r="A310"/>
      <c r="B310"/>
      <c r="C310"/>
      <c r="D310"/>
      <c r="E310"/>
    </row>
    <row r="311" spans="1:5" x14ac:dyDescent="0.5">
      <c r="A311"/>
      <c r="B311"/>
      <c r="C311"/>
      <c r="D311"/>
      <c r="E311"/>
    </row>
    <row r="312" spans="1:5" x14ac:dyDescent="0.5">
      <c r="A312"/>
      <c r="B312"/>
      <c r="C312"/>
      <c r="D312"/>
      <c r="E312"/>
    </row>
    <row r="313" spans="1:5" x14ac:dyDescent="0.5">
      <c r="A313"/>
      <c r="B313"/>
      <c r="C313"/>
      <c r="D313"/>
      <c r="E313"/>
    </row>
    <row r="314" spans="1:5" x14ac:dyDescent="0.5">
      <c r="A314"/>
      <c r="B314"/>
      <c r="C314"/>
      <c r="D314"/>
      <c r="E314"/>
    </row>
    <row r="315" spans="1:5" x14ac:dyDescent="0.5">
      <c r="A315"/>
      <c r="B315"/>
      <c r="C315"/>
      <c r="D315"/>
      <c r="E315"/>
    </row>
    <row r="316" spans="1:5" x14ac:dyDescent="0.5">
      <c r="A316"/>
      <c r="B316"/>
      <c r="C316"/>
      <c r="D316"/>
      <c r="E316"/>
    </row>
    <row r="317" spans="1:5" x14ac:dyDescent="0.5">
      <c r="A317"/>
      <c r="B317"/>
      <c r="C317"/>
      <c r="D317"/>
      <c r="E317"/>
    </row>
    <row r="318" spans="1:5" x14ac:dyDescent="0.5">
      <c r="A318"/>
      <c r="B318"/>
      <c r="C318"/>
      <c r="D318"/>
      <c r="E318"/>
    </row>
    <row r="319" spans="1:5" x14ac:dyDescent="0.5">
      <c r="A319"/>
      <c r="B319"/>
      <c r="C319"/>
      <c r="D319"/>
      <c r="E319"/>
    </row>
    <row r="320" spans="1:5" x14ac:dyDescent="0.5">
      <c r="A320"/>
      <c r="B320"/>
      <c r="C320"/>
      <c r="D320"/>
      <c r="E320"/>
    </row>
    <row r="321" spans="1:5" x14ac:dyDescent="0.5">
      <c r="A321"/>
      <c r="B321"/>
      <c r="C321"/>
      <c r="D321"/>
      <c r="E321"/>
    </row>
    <row r="322" spans="1:5" x14ac:dyDescent="0.5">
      <c r="A322"/>
      <c r="B322"/>
      <c r="C322"/>
      <c r="D322"/>
      <c r="E322"/>
    </row>
    <row r="323" spans="1:5" x14ac:dyDescent="0.5">
      <c r="A323"/>
      <c r="B323"/>
      <c r="C323"/>
      <c r="D323"/>
      <c r="E323"/>
    </row>
    <row r="324" spans="1:5" x14ac:dyDescent="0.5">
      <c r="A324"/>
      <c r="B324"/>
      <c r="C324"/>
      <c r="D324"/>
      <c r="E324"/>
    </row>
    <row r="325" spans="1:5" x14ac:dyDescent="0.5">
      <c r="A325"/>
      <c r="B325"/>
      <c r="C325"/>
      <c r="D325"/>
      <c r="E325"/>
    </row>
    <row r="326" spans="1:5" x14ac:dyDescent="0.5">
      <c r="A326"/>
      <c r="B326"/>
      <c r="C326"/>
      <c r="D326"/>
      <c r="E326"/>
    </row>
    <row r="327" spans="1:5" x14ac:dyDescent="0.5">
      <c r="A327"/>
      <c r="B327"/>
      <c r="C327"/>
      <c r="D327"/>
      <c r="E327"/>
    </row>
    <row r="328" spans="1:5" x14ac:dyDescent="0.5">
      <c r="A328"/>
      <c r="B328"/>
      <c r="C328"/>
      <c r="D328"/>
      <c r="E328"/>
    </row>
    <row r="329" spans="1:5" x14ac:dyDescent="0.5">
      <c r="A329"/>
      <c r="B329"/>
      <c r="C329"/>
      <c r="D329"/>
      <c r="E329"/>
    </row>
    <row r="330" spans="1:5" x14ac:dyDescent="0.5">
      <c r="A330"/>
      <c r="B330"/>
      <c r="C330"/>
      <c r="D330"/>
      <c r="E330"/>
    </row>
    <row r="331" spans="1:5" x14ac:dyDescent="0.5">
      <c r="A331"/>
      <c r="B331"/>
      <c r="C331"/>
      <c r="D331"/>
      <c r="E331"/>
    </row>
    <row r="332" spans="1:5" x14ac:dyDescent="0.5">
      <c r="A332"/>
      <c r="B332"/>
      <c r="C332"/>
      <c r="D332"/>
      <c r="E332"/>
    </row>
    <row r="333" spans="1:5" x14ac:dyDescent="0.5">
      <c r="A333"/>
      <c r="B333"/>
      <c r="C333"/>
      <c r="D333"/>
      <c r="E333"/>
    </row>
    <row r="334" spans="1:5" x14ac:dyDescent="0.5">
      <c r="A334"/>
      <c r="B334"/>
      <c r="C334"/>
      <c r="D334"/>
      <c r="E334"/>
    </row>
    <row r="335" spans="1:5" x14ac:dyDescent="0.5">
      <c r="A335"/>
      <c r="B335"/>
      <c r="C335"/>
      <c r="D335"/>
      <c r="E335"/>
    </row>
    <row r="336" spans="1:5" x14ac:dyDescent="0.5">
      <c r="A336"/>
      <c r="B336"/>
      <c r="C336"/>
      <c r="D336"/>
      <c r="E336"/>
    </row>
    <row r="337" spans="1:5" x14ac:dyDescent="0.5">
      <c r="A337"/>
      <c r="B337"/>
      <c r="C337"/>
      <c r="D337"/>
      <c r="E337"/>
    </row>
    <row r="338" spans="1:5" x14ac:dyDescent="0.5">
      <c r="A338"/>
      <c r="B338"/>
      <c r="C338"/>
      <c r="D338"/>
      <c r="E338"/>
    </row>
    <row r="339" spans="1:5" x14ac:dyDescent="0.5">
      <c r="A339"/>
      <c r="B339"/>
      <c r="C339"/>
      <c r="D339"/>
      <c r="E339"/>
    </row>
    <row r="340" spans="1:5" x14ac:dyDescent="0.5">
      <c r="A340"/>
      <c r="B340"/>
      <c r="C340"/>
      <c r="D340"/>
      <c r="E340"/>
    </row>
    <row r="341" spans="1:5" x14ac:dyDescent="0.5">
      <c r="A341"/>
      <c r="B341"/>
      <c r="C341"/>
      <c r="D341"/>
      <c r="E341"/>
    </row>
    <row r="342" spans="1:5" x14ac:dyDescent="0.5">
      <c r="A342"/>
      <c r="B342"/>
      <c r="C342"/>
      <c r="D342"/>
      <c r="E342"/>
    </row>
    <row r="343" spans="1:5" x14ac:dyDescent="0.5">
      <c r="A343"/>
      <c r="B343"/>
      <c r="C343"/>
      <c r="D343"/>
      <c r="E343"/>
    </row>
    <row r="344" spans="1:5" x14ac:dyDescent="0.5">
      <c r="A344"/>
      <c r="B344"/>
      <c r="C344"/>
      <c r="D344"/>
      <c r="E344"/>
    </row>
    <row r="345" spans="1:5" x14ac:dyDescent="0.5">
      <c r="A345"/>
      <c r="B345"/>
      <c r="C345"/>
      <c r="D345"/>
      <c r="E345"/>
    </row>
    <row r="346" spans="1:5" x14ac:dyDescent="0.5">
      <c r="A346"/>
      <c r="B346"/>
      <c r="C346"/>
      <c r="D346"/>
      <c r="E346"/>
    </row>
    <row r="347" spans="1:5" x14ac:dyDescent="0.5">
      <c r="A347"/>
      <c r="B347"/>
      <c r="C347"/>
      <c r="D347"/>
      <c r="E347"/>
    </row>
    <row r="348" spans="1:5" x14ac:dyDescent="0.5">
      <c r="A348"/>
      <c r="B348"/>
      <c r="C348"/>
      <c r="D348"/>
      <c r="E348"/>
    </row>
    <row r="349" spans="1:5" x14ac:dyDescent="0.5">
      <c r="A349"/>
      <c r="B349"/>
      <c r="C349"/>
      <c r="D349"/>
      <c r="E349"/>
    </row>
    <row r="350" spans="1:5" x14ac:dyDescent="0.5">
      <c r="A350"/>
      <c r="B350"/>
      <c r="C350"/>
      <c r="D350"/>
      <c r="E350"/>
    </row>
    <row r="351" spans="1:5" x14ac:dyDescent="0.5">
      <c r="A351"/>
      <c r="B351"/>
      <c r="C351"/>
      <c r="D351"/>
      <c r="E351"/>
    </row>
    <row r="352" spans="1:5" x14ac:dyDescent="0.5">
      <c r="A352"/>
      <c r="B352"/>
      <c r="C352"/>
      <c r="D352"/>
      <c r="E352"/>
    </row>
    <row r="353" spans="1:5" x14ac:dyDescent="0.5">
      <c r="A353"/>
      <c r="B353"/>
      <c r="C353"/>
      <c r="D353"/>
      <c r="E353"/>
    </row>
    <row r="354" spans="1:5" x14ac:dyDescent="0.5">
      <c r="A354"/>
      <c r="B354"/>
      <c r="C354"/>
      <c r="D354"/>
      <c r="E354"/>
    </row>
    <row r="355" spans="1:5" x14ac:dyDescent="0.5">
      <c r="A355"/>
      <c r="B355"/>
      <c r="C355"/>
      <c r="D355"/>
      <c r="E355"/>
    </row>
    <row r="356" spans="1:5" x14ac:dyDescent="0.5">
      <c r="A356"/>
      <c r="B356"/>
      <c r="C356"/>
      <c r="D356"/>
      <c r="E356"/>
    </row>
    <row r="357" spans="1:5" x14ac:dyDescent="0.5">
      <c r="A357"/>
      <c r="B357"/>
      <c r="C357"/>
      <c r="D357"/>
      <c r="E357"/>
    </row>
    <row r="358" spans="1:5" x14ac:dyDescent="0.5">
      <c r="A358"/>
      <c r="B358"/>
      <c r="C358"/>
      <c r="D358"/>
      <c r="E358"/>
    </row>
    <row r="359" spans="1:5" x14ac:dyDescent="0.5">
      <c r="A359"/>
      <c r="B359"/>
      <c r="C359"/>
      <c r="D359"/>
      <c r="E359"/>
    </row>
    <row r="360" spans="1:5" x14ac:dyDescent="0.5">
      <c r="A360"/>
      <c r="B360"/>
      <c r="C360"/>
      <c r="D360"/>
      <c r="E360"/>
    </row>
    <row r="361" spans="1:5" x14ac:dyDescent="0.5">
      <c r="A361"/>
      <c r="B361"/>
      <c r="C361"/>
      <c r="D361"/>
      <c r="E361"/>
    </row>
    <row r="362" spans="1:5" x14ac:dyDescent="0.5">
      <c r="A362"/>
      <c r="B362"/>
      <c r="C362"/>
      <c r="D362"/>
      <c r="E362"/>
    </row>
    <row r="363" spans="1:5" x14ac:dyDescent="0.5">
      <c r="A363"/>
      <c r="B363"/>
      <c r="C363"/>
      <c r="D363"/>
      <c r="E363"/>
    </row>
    <row r="364" spans="1:5" x14ac:dyDescent="0.5">
      <c r="A364"/>
      <c r="B364"/>
      <c r="C364"/>
      <c r="D364"/>
      <c r="E364"/>
    </row>
    <row r="365" spans="1:5" x14ac:dyDescent="0.5">
      <c r="A365"/>
      <c r="B365"/>
      <c r="C365"/>
      <c r="D365"/>
      <c r="E365"/>
    </row>
    <row r="366" spans="1:5" x14ac:dyDescent="0.5">
      <c r="A366"/>
      <c r="B366"/>
      <c r="C366"/>
      <c r="D366"/>
      <c r="E366"/>
    </row>
    <row r="367" spans="1:5" x14ac:dyDescent="0.5">
      <c r="A367"/>
      <c r="B367"/>
      <c r="C367"/>
      <c r="D367"/>
      <c r="E367"/>
    </row>
    <row r="368" spans="1:5" x14ac:dyDescent="0.5">
      <c r="A368"/>
      <c r="B368"/>
      <c r="C368"/>
      <c r="D368"/>
      <c r="E368"/>
    </row>
    <row r="369" spans="1:5" x14ac:dyDescent="0.5">
      <c r="A369"/>
      <c r="B369"/>
      <c r="C369"/>
      <c r="D369"/>
      <c r="E369"/>
    </row>
    <row r="370" spans="1:5" x14ac:dyDescent="0.5">
      <c r="A370"/>
      <c r="B370"/>
      <c r="C370"/>
      <c r="D370"/>
      <c r="E370"/>
    </row>
    <row r="371" spans="1:5" x14ac:dyDescent="0.5">
      <c r="A371"/>
      <c r="B371"/>
      <c r="C371"/>
      <c r="D371"/>
      <c r="E371"/>
    </row>
    <row r="372" spans="1:5" x14ac:dyDescent="0.5">
      <c r="A372"/>
      <c r="B372"/>
      <c r="C372"/>
      <c r="D372"/>
      <c r="E372"/>
    </row>
    <row r="373" spans="1:5" x14ac:dyDescent="0.5">
      <c r="A373"/>
      <c r="B373"/>
      <c r="C373"/>
      <c r="D373"/>
      <c r="E373"/>
    </row>
    <row r="374" spans="1:5" x14ac:dyDescent="0.5">
      <c r="A374"/>
      <c r="B374"/>
      <c r="C374"/>
      <c r="D374"/>
      <c r="E374"/>
    </row>
    <row r="375" spans="1:5" x14ac:dyDescent="0.5">
      <c r="A375"/>
      <c r="B375"/>
      <c r="C375"/>
      <c r="D375"/>
      <c r="E375"/>
    </row>
    <row r="376" spans="1:5" x14ac:dyDescent="0.5">
      <c r="A376"/>
      <c r="B376"/>
      <c r="C376"/>
      <c r="D376"/>
      <c r="E376"/>
    </row>
    <row r="377" spans="1:5" x14ac:dyDescent="0.5">
      <c r="A377"/>
      <c r="B377"/>
      <c r="C377"/>
      <c r="D377"/>
      <c r="E377"/>
    </row>
    <row r="378" spans="1:5" x14ac:dyDescent="0.5">
      <c r="A378"/>
      <c r="B378"/>
      <c r="C378"/>
      <c r="D378"/>
      <c r="E378"/>
    </row>
    <row r="379" spans="1:5" x14ac:dyDescent="0.5">
      <c r="A379"/>
      <c r="B379"/>
      <c r="C379"/>
      <c r="D379"/>
      <c r="E379"/>
    </row>
    <row r="380" spans="1:5" x14ac:dyDescent="0.5">
      <c r="A380"/>
      <c r="B380"/>
      <c r="C380"/>
      <c r="D380"/>
      <c r="E380"/>
    </row>
    <row r="381" spans="1:5" x14ac:dyDescent="0.5">
      <c r="A381"/>
      <c r="B381"/>
      <c r="C381"/>
      <c r="D381"/>
      <c r="E381"/>
    </row>
    <row r="382" spans="1:5" x14ac:dyDescent="0.5">
      <c r="A382"/>
      <c r="B382"/>
      <c r="C382"/>
      <c r="D382"/>
      <c r="E382"/>
    </row>
    <row r="383" spans="1:5" x14ac:dyDescent="0.5">
      <c r="A383"/>
      <c r="B383"/>
      <c r="C383"/>
      <c r="D383"/>
      <c r="E383"/>
    </row>
    <row r="384" spans="1:5" x14ac:dyDescent="0.5">
      <c r="A384"/>
      <c r="B384"/>
      <c r="C384"/>
      <c r="D384"/>
      <c r="E384"/>
    </row>
    <row r="385" spans="1:5" x14ac:dyDescent="0.5">
      <c r="A385"/>
      <c r="B385"/>
      <c r="C385"/>
      <c r="D385"/>
      <c r="E385"/>
    </row>
    <row r="386" spans="1:5" x14ac:dyDescent="0.5">
      <c r="A386"/>
      <c r="B386"/>
      <c r="C386"/>
      <c r="D386"/>
      <c r="E386"/>
    </row>
    <row r="387" spans="1:5" x14ac:dyDescent="0.5">
      <c r="A387"/>
      <c r="B387"/>
      <c r="C387"/>
      <c r="D387"/>
      <c r="E387"/>
    </row>
    <row r="388" spans="1:5" x14ac:dyDescent="0.5">
      <c r="A388"/>
      <c r="B388"/>
      <c r="C388"/>
      <c r="D388"/>
      <c r="E388"/>
    </row>
    <row r="389" spans="1:5" x14ac:dyDescent="0.5">
      <c r="A389"/>
      <c r="B389"/>
      <c r="C389"/>
      <c r="D389"/>
      <c r="E389"/>
    </row>
    <row r="390" spans="1:5" x14ac:dyDescent="0.5">
      <c r="A390"/>
      <c r="B390"/>
      <c r="C390"/>
      <c r="D390"/>
      <c r="E390"/>
    </row>
    <row r="391" spans="1:5" x14ac:dyDescent="0.5">
      <c r="A391"/>
      <c r="B391"/>
      <c r="C391"/>
      <c r="D391"/>
      <c r="E391"/>
    </row>
    <row r="392" spans="1:5" x14ac:dyDescent="0.5">
      <c r="A392"/>
      <c r="B392"/>
      <c r="C392"/>
      <c r="D392"/>
      <c r="E392"/>
    </row>
    <row r="393" spans="1:5" x14ac:dyDescent="0.5">
      <c r="A393"/>
      <c r="B393"/>
      <c r="C393"/>
      <c r="D393"/>
      <c r="E393"/>
    </row>
    <row r="394" spans="1:5" x14ac:dyDescent="0.5">
      <c r="A394"/>
      <c r="B394"/>
      <c r="C394"/>
      <c r="D394"/>
      <c r="E394"/>
    </row>
    <row r="395" spans="1:5" x14ac:dyDescent="0.5">
      <c r="A395"/>
      <c r="B395"/>
      <c r="C395"/>
      <c r="D395"/>
      <c r="E395"/>
    </row>
    <row r="396" spans="1:5" x14ac:dyDescent="0.5">
      <c r="A396"/>
      <c r="B396"/>
      <c r="C396"/>
      <c r="D396"/>
      <c r="E396"/>
    </row>
    <row r="397" spans="1:5" x14ac:dyDescent="0.5">
      <c r="A397"/>
      <c r="B397"/>
      <c r="C397"/>
      <c r="D397"/>
      <c r="E397"/>
    </row>
    <row r="398" spans="1:5" x14ac:dyDescent="0.5">
      <c r="A398"/>
      <c r="B398"/>
      <c r="C398"/>
      <c r="D398"/>
      <c r="E398"/>
    </row>
    <row r="399" spans="1:5" x14ac:dyDescent="0.5">
      <c r="A399"/>
      <c r="B399"/>
      <c r="C399"/>
      <c r="D399"/>
      <c r="E399"/>
    </row>
    <row r="400" spans="1:5" x14ac:dyDescent="0.5">
      <c r="A400"/>
      <c r="B400"/>
      <c r="C400"/>
      <c r="D400"/>
      <c r="E400"/>
    </row>
    <row r="401" spans="1:5" x14ac:dyDescent="0.5">
      <c r="A401"/>
      <c r="B401"/>
      <c r="C401"/>
      <c r="D401"/>
      <c r="E401"/>
    </row>
    <row r="402" spans="1:5" x14ac:dyDescent="0.5">
      <c r="A402"/>
      <c r="B402"/>
      <c r="C402"/>
      <c r="D402"/>
      <c r="E402"/>
    </row>
    <row r="403" spans="1:5" x14ac:dyDescent="0.5">
      <c r="A403"/>
      <c r="B403"/>
      <c r="C403"/>
      <c r="D403"/>
      <c r="E403"/>
    </row>
    <row r="404" spans="1:5" x14ac:dyDescent="0.5">
      <c r="A404"/>
      <c r="B404"/>
      <c r="C404"/>
      <c r="D404"/>
      <c r="E404"/>
    </row>
    <row r="405" spans="1:5" x14ac:dyDescent="0.5">
      <c r="A405"/>
      <c r="B405"/>
      <c r="C405"/>
      <c r="D405"/>
      <c r="E405"/>
    </row>
    <row r="406" spans="1:5" x14ac:dyDescent="0.5">
      <c r="A406"/>
      <c r="B406"/>
      <c r="C406"/>
      <c r="D406"/>
      <c r="E406"/>
    </row>
    <row r="407" spans="1:5" x14ac:dyDescent="0.5">
      <c r="A407"/>
      <c r="B407"/>
      <c r="C407"/>
      <c r="D407"/>
      <c r="E407"/>
    </row>
    <row r="408" spans="1:5" x14ac:dyDescent="0.5">
      <c r="A408"/>
      <c r="B408"/>
      <c r="C408"/>
      <c r="D408"/>
      <c r="E408"/>
    </row>
    <row r="409" spans="1:5" x14ac:dyDescent="0.5">
      <c r="A409"/>
      <c r="B409"/>
      <c r="C409"/>
      <c r="D409"/>
      <c r="E409"/>
    </row>
    <row r="410" spans="1:5" x14ac:dyDescent="0.5">
      <c r="A410"/>
      <c r="B410"/>
      <c r="C410"/>
      <c r="D410"/>
      <c r="E410"/>
    </row>
    <row r="411" spans="1:5" x14ac:dyDescent="0.5">
      <c r="A411"/>
      <c r="B411"/>
      <c r="C411"/>
      <c r="D411"/>
      <c r="E411"/>
    </row>
    <row r="412" spans="1:5" x14ac:dyDescent="0.5">
      <c r="A412"/>
      <c r="B412"/>
      <c r="C412"/>
      <c r="D412"/>
      <c r="E412"/>
    </row>
    <row r="413" spans="1:5" x14ac:dyDescent="0.5">
      <c r="A413"/>
      <c r="B413"/>
      <c r="C413"/>
      <c r="D413"/>
      <c r="E413"/>
    </row>
    <row r="414" spans="1:5" x14ac:dyDescent="0.5">
      <c r="A414"/>
      <c r="B414"/>
      <c r="C414"/>
      <c r="D414"/>
      <c r="E414"/>
    </row>
    <row r="415" spans="1:5" x14ac:dyDescent="0.5">
      <c r="A415"/>
      <c r="B415"/>
      <c r="C415"/>
      <c r="D415"/>
      <c r="E415"/>
    </row>
    <row r="416" spans="1:5" x14ac:dyDescent="0.5">
      <c r="A416"/>
      <c r="B416"/>
      <c r="C416"/>
      <c r="D416"/>
      <c r="E416"/>
    </row>
    <row r="417" spans="1:5" x14ac:dyDescent="0.5">
      <c r="A417"/>
      <c r="B417"/>
      <c r="C417"/>
      <c r="D417"/>
      <c r="E417"/>
    </row>
    <row r="418" spans="1:5" x14ac:dyDescent="0.5">
      <c r="A418"/>
      <c r="B418"/>
      <c r="C418"/>
      <c r="D418"/>
      <c r="E418"/>
    </row>
    <row r="419" spans="1:5" x14ac:dyDescent="0.5">
      <c r="A419"/>
      <c r="B419"/>
      <c r="C419"/>
      <c r="D419"/>
      <c r="E419"/>
    </row>
    <row r="420" spans="1:5" x14ac:dyDescent="0.5">
      <c r="A420"/>
      <c r="B420"/>
      <c r="C420"/>
      <c r="D420"/>
      <c r="E420"/>
    </row>
    <row r="421" spans="1:5" x14ac:dyDescent="0.5">
      <c r="A421"/>
      <c r="B421"/>
      <c r="C421"/>
      <c r="D421"/>
      <c r="E421"/>
    </row>
    <row r="422" spans="1:5" x14ac:dyDescent="0.5">
      <c r="A422"/>
      <c r="B422"/>
      <c r="C422"/>
      <c r="D422"/>
      <c r="E422"/>
    </row>
    <row r="423" spans="1:5" x14ac:dyDescent="0.5">
      <c r="A423"/>
      <c r="B423"/>
      <c r="C423"/>
      <c r="D423"/>
      <c r="E423"/>
    </row>
    <row r="424" spans="1:5" x14ac:dyDescent="0.5">
      <c r="A424"/>
      <c r="B424"/>
      <c r="C424"/>
      <c r="D424"/>
      <c r="E424"/>
    </row>
    <row r="425" spans="1:5" x14ac:dyDescent="0.5">
      <c r="A425"/>
      <c r="B425"/>
      <c r="C425"/>
      <c r="D425"/>
      <c r="E425"/>
    </row>
    <row r="426" spans="1:5" x14ac:dyDescent="0.5">
      <c r="A426"/>
      <c r="B426"/>
      <c r="C426"/>
      <c r="D426"/>
      <c r="E426"/>
    </row>
    <row r="427" spans="1:5" x14ac:dyDescent="0.5">
      <c r="A427"/>
      <c r="B427"/>
      <c r="C427"/>
      <c r="D427"/>
      <c r="E427"/>
    </row>
    <row r="428" spans="1:5" x14ac:dyDescent="0.5">
      <c r="A428"/>
      <c r="B428"/>
      <c r="C428"/>
      <c r="D428"/>
      <c r="E428"/>
    </row>
    <row r="429" spans="1:5" x14ac:dyDescent="0.5">
      <c r="A429"/>
      <c r="B429"/>
      <c r="C429"/>
      <c r="D429"/>
      <c r="E429"/>
    </row>
    <row r="430" spans="1:5" x14ac:dyDescent="0.5">
      <c r="A430"/>
      <c r="B430"/>
      <c r="C430"/>
      <c r="D430"/>
      <c r="E430"/>
    </row>
    <row r="431" spans="1:5" x14ac:dyDescent="0.5">
      <c r="A431"/>
      <c r="B431"/>
      <c r="C431"/>
      <c r="D431"/>
      <c r="E431"/>
    </row>
    <row r="432" spans="1:5" x14ac:dyDescent="0.5">
      <c r="A432"/>
      <c r="B432"/>
      <c r="C432"/>
      <c r="D432"/>
      <c r="E432"/>
    </row>
    <row r="433" spans="1:5" x14ac:dyDescent="0.5">
      <c r="A433"/>
      <c r="B433"/>
      <c r="C433"/>
      <c r="D433"/>
      <c r="E433"/>
    </row>
    <row r="434" spans="1:5" x14ac:dyDescent="0.5">
      <c r="A434"/>
      <c r="B434"/>
      <c r="C434"/>
      <c r="D434"/>
      <c r="E434"/>
    </row>
    <row r="435" spans="1:5" x14ac:dyDescent="0.5">
      <c r="A435"/>
      <c r="B435"/>
      <c r="C435"/>
      <c r="D435"/>
      <c r="E435"/>
    </row>
    <row r="436" spans="1:5" x14ac:dyDescent="0.5">
      <c r="A436"/>
      <c r="B436"/>
      <c r="C436"/>
      <c r="D436"/>
      <c r="E436"/>
    </row>
    <row r="437" spans="1:5" x14ac:dyDescent="0.5">
      <c r="A437"/>
      <c r="B437"/>
      <c r="C437"/>
      <c r="D437"/>
      <c r="E437"/>
    </row>
    <row r="438" spans="1:5" x14ac:dyDescent="0.5">
      <c r="A438"/>
      <c r="B438"/>
      <c r="C438"/>
      <c r="D438"/>
      <c r="E438"/>
    </row>
    <row r="439" spans="1:5" x14ac:dyDescent="0.5">
      <c r="A439"/>
      <c r="B439"/>
      <c r="C439"/>
      <c r="D439"/>
      <c r="E439"/>
    </row>
    <row r="440" spans="1:5" x14ac:dyDescent="0.5">
      <c r="A440"/>
      <c r="B440"/>
      <c r="C440"/>
      <c r="D440"/>
      <c r="E440"/>
    </row>
    <row r="441" spans="1:5" x14ac:dyDescent="0.5">
      <c r="A441"/>
      <c r="B441"/>
      <c r="C441"/>
      <c r="D441"/>
      <c r="E441"/>
    </row>
    <row r="442" spans="1:5" x14ac:dyDescent="0.5">
      <c r="A442"/>
      <c r="B442"/>
      <c r="C442"/>
      <c r="D442"/>
      <c r="E442"/>
    </row>
    <row r="443" spans="1:5" x14ac:dyDescent="0.5">
      <c r="A443"/>
      <c r="B443"/>
      <c r="C443"/>
      <c r="D443"/>
      <c r="E443"/>
    </row>
    <row r="444" spans="1:5" x14ac:dyDescent="0.5">
      <c r="A444"/>
      <c r="B444"/>
      <c r="C444"/>
      <c r="D444"/>
      <c r="E444"/>
    </row>
    <row r="445" spans="1:5" x14ac:dyDescent="0.5">
      <c r="A445"/>
      <c r="B445"/>
      <c r="C445"/>
      <c r="D445"/>
      <c r="E445"/>
    </row>
    <row r="446" spans="1:5" x14ac:dyDescent="0.5">
      <c r="A446"/>
      <c r="B446"/>
      <c r="C446"/>
      <c r="D446"/>
      <c r="E446"/>
    </row>
    <row r="447" spans="1:5" x14ac:dyDescent="0.5">
      <c r="A447"/>
      <c r="B447"/>
      <c r="C447"/>
      <c r="D447"/>
      <c r="E447"/>
    </row>
    <row r="448" spans="1:5" x14ac:dyDescent="0.5">
      <c r="A448"/>
      <c r="B448"/>
      <c r="C448"/>
      <c r="D448"/>
      <c r="E448"/>
    </row>
    <row r="449" spans="1:5" x14ac:dyDescent="0.5">
      <c r="A449"/>
      <c r="B449"/>
      <c r="C449"/>
      <c r="D449"/>
      <c r="E449"/>
    </row>
    <row r="450" spans="1:5" x14ac:dyDescent="0.5">
      <c r="A450"/>
      <c r="B450"/>
      <c r="C450"/>
      <c r="D450"/>
      <c r="E450"/>
    </row>
    <row r="451" spans="1:5" x14ac:dyDescent="0.5">
      <c r="A451"/>
      <c r="B451"/>
      <c r="C451"/>
      <c r="D451"/>
      <c r="E451"/>
    </row>
    <row r="452" spans="1:5" x14ac:dyDescent="0.5">
      <c r="A452"/>
      <c r="B452"/>
      <c r="C452"/>
      <c r="D452"/>
      <c r="E452"/>
    </row>
    <row r="453" spans="1:5" x14ac:dyDescent="0.5">
      <c r="A453"/>
      <c r="B453"/>
      <c r="C453"/>
      <c r="D453"/>
      <c r="E453"/>
    </row>
    <row r="454" spans="1:5" x14ac:dyDescent="0.5">
      <c r="A454"/>
      <c r="B454"/>
      <c r="C454"/>
      <c r="D454"/>
      <c r="E454"/>
    </row>
    <row r="455" spans="1:5" x14ac:dyDescent="0.5">
      <c r="A455"/>
      <c r="B455"/>
      <c r="C455"/>
      <c r="D455"/>
      <c r="E455"/>
    </row>
    <row r="456" spans="1:5" x14ac:dyDescent="0.5">
      <c r="A456"/>
      <c r="B456"/>
      <c r="C456"/>
      <c r="D456"/>
      <c r="E456"/>
    </row>
    <row r="457" spans="1:5" x14ac:dyDescent="0.5">
      <c r="A457"/>
      <c r="B457"/>
      <c r="C457"/>
      <c r="D457"/>
      <c r="E457"/>
    </row>
    <row r="458" spans="1:5" x14ac:dyDescent="0.5">
      <c r="A458"/>
      <c r="B458"/>
      <c r="C458"/>
      <c r="D458"/>
      <c r="E458"/>
    </row>
    <row r="459" spans="1:5" x14ac:dyDescent="0.5">
      <c r="A459"/>
      <c r="B459"/>
      <c r="C459"/>
      <c r="D459"/>
      <c r="E459"/>
    </row>
    <row r="460" spans="1:5" x14ac:dyDescent="0.5">
      <c r="A460"/>
      <c r="B460"/>
      <c r="C460"/>
      <c r="D460"/>
      <c r="E460"/>
    </row>
    <row r="461" spans="1:5" x14ac:dyDescent="0.5">
      <c r="A461"/>
      <c r="B461"/>
      <c r="C461"/>
      <c r="D461"/>
      <c r="E461"/>
    </row>
    <row r="462" spans="1:5" x14ac:dyDescent="0.5">
      <c r="A462"/>
      <c r="B462"/>
      <c r="C462"/>
      <c r="D462"/>
      <c r="E462"/>
    </row>
    <row r="463" spans="1:5" x14ac:dyDescent="0.5">
      <c r="A463"/>
      <c r="B463"/>
      <c r="C463"/>
      <c r="D463"/>
      <c r="E463"/>
    </row>
    <row r="464" spans="1:5" x14ac:dyDescent="0.5">
      <c r="A464"/>
      <c r="B464"/>
      <c r="C464"/>
      <c r="D464"/>
      <c r="E464"/>
    </row>
    <row r="465" spans="1:5" x14ac:dyDescent="0.5">
      <c r="A465"/>
      <c r="B465"/>
      <c r="C465"/>
      <c r="D465"/>
      <c r="E465"/>
    </row>
    <row r="466" spans="1:5" x14ac:dyDescent="0.5">
      <c r="A466"/>
      <c r="B466"/>
      <c r="C466"/>
      <c r="D466"/>
      <c r="E466"/>
    </row>
    <row r="467" spans="1:5" x14ac:dyDescent="0.5">
      <c r="A467"/>
      <c r="B467"/>
      <c r="C467"/>
      <c r="D467"/>
      <c r="E467"/>
    </row>
    <row r="468" spans="1:5" x14ac:dyDescent="0.5">
      <c r="A468"/>
      <c r="B468"/>
      <c r="C468"/>
      <c r="D468"/>
      <c r="E468"/>
    </row>
    <row r="469" spans="1:5" x14ac:dyDescent="0.5">
      <c r="A469"/>
      <c r="B469"/>
      <c r="C469"/>
      <c r="D469"/>
      <c r="E469"/>
    </row>
    <row r="470" spans="1:5" x14ac:dyDescent="0.5">
      <c r="A470"/>
      <c r="B470"/>
      <c r="C470"/>
      <c r="D470"/>
      <c r="E470"/>
    </row>
    <row r="471" spans="1:5" x14ac:dyDescent="0.5">
      <c r="A471"/>
      <c r="B471"/>
      <c r="C471"/>
      <c r="D471"/>
      <c r="E471"/>
    </row>
    <row r="472" spans="1:5" x14ac:dyDescent="0.5">
      <c r="A472"/>
      <c r="B472"/>
      <c r="C472"/>
      <c r="D472"/>
      <c r="E472"/>
    </row>
    <row r="473" spans="1:5" x14ac:dyDescent="0.5">
      <c r="A473"/>
      <c r="B473"/>
      <c r="C473"/>
      <c r="D473"/>
      <c r="E473"/>
    </row>
    <row r="474" spans="1:5" x14ac:dyDescent="0.5">
      <c r="A474"/>
      <c r="B474"/>
      <c r="C474"/>
      <c r="D474"/>
      <c r="E474"/>
    </row>
    <row r="475" spans="1:5" x14ac:dyDescent="0.5">
      <c r="A475"/>
      <c r="B475"/>
      <c r="C475"/>
      <c r="D475"/>
      <c r="E475"/>
    </row>
    <row r="476" spans="1:5" x14ac:dyDescent="0.5">
      <c r="A476"/>
      <c r="B476"/>
      <c r="C476"/>
      <c r="D476"/>
      <c r="E476"/>
    </row>
    <row r="477" spans="1:5" x14ac:dyDescent="0.5">
      <c r="A477"/>
      <c r="B477"/>
      <c r="C477"/>
      <c r="D477"/>
      <c r="E477"/>
    </row>
    <row r="478" spans="1:5" x14ac:dyDescent="0.5">
      <c r="A478"/>
      <c r="B478"/>
      <c r="C478"/>
      <c r="D478"/>
      <c r="E478"/>
    </row>
    <row r="479" spans="1:5" x14ac:dyDescent="0.5">
      <c r="A479"/>
      <c r="B479"/>
      <c r="C479"/>
      <c r="D479"/>
      <c r="E479"/>
    </row>
    <row r="480" spans="1:5" x14ac:dyDescent="0.5">
      <c r="A480"/>
      <c r="B480"/>
      <c r="C480"/>
      <c r="D480"/>
      <c r="E480"/>
    </row>
    <row r="481" spans="1:5" x14ac:dyDescent="0.5">
      <c r="A481"/>
      <c r="B481"/>
      <c r="C481"/>
      <c r="D481"/>
      <c r="E481"/>
    </row>
    <row r="482" spans="1:5" x14ac:dyDescent="0.5">
      <c r="A482"/>
      <c r="B482"/>
      <c r="C482"/>
      <c r="D482"/>
      <c r="E482"/>
    </row>
    <row r="483" spans="1:5" x14ac:dyDescent="0.5">
      <c r="A483"/>
      <c r="B483"/>
      <c r="C483"/>
      <c r="D483"/>
      <c r="E483"/>
    </row>
    <row r="484" spans="1:5" x14ac:dyDescent="0.5">
      <c r="A484"/>
      <c r="B484"/>
      <c r="C484"/>
      <c r="D484"/>
      <c r="E484"/>
    </row>
    <row r="485" spans="1:5" x14ac:dyDescent="0.5">
      <c r="A485"/>
      <c r="B485"/>
      <c r="C485"/>
      <c r="D485"/>
      <c r="E485"/>
    </row>
    <row r="486" spans="1:5" x14ac:dyDescent="0.5">
      <c r="A486"/>
      <c r="B486"/>
      <c r="C486"/>
      <c r="D486"/>
      <c r="E486"/>
    </row>
    <row r="487" spans="1:5" x14ac:dyDescent="0.5">
      <c r="A487"/>
      <c r="B487"/>
      <c r="C487"/>
      <c r="D487"/>
      <c r="E487"/>
    </row>
    <row r="488" spans="1:5" x14ac:dyDescent="0.5">
      <c r="A488"/>
      <c r="B488"/>
      <c r="C488"/>
      <c r="D488"/>
      <c r="E488"/>
    </row>
    <row r="489" spans="1:5" x14ac:dyDescent="0.5">
      <c r="A489"/>
      <c r="B489"/>
      <c r="C489"/>
      <c r="D489"/>
      <c r="E489"/>
    </row>
    <row r="490" spans="1:5" x14ac:dyDescent="0.5">
      <c r="A490"/>
      <c r="B490"/>
      <c r="C490"/>
      <c r="D490"/>
      <c r="E490"/>
    </row>
    <row r="491" spans="1:5" x14ac:dyDescent="0.5">
      <c r="A491"/>
      <c r="B491"/>
      <c r="C491"/>
      <c r="D491"/>
      <c r="E491"/>
    </row>
    <row r="492" spans="1:5" x14ac:dyDescent="0.5">
      <c r="A492"/>
      <c r="B492"/>
      <c r="C492"/>
      <c r="D492"/>
      <c r="E492"/>
    </row>
    <row r="493" spans="1:5" x14ac:dyDescent="0.5">
      <c r="A493"/>
      <c r="B493"/>
      <c r="C493"/>
      <c r="D493"/>
      <c r="E493"/>
    </row>
    <row r="494" spans="1:5" x14ac:dyDescent="0.5">
      <c r="A494"/>
      <c r="B494"/>
      <c r="C494"/>
      <c r="D494"/>
      <c r="E494"/>
    </row>
    <row r="495" spans="1:5" x14ac:dyDescent="0.5">
      <c r="A495"/>
      <c r="B495"/>
      <c r="C495"/>
      <c r="D495"/>
      <c r="E495"/>
    </row>
    <row r="496" spans="1:5" x14ac:dyDescent="0.5">
      <c r="A496"/>
      <c r="B496"/>
      <c r="C496"/>
      <c r="D496"/>
      <c r="E496"/>
    </row>
    <row r="497" spans="1:5" x14ac:dyDescent="0.5">
      <c r="A497"/>
      <c r="B497"/>
      <c r="C497"/>
      <c r="D497"/>
      <c r="E497"/>
    </row>
    <row r="498" spans="1:5" x14ac:dyDescent="0.5">
      <c r="A498"/>
      <c r="B498"/>
      <c r="C498"/>
      <c r="D498"/>
      <c r="E498"/>
    </row>
    <row r="499" spans="1:5" x14ac:dyDescent="0.5">
      <c r="A499"/>
      <c r="B499"/>
      <c r="C499"/>
      <c r="D499"/>
      <c r="E499"/>
    </row>
    <row r="500" spans="1:5" x14ac:dyDescent="0.5">
      <c r="A500"/>
      <c r="B500"/>
      <c r="C500"/>
      <c r="D500"/>
      <c r="E500"/>
    </row>
    <row r="501" spans="1:5" x14ac:dyDescent="0.5">
      <c r="A501"/>
      <c r="B501"/>
      <c r="C501"/>
      <c r="D501"/>
      <c r="E501"/>
    </row>
    <row r="502" spans="1:5" x14ac:dyDescent="0.5">
      <c r="A502"/>
      <c r="B502"/>
      <c r="C502"/>
      <c r="D502"/>
      <c r="E502"/>
    </row>
    <row r="503" spans="1:5" x14ac:dyDescent="0.5">
      <c r="A503"/>
      <c r="B503"/>
      <c r="C503"/>
      <c r="D503"/>
      <c r="E503"/>
    </row>
    <row r="504" spans="1:5" x14ac:dyDescent="0.5">
      <c r="A504"/>
      <c r="B504"/>
      <c r="C504"/>
      <c r="D504"/>
      <c r="E504"/>
    </row>
    <row r="505" spans="1:5" x14ac:dyDescent="0.5">
      <c r="A505"/>
      <c r="B505"/>
      <c r="C505"/>
      <c r="D505"/>
      <c r="E505"/>
    </row>
    <row r="506" spans="1:5" x14ac:dyDescent="0.5">
      <c r="A506"/>
      <c r="B506"/>
      <c r="C506"/>
      <c r="D506"/>
      <c r="E506"/>
    </row>
    <row r="507" spans="1:5" x14ac:dyDescent="0.5">
      <c r="A507"/>
      <c r="B507"/>
      <c r="C507"/>
      <c r="D507"/>
      <c r="E507"/>
    </row>
    <row r="508" spans="1:5" x14ac:dyDescent="0.5">
      <c r="A508"/>
      <c r="B508"/>
      <c r="C508"/>
      <c r="D508"/>
      <c r="E508"/>
    </row>
    <row r="509" spans="1:5" x14ac:dyDescent="0.5">
      <c r="A509"/>
      <c r="B509"/>
      <c r="C509"/>
      <c r="D509"/>
      <c r="E509"/>
    </row>
    <row r="510" spans="1:5" x14ac:dyDescent="0.5">
      <c r="A510"/>
      <c r="B510"/>
      <c r="C510"/>
      <c r="D510"/>
      <c r="E510"/>
    </row>
    <row r="511" spans="1:5" x14ac:dyDescent="0.5">
      <c r="A511"/>
      <c r="B511"/>
      <c r="C511"/>
      <c r="D511"/>
      <c r="E511"/>
    </row>
    <row r="512" spans="1:5" x14ac:dyDescent="0.5">
      <c r="A512"/>
      <c r="B512"/>
      <c r="C512"/>
      <c r="D512"/>
      <c r="E512"/>
    </row>
    <row r="513" spans="1:5" x14ac:dyDescent="0.5">
      <c r="A513"/>
      <c r="B513"/>
      <c r="C513"/>
      <c r="D513"/>
      <c r="E513"/>
    </row>
    <row r="514" spans="1:5" x14ac:dyDescent="0.5">
      <c r="A514"/>
      <c r="B514"/>
      <c r="C514"/>
      <c r="D514"/>
      <c r="E514"/>
    </row>
    <row r="515" spans="1:5" x14ac:dyDescent="0.5">
      <c r="A515"/>
      <c r="B515"/>
      <c r="C515"/>
      <c r="D515"/>
      <c r="E515"/>
    </row>
    <row r="516" spans="1:5" x14ac:dyDescent="0.5">
      <c r="A516"/>
      <c r="B516"/>
      <c r="C516"/>
      <c r="D516"/>
      <c r="E516"/>
    </row>
    <row r="517" spans="1:5" x14ac:dyDescent="0.5">
      <c r="A517"/>
      <c r="B517"/>
      <c r="C517"/>
      <c r="D517"/>
      <c r="E517"/>
    </row>
    <row r="518" spans="1:5" x14ac:dyDescent="0.5">
      <c r="A518"/>
      <c r="B518"/>
      <c r="C518"/>
      <c r="D518"/>
      <c r="E518"/>
    </row>
    <row r="519" spans="1:5" x14ac:dyDescent="0.5">
      <c r="A519"/>
      <c r="B519"/>
      <c r="C519"/>
      <c r="D519"/>
      <c r="E519"/>
    </row>
    <row r="520" spans="1:5" x14ac:dyDescent="0.5">
      <c r="A520"/>
      <c r="B520"/>
      <c r="C520"/>
      <c r="D520"/>
      <c r="E520"/>
    </row>
    <row r="521" spans="1:5" x14ac:dyDescent="0.5">
      <c r="A521"/>
      <c r="B521"/>
      <c r="C521"/>
      <c r="D521"/>
      <c r="E521"/>
    </row>
    <row r="522" spans="1:5" x14ac:dyDescent="0.5">
      <c r="A522"/>
      <c r="B522"/>
      <c r="C522"/>
      <c r="D522"/>
      <c r="E522"/>
    </row>
    <row r="523" spans="1:5" x14ac:dyDescent="0.5">
      <c r="A523"/>
      <c r="B523"/>
      <c r="C523"/>
      <c r="D523"/>
      <c r="E523"/>
    </row>
    <row r="524" spans="1:5" x14ac:dyDescent="0.5">
      <c r="A524"/>
      <c r="B524"/>
      <c r="C524"/>
      <c r="D524"/>
      <c r="E524"/>
    </row>
    <row r="525" spans="1:5" x14ac:dyDescent="0.5">
      <c r="A525"/>
      <c r="B525"/>
      <c r="C525"/>
      <c r="D525"/>
      <c r="E525"/>
    </row>
    <row r="526" spans="1:5" x14ac:dyDescent="0.5">
      <c r="A526"/>
      <c r="B526"/>
      <c r="C526"/>
      <c r="D526"/>
      <c r="E526"/>
    </row>
    <row r="527" spans="1:5" x14ac:dyDescent="0.5">
      <c r="A527"/>
      <c r="B527"/>
      <c r="C527"/>
      <c r="D527"/>
      <c r="E527"/>
    </row>
    <row r="528" spans="1:5" x14ac:dyDescent="0.5">
      <c r="A528"/>
      <c r="B528"/>
      <c r="C528"/>
      <c r="D528"/>
      <c r="E528"/>
    </row>
    <row r="529" spans="1:5" x14ac:dyDescent="0.5">
      <c r="A529"/>
      <c r="B529"/>
      <c r="C529"/>
      <c r="D529"/>
      <c r="E529"/>
    </row>
    <row r="530" spans="1:5" x14ac:dyDescent="0.5">
      <c r="A530"/>
      <c r="B530"/>
      <c r="C530"/>
      <c r="D530"/>
      <c r="E530"/>
    </row>
    <row r="531" spans="1:5" x14ac:dyDescent="0.5">
      <c r="A531"/>
      <c r="B531"/>
      <c r="C531"/>
      <c r="D531"/>
      <c r="E531"/>
    </row>
    <row r="532" spans="1:5" x14ac:dyDescent="0.5">
      <c r="A532"/>
      <c r="B532"/>
      <c r="C532"/>
      <c r="D532"/>
      <c r="E532"/>
    </row>
    <row r="533" spans="1:5" x14ac:dyDescent="0.5">
      <c r="A533"/>
      <c r="B533"/>
      <c r="C533"/>
      <c r="D533"/>
      <c r="E533"/>
    </row>
    <row r="534" spans="1:5" x14ac:dyDescent="0.5">
      <c r="A534"/>
      <c r="B534"/>
      <c r="C534"/>
      <c r="D534"/>
      <c r="E534"/>
    </row>
    <row r="535" spans="1:5" x14ac:dyDescent="0.5">
      <c r="A535"/>
      <c r="B535"/>
      <c r="C535"/>
      <c r="D535"/>
      <c r="E535"/>
    </row>
    <row r="536" spans="1:5" x14ac:dyDescent="0.5">
      <c r="A536"/>
      <c r="B536"/>
      <c r="C536"/>
      <c r="D536"/>
      <c r="E536"/>
    </row>
    <row r="537" spans="1:5" x14ac:dyDescent="0.5">
      <c r="A537"/>
      <c r="B537"/>
      <c r="C537"/>
      <c r="D537"/>
      <c r="E537"/>
    </row>
    <row r="538" spans="1:5" x14ac:dyDescent="0.5">
      <c r="A538"/>
      <c r="B538"/>
      <c r="C538"/>
      <c r="D538"/>
      <c r="E538"/>
    </row>
    <row r="539" spans="1:5" x14ac:dyDescent="0.5">
      <c r="A539"/>
      <c r="B539"/>
      <c r="C539"/>
      <c r="D539"/>
      <c r="E539"/>
    </row>
    <row r="540" spans="1:5" x14ac:dyDescent="0.5">
      <c r="A540"/>
      <c r="B540"/>
      <c r="C540"/>
      <c r="D540"/>
      <c r="E540"/>
    </row>
    <row r="541" spans="1:5" x14ac:dyDescent="0.5">
      <c r="A541"/>
      <c r="B541"/>
      <c r="C541"/>
      <c r="D541"/>
      <c r="E541"/>
    </row>
    <row r="542" spans="1:5" x14ac:dyDescent="0.5">
      <c r="A542"/>
      <c r="B542"/>
      <c r="C542"/>
      <c r="D542"/>
      <c r="E542"/>
    </row>
    <row r="543" spans="1:5" x14ac:dyDescent="0.5">
      <c r="A543"/>
      <c r="B543"/>
      <c r="C543"/>
      <c r="D543"/>
      <c r="E543"/>
    </row>
    <row r="544" spans="1:5" x14ac:dyDescent="0.5">
      <c r="A544"/>
      <c r="B544"/>
      <c r="C544"/>
      <c r="D544"/>
      <c r="E544"/>
    </row>
    <row r="545" spans="1:5" x14ac:dyDescent="0.5">
      <c r="A545"/>
      <c r="B545"/>
      <c r="C545"/>
      <c r="D545"/>
      <c r="E545"/>
    </row>
    <row r="546" spans="1:5" x14ac:dyDescent="0.5">
      <c r="A546"/>
      <c r="B546"/>
      <c r="C546"/>
      <c r="D546"/>
      <c r="E546"/>
    </row>
    <row r="547" spans="1:5" x14ac:dyDescent="0.5">
      <c r="A547"/>
      <c r="B547"/>
      <c r="C547"/>
      <c r="D547"/>
      <c r="E547"/>
    </row>
    <row r="548" spans="1:5" x14ac:dyDescent="0.5">
      <c r="A548"/>
      <c r="B548"/>
      <c r="C548"/>
      <c r="D548"/>
      <c r="E548"/>
    </row>
    <row r="549" spans="1:5" x14ac:dyDescent="0.5">
      <c r="A549"/>
      <c r="B549"/>
      <c r="C549"/>
      <c r="D549"/>
      <c r="E549"/>
    </row>
    <row r="550" spans="1:5" x14ac:dyDescent="0.5">
      <c r="A550"/>
      <c r="B550"/>
      <c r="C550"/>
      <c r="D550"/>
      <c r="E550"/>
    </row>
    <row r="551" spans="1:5" x14ac:dyDescent="0.5">
      <c r="A551"/>
      <c r="B551"/>
      <c r="C551"/>
      <c r="D551"/>
      <c r="E551"/>
    </row>
    <row r="552" spans="1:5" x14ac:dyDescent="0.5">
      <c r="A552"/>
      <c r="B552"/>
      <c r="C552"/>
      <c r="D552"/>
      <c r="E552"/>
    </row>
    <row r="553" spans="1:5" x14ac:dyDescent="0.5">
      <c r="A553"/>
      <c r="B553"/>
      <c r="C553"/>
      <c r="D553"/>
      <c r="E553"/>
    </row>
    <row r="554" spans="1:5" x14ac:dyDescent="0.5">
      <c r="A554"/>
      <c r="B554"/>
      <c r="C554"/>
      <c r="D554"/>
      <c r="E554"/>
    </row>
    <row r="555" spans="1:5" x14ac:dyDescent="0.5">
      <c r="A555"/>
      <c r="B555"/>
      <c r="C555"/>
      <c r="D555"/>
      <c r="E555"/>
    </row>
    <row r="556" spans="1:5" x14ac:dyDescent="0.5">
      <c r="A556"/>
      <c r="B556"/>
      <c r="C556"/>
      <c r="D556"/>
      <c r="E556"/>
    </row>
    <row r="557" spans="1:5" x14ac:dyDescent="0.5">
      <c r="A557"/>
      <c r="B557"/>
      <c r="C557"/>
      <c r="D557"/>
      <c r="E557"/>
    </row>
    <row r="558" spans="1:5" x14ac:dyDescent="0.5">
      <c r="A558"/>
      <c r="B558"/>
      <c r="C558"/>
      <c r="D558"/>
      <c r="E558"/>
    </row>
    <row r="559" spans="1:5" x14ac:dyDescent="0.5">
      <c r="A559"/>
      <c r="B559"/>
      <c r="C559"/>
      <c r="D559"/>
      <c r="E559"/>
    </row>
    <row r="560" spans="1:5" x14ac:dyDescent="0.5">
      <c r="A560"/>
      <c r="B560"/>
      <c r="C560"/>
      <c r="D560"/>
      <c r="E560"/>
    </row>
    <row r="561" spans="1:5" x14ac:dyDescent="0.5">
      <c r="A561"/>
      <c r="B561"/>
      <c r="C561"/>
      <c r="D561"/>
      <c r="E561"/>
    </row>
    <row r="562" spans="1:5" x14ac:dyDescent="0.5">
      <c r="A562"/>
      <c r="B562"/>
      <c r="C562"/>
      <c r="D562"/>
      <c r="E562"/>
    </row>
    <row r="563" spans="1:5" x14ac:dyDescent="0.5">
      <c r="A563"/>
      <c r="B563"/>
      <c r="C563"/>
      <c r="D563"/>
      <c r="E563"/>
    </row>
    <row r="564" spans="1:5" x14ac:dyDescent="0.5">
      <c r="A564"/>
      <c r="B564"/>
      <c r="C564"/>
      <c r="D564"/>
      <c r="E564"/>
    </row>
    <row r="565" spans="1:5" x14ac:dyDescent="0.5">
      <c r="A565"/>
      <c r="B565"/>
      <c r="C565"/>
      <c r="D565"/>
      <c r="E565"/>
    </row>
    <row r="566" spans="1:5" x14ac:dyDescent="0.5">
      <c r="A566"/>
      <c r="B566"/>
      <c r="C566"/>
      <c r="D566"/>
      <c r="E566"/>
    </row>
    <row r="567" spans="1:5" x14ac:dyDescent="0.5">
      <c r="A567"/>
      <c r="B567"/>
      <c r="C567"/>
      <c r="D567"/>
      <c r="E567"/>
    </row>
    <row r="568" spans="1:5" x14ac:dyDescent="0.5">
      <c r="A568"/>
      <c r="B568"/>
      <c r="C568"/>
      <c r="D568"/>
      <c r="E568"/>
    </row>
    <row r="569" spans="1:5" x14ac:dyDescent="0.5">
      <c r="A569"/>
      <c r="B569"/>
      <c r="C569"/>
      <c r="D569"/>
      <c r="E569"/>
    </row>
    <row r="570" spans="1:5" x14ac:dyDescent="0.5">
      <c r="A570"/>
      <c r="B570"/>
      <c r="C570"/>
      <c r="D570"/>
      <c r="E570"/>
    </row>
    <row r="571" spans="1:5" x14ac:dyDescent="0.5">
      <c r="A571"/>
      <c r="B571"/>
      <c r="C571"/>
      <c r="D571"/>
      <c r="E571"/>
    </row>
    <row r="572" spans="1:5" x14ac:dyDescent="0.5">
      <c r="A572"/>
      <c r="B572"/>
      <c r="C572"/>
      <c r="D572"/>
      <c r="E572"/>
    </row>
    <row r="573" spans="1:5" x14ac:dyDescent="0.5">
      <c r="A573"/>
      <c r="B573"/>
      <c r="C573"/>
      <c r="D573"/>
      <c r="E573"/>
    </row>
    <row r="574" spans="1:5" x14ac:dyDescent="0.5">
      <c r="A574"/>
      <c r="B574"/>
      <c r="C574"/>
      <c r="D574"/>
      <c r="E574"/>
    </row>
    <row r="575" spans="1:5" x14ac:dyDescent="0.5">
      <c r="A575"/>
      <c r="B575"/>
      <c r="C575"/>
      <c r="D575"/>
      <c r="E575"/>
    </row>
    <row r="576" spans="1:5" x14ac:dyDescent="0.5">
      <c r="A576"/>
      <c r="B576"/>
      <c r="C576"/>
      <c r="D576"/>
      <c r="E576"/>
    </row>
    <row r="577" spans="1:5" x14ac:dyDescent="0.5">
      <c r="A577"/>
      <c r="B577"/>
      <c r="C577"/>
      <c r="D577"/>
      <c r="E577"/>
    </row>
    <row r="578" spans="1:5" x14ac:dyDescent="0.5">
      <c r="A578"/>
      <c r="B578"/>
      <c r="C578"/>
      <c r="D578"/>
      <c r="E578"/>
    </row>
    <row r="579" spans="1:5" x14ac:dyDescent="0.5">
      <c r="A579"/>
      <c r="B579"/>
      <c r="C579"/>
      <c r="D579"/>
      <c r="E579"/>
    </row>
    <row r="580" spans="1:5" x14ac:dyDescent="0.5">
      <c r="A580"/>
      <c r="B580"/>
      <c r="C580"/>
      <c r="D580"/>
      <c r="E580"/>
    </row>
    <row r="581" spans="1:5" x14ac:dyDescent="0.5">
      <c r="A581"/>
      <c r="B581"/>
      <c r="C581"/>
      <c r="D581"/>
      <c r="E581"/>
    </row>
    <row r="582" spans="1:5" x14ac:dyDescent="0.5">
      <c r="A582"/>
      <c r="B582"/>
      <c r="C582"/>
      <c r="D582"/>
      <c r="E582"/>
    </row>
    <row r="583" spans="1:5" x14ac:dyDescent="0.5">
      <c r="A583"/>
      <c r="B583"/>
      <c r="C583"/>
      <c r="D583"/>
      <c r="E583"/>
    </row>
    <row r="584" spans="1:5" x14ac:dyDescent="0.5">
      <c r="A584"/>
      <c r="B584"/>
      <c r="C584"/>
      <c r="D584"/>
      <c r="E584"/>
    </row>
    <row r="585" spans="1:5" x14ac:dyDescent="0.5">
      <c r="A585"/>
      <c r="B585"/>
      <c r="C585"/>
      <c r="D585"/>
      <c r="E585"/>
    </row>
    <row r="586" spans="1:5" x14ac:dyDescent="0.5">
      <c r="A586"/>
      <c r="B586"/>
      <c r="C586"/>
      <c r="D586"/>
      <c r="E586"/>
    </row>
    <row r="587" spans="1:5" x14ac:dyDescent="0.5">
      <c r="A587"/>
      <c r="B587"/>
      <c r="C587"/>
      <c r="D587"/>
      <c r="E587"/>
    </row>
    <row r="588" spans="1:5" x14ac:dyDescent="0.5">
      <c r="A588"/>
      <c r="B588"/>
      <c r="C588"/>
      <c r="D588"/>
      <c r="E588"/>
    </row>
    <row r="589" spans="1:5" x14ac:dyDescent="0.5">
      <c r="A589"/>
      <c r="B589"/>
      <c r="C589"/>
      <c r="D589"/>
      <c r="E589"/>
    </row>
    <row r="590" spans="1:5" x14ac:dyDescent="0.5">
      <c r="A590"/>
      <c r="B590"/>
      <c r="C590"/>
      <c r="D590"/>
      <c r="E590"/>
    </row>
    <row r="591" spans="1:5" x14ac:dyDescent="0.5">
      <c r="A591"/>
      <c r="B591"/>
      <c r="C591"/>
      <c r="D591"/>
      <c r="E591"/>
    </row>
    <row r="592" spans="1:5" x14ac:dyDescent="0.5">
      <c r="A592"/>
      <c r="B592"/>
      <c r="C592"/>
      <c r="D592"/>
      <c r="E592"/>
    </row>
    <row r="593" spans="1:5" x14ac:dyDescent="0.5">
      <c r="A593"/>
      <c r="B593"/>
      <c r="C593"/>
      <c r="D593"/>
      <c r="E593"/>
    </row>
    <row r="594" spans="1:5" x14ac:dyDescent="0.5">
      <c r="A594"/>
      <c r="B594"/>
      <c r="C594"/>
      <c r="D594"/>
      <c r="E594"/>
    </row>
    <row r="595" spans="1:5" x14ac:dyDescent="0.5">
      <c r="A595"/>
      <c r="B595"/>
      <c r="C595"/>
      <c r="D595"/>
      <c r="E595"/>
    </row>
    <row r="596" spans="1:5" x14ac:dyDescent="0.5">
      <c r="A596"/>
      <c r="B596"/>
      <c r="C596"/>
      <c r="D596"/>
      <c r="E596"/>
    </row>
    <row r="597" spans="1:5" x14ac:dyDescent="0.5">
      <c r="A597"/>
      <c r="B597"/>
      <c r="C597"/>
      <c r="D597"/>
      <c r="E597"/>
    </row>
    <row r="598" spans="1:5" x14ac:dyDescent="0.5">
      <c r="A598"/>
      <c r="B598"/>
      <c r="C598"/>
      <c r="D598"/>
      <c r="E598"/>
    </row>
    <row r="599" spans="1:5" x14ac:dyDescent="0.5">
      <c r="A599"/>
      <c r="B599"/>
      <c r="C599"/>
      <c r="D599"/>
      <c r="E599"/>
    </row>
    <row r="600" spans="1:5" x14ac:dyDescent="0.5">
      <c r="A600"/>
      <c r="B600"/>
      <c r="C600"/>
      <c r="D600"/>
      <c r="E600"/>
    </row>
    <row r="601" spans="1:5" x14ac:dyDescent="0.5">
      <c r="A601"/>
      <c r="B601"/>
      <c r="C601"/>
      <c r="D601"/>
      <c r="E601"/>
    </row>
    <row r="602" spans="1:5" x14ac:dyDescent="0.5">
      <c r="A602"/>
      <c r="B602"/>
      <c r="C602"/>
      <c r="D602"/>
      <c r="E602"/>
    </row>
    <row r="603" spans="1:5" x14ac:dyDescent="0.5">
      <c r="A603"/>
      <c r="B603"/>
      <c r="C603"/>
      <c r="D603"/>
      <c r="E603"/>
    </row>
    <row r="604" spans="1:5" x14ac:dyDescent="0.5">
      <c r="A604"/>
      <c r="B604"/>
      <c r="C604"/>
      <c r="D604"/>
      <c r="E604"/>
    </row>
    <row r="605" spans="1:5" x14ac:dyDescent="0.5">
      <c r="A605"/>
      <c r="B605"/>
      <c r="C605"/>
      <c r="D605"/>
      <c r="E605"/>
    </row>
    <row r="606" spans="1:5" x14ac:dyDescent="0.5">
      <c r="A606"/>
      <c r="B606"/>
      <c r="C606"/>
      <c r="D606"/>
      <c r="E606"/>
    </row>
    <row r="607" spans="1:5" x14ac:dyDescent="0.5">
      <c r="A607"/>
      <c r="B607"/>
      <c r="C607"/>
      <c r="D607"/>
      <c r="E607"/>
    </row>
    <row r="608" spans="1:5" x14ac:dyDescent="0.5">
      <c r="A608"/>
      <c r="B608"/>
      <c r="C608"/>
      <c r="D608"/>
      <c r="E608"/>
    </row>
    <row r="609" spans="1:5" x14ac:dyDescent="0.5">
      <c r="A609"/>
      <c r="B609"/>
      <c r="C609"/>
      <c r="D609"/>
      <c r="E609"/>
    </row>
    <row r="610" spans="1:5" x14ac:dyDescent="0.5">
      <c r="A610"/>
      <c r="B610"/>
      <c r="C610"/>
      <c r="D610"/>
      <c r="E610"/>
    </row>
    <row r="611" spans="1:5" x14ac:dyDescent="0.5">
      <c r="A611"/>
      <c r="B611"/>
      <c r="C611"/>
      <c r="D611"/>
      <c r="E611"/>
    </row>
    <row r="612" spans="1:5" x14ac:dyDescent="0.5">
      <c r="A612"/>
      <c r="B612"/>
      <c r="C612"/>
      <c r="D612"/>
      <c r="E612"/>
    </row>
    <row r="613" spans="1:5" x14ac:dyDescent="0.5">
      <c r="A613"/>
      <c r="B613"/>
      <c r="C613"/>
      <c r="D613"/>
      <c r="E613"/>
    </row>
    <row r="614" spans="1:5" x14ac:dyDescent="0.5">
      <c r="A614"/>
      <c r="B614"/>
      <c r="C614"/>
      <c r="D614"/>
      <c r="E614"/>
    </row>
    <row r="615" spans="1:5" x14ac:dyDescent="0.5">
      <c r="A615"/>
      <c r="B615"/>
      <c r="C615"/>
      <c r="D615"/>
      <c r="E615"/>
    </row>
    <row r="616" spans="1:5" x14ac:dyDescent="0.5">
      <c r="A616"/>
      <c r="B616"/>
      <c r="C616"/>
      <c r="D616"/>
      <c r="E616"/>
    </row>
    <row r="617" spans="1:5" x14ac:dyDescent="0.5">
      <c r="A617"/>
      <c r="B617"/>
      <c r="C617"/>
      <c r="D617"/>
      <c r="E617"/>
    </row>
    <row r="618" spans="1:5" x14ac:dyDescent="0.5">
      <c r="A618"/>
      <c r="B618"/>
      <c r="C618"/>
      <c r="D618"/>
      <c r="E618"/>
    </row>
    <row r="619" spans="1:5" x14ac:dyDescent="0.5">
      <c r="A619"/>
      <c r="B619"/>
      <c r="C619"/>
      <c r="D619"/>
      <c r="E619"/>
    </row>
    <row r="620" spans="1:5" x14ac:dyDescent="0.5">
      <c r="A620"/>
      <c r="B620"/>
      <c r="C620"/>
      <c r="D620"/>
      <c r="E620"/>
    </row>
    <row r="621" spans="1:5" x14ac:dyDescent="0.5">
      <c r="A621"/>
      <c r="B621"/>
      <c r="C621"/>
      <c r="D621"/>
      <c r="E621"/>
    </row>
    <row r="622" spans="1:5" x14ac:dyDescent="0.5">
      <c r="A622"/>
      <c r="B622"/>
      <c r="C622"/>
      <c r="D622"/>
      <c r="E622"/>
    </row>
    <row r="623" spans="1:5" x14ac:dyDescent="0.5">
      <c r="A623"/>
      <c r="B623"/>
      <c r="C623"/>
      <c r="D623"/>
      <c r="E623"/>
    </row>
    <row r="624" spans="1:5" x14ac:dyDescent="0.5">
      <c r="A624"/>
      <c r="B624"/>
      <c r="C624"/>
      <c r="D624"/>
      <c r="E624"/>
    </row>
    <row r="625" spans="1:5" x14ac:dyDescent="0.5">
      <c r="A625"/>
      <c r="B625"/>
      <c r="C625"/>
      <c r="D625"/>
      <c r="E625"/>
    </row>
    <row r="626" spans="1:5" x14ac:dyDescent="0.5">
      <c r="A626"/>
      <c r="B626"/>
      <c r="C626"/>
      <c r="D626"/>
      <c r="E626"/>
    </row>
    <row r="627" spans="1:5" x14ac:dyDescent="0.5">
      <c r="A627"/>
      <c r="B627"/>
      <c r="C627"/>
      <c r="D627"/>
      <c r="E627"/>
    </row>
    <row r="628" spans="1:5" x14ac:dyDescent="0.5">
      <c r="A628"/>
      <c r="B628"/>
      <c r="C628"/>
      <c r="D628"/>
      <c r="E628"/>
    </row>
    <row r="629" spans="1:5" x14ac:dyDescent="0.5">
      <c r="A629"/>
      <c r="B629"/>
      <c r="C629"/>
      <c r="D629"/>
      <c r="E629"/>
    </row>
    <row r="630" spans="1:5" x14ac:dyDescent="0.5">
      <c r="A630"/>
      <c r="B630"/>
      <c r="C630"/>
      <c r="D630"/>
      <c r="E630"/>
    </row>
    <row r="631" spans="1:5" x14ac:dyDescent="0.5">
      <c r="A631"/>
      <c r="B631"/>
      <c r="C631"/>
      <c r="D631"/>
      <c r="E631"/>
    </row>
    <row r="632" spans="1:5" x14ac:dyDescent="0.5">
      <c r="A632"/>
      <c r="B632"/>
      <c r="C632"/>
      <c r="D632"/>
      <c r="E632"/>
    </row>
    <row r="633" spans="1:5" x14ac:dyDescent="0.5">
      <c r="A633"/>
      <c r="B633"/>
      <c r="C633"/>
      <c r="D633"/>
      <c r="E633"/>
    </row>
    <row r="634" spans="1:5" x14ac:dyDescent="0.5">
      <c r="A634"/>
      <c r="B634"/>
      <c r="C634"/>
      <c r="D634"/>
      <c r="E634"/>
    </row>
    <row r="635" spans="1:5" x14ac:dyDescent="0.5">
      <c r="A635"/>
      <c r="B635"/>
      <c r="C635"/>
      <c r="D635"/>
      <c r="E635"/>
    </row>
    <row r="636" spans="1:5" x14ac:dyDescent="0.5">
      <c r="A636"/>
      <c r="B636"/>
      <c r="C636"/>
      <c r="D636"/>
      <c r="E636"/>
    </row>
    <row r="637" spans="1:5" x14ac:dyDescent="0.5">
      <c r="A637"/>
      <c r="B637"/>
      <c r="C637"/>
      <c r="D637"/>
      <c r="E637"/>
    </row>
    <row r="638" spans="1:5" x14ac:dyDescent="0.5">
      <c r="A638"/>
      <c r="B638"/>
      <c r="C638"/>
      <c r="D638"/>
      <c r="E638"/>
    </row>
    <row r="639" spans="1:5" x14ac:dyDescent="0.5">
      <c r="A639"/>
      <c r="B639"/>
      <c r="C639"/>
      <c r="D639"/>
      <c r="E639"/>
    </row>
    <row r="640" spans="1:5" x14ac:dyDescent="0.5">
      <c r="A640"/>
      <c r="B640"/>
      <c r="C640"/>
      <c r="D640"/>
      <c r="E640"/>
    </row>
    <row r="641" spans="1:5" x14ac:dyDescent="0.5">
      <c r="A641"/>
      <c r="B641"/>
      <c r="C641"/>
      <c r="D641"/>
      <c r="E641"/>
    </row>
    <row r="642" spans="1:5" x14ac:dyDescent="0.5">
      <c r="A642"/>
      <c r="B642"/>
      <c r="C642"/>
      <c r="D642"/>
      <c r="E642"/>
    </row>
    <row r="643" spans="1:5" x14ac:dyDescent="0.5">
      <c r="A643"/>
      <c r="B643"/>
      <c r="C643"/>
      <c r="D643"/>
      <c r="E643"/>
    </row>
    <row r="644" spans="1:5" x14ac:dyDescent="0.5">
      <c r="A644"/>
      <c r="B644"/>
      <c r="C644"/>
      <c r="D644"/>
      <c r="E644"/>
    </row>
    <row r="645" spans="1:5" x14ac:dyDescent="0.5">
      <c r="A645"/>
      <c r="B645"/>
      <c r="C645"/>
      <c r="D645"/>
      <c r="E645"/>
    </row>
    <row r="646" spans="1:5" x14ac:dyDescent="0.5">
      <c r="A646"/>
      <c r="B646"/>
      <c r="C646"/>
      <c r="D646"/>
      <c r="E646"/>
    </row>
    <row r="647" spans="1:5" x14ac:dyDescent="0.5">
      <c r="A647"/>
      <c r="B647"/>
      <c r="C647"/>
      <c r="D647"/>
      <c r="E647"/>
    </row>
    <row r="648" spans="1:5" x14ac:dyDescent="0.5">
      <c r="A648"/>
      <c r="B648"/>
      <c r="C648"/>
      <c r="D648"/>
      <c r="E648"/>
    </row>
    <row r="649" spans="1:5" x14ac:dyDescent="0.5">
      <c r="A649"/>
      <c r="B649"/>
      <c r="C649"/>
      <c r="D649"/>
      <c r="E649"/>
    </row>
    <row r="650" spans="1:5" x14ac:dyDescent="0.5">
      <c r="A650"/>
      <c r="B650"/>
      <c r="C650"/>
      <c r="D650"/>
      <c r="E650"/>
    </row>
    <row r="651" spans="1:5" x14ac:dyDescent="0.5">
      <c r="A651"/>
      <c r="B651"/>
      <c r="C651"/>
      <c r="D651"/>
      <c r="E651"/>
    </row>
    <row r="652" spans="1:5" x14ac:dyDescent="0.5">
      <c r="A652"/>
      <c r="B652"/>
      <c r="C652"/>
      <c r="D652"/>
      <c r="E652"/>
    </row>
    <row r="653" spans="1:5" x14ac:dyDescent="0.5">
      <c r="A653"/>
      <c r="B653"/>
      <c r="C653"/>
      <c r="D653"/>
      <c r="E653"/>
    </row>
    <row r="654" spans="1:5" x14ac:dyDescent="0.5">
      <c r="A654"/>
      <c r="B654"/>
      <c r="C654"/>
      <c r="D654"/>
      <c r="E654"/>
    </row>
    <row r="655" spans="1:5" x14ac:dyDescent="0.5">
      <c r="A655"/>
      <c r="B655"/>
      <c r="C655"/>
      <c r="D655"/>
      <c r="E655"/>
    </row>
    <row r="656" spans="1:5" x14ac:dyDescent="0.5">
      <c r="A656"/>
      <c r="B656"/>
      <c r="C656"/>
      <c r="D656"/>
      <c r="E656"/>
    </row>
    <row r="657" spans="1:5" x14ac:dyDescent="0.5">
      <c r="A657"/>
      <c r="B657"/>
      <c r="C657"/>
      <c r="D657"/>
      <c r="E657"/>
    </row>
    <row r="658" spans="1:5" x14ac:dyDescent="0.5">
      <c r="A658"/>
      <c r="B658"/>
      <c r="C658"/>
      <c r="D658"/>
      <c r="E658"/>
    </row>
    <row r="659" spans="1:5" x14ac:dyDescent="0.5">
      <c r="A659"/>
      <c r="B659"/>
      <c r="C659"/>
      <c r="D659"/>
      <c r="E659"/>
    </row>
    <row r="660" spans="1:5" x14ac:dyDescent="0.5">
      <c r="A660"/>
      <c r="B660"/>
      <c r="C660"/>
      <c r="D660"/>
      <c r="E660"/>
    </row>
    <row r="661" spans="1:5" x14ac:dyDescent="0.5">
      <c r="A661"/>
      <c r="B661"/>
      <c r="C661"/>
      <c r="D661"/>
      <c r="E661"/>
    </row>
    <row r="662" spans="1:5" x14ac:dyDescent="0.5">
      <c r="A662"/>
      <c r="B662"/>
      <c r="C662"/>
      <c r="D662"/>
      <c r="E662"/>
    </row>
    <row r="663" spans="1:5" x14ac:dyDescent="0.5">
      <c r="A663"/>
      <c r="B663"/>
      <c r="C663"/>
      <c r="D663"/>
      <c r="E663"/>
    </row>
    <row r="664" spans="1:5" x14ac:dyDescent="0.5">
      <c r="A664"/>
      <c r="B664"/>
      <c r="C664"/>
      <c r="D664"/>
      <c r="E664"/>
    </row>
    <row r="665" spans="1:5" x14ac:dyDescent="0.5">
      <c r="A665"/>
      <c r="B665"/>
      <c r="C665"/>
      <c r="D665"/>
      <c r="E665"/>
    </row>
    <row r="666" spans="1:5" x14ac:dyDescent="0.5">
      <c r="A666"/>
      <c r="B666"/>
      <c r="C666"/>
      <c r="D666"/>
      <c r="E666"/>
    </row>
    <row r="667" spans="1:5" x14ac:dyDescent="0.5">
      <c r="A667"/>
      <c r="B667"/>
      <c r="C667"/>
      <c r="D667"/>
      <c r="E667"/>
    </row>
    <row r="668" spans="1:5" x14ac:dyDescent="0.5">
      <c r="A668"/>
      <c r="B668"/>
      <c r="C668"/>
      <c r="D668"/>
      <c r="E668"/>
    </row>
    <row r="669" spans="1:5" x14ac:dyDescent="0.5">
      <c r="A669"/>
      <c r="B669"/>
      <c r="C669"/>
      <c r="D669"/>
      <c r="E669"/>
    </row>
    <row r="670" spans="1:5" x14ac:dyDescent="0.5">
      <c r="A670"/>
      <c r="B670"/>
      <c r="C670"/>
      <c r="D670"/>
      <c r="E670"/>
    </row>
    <row r="671" spans="1:5" x14ac:dyDescent="0.5">
      <c r="A671"/>
      <c r="B671"/>
      <c r="C671"/>
      <c r="D671"/>
      <c r="E671"/>
    </row>
    <row r="672" spans="1:5" x14ac:dyDescent="0.5">
      <c r="A672"/>
      <c r="B672"/>
      <c r="C672"/>
      <c r="D672"/>
      <c r="E672"/>
    </row>
    <row r="673" spans="1:5" x14ac:dyDescent="0.5">
      <c r="A673"/>
      <c r="B673"/>
      <c r="C673"/>
      <c r="D673"/>
      <c r="E673"/>
    </row>
    <row r="674" spans="1:5" x14ac:dyDescent="0.5">
      <c r="A674"/>
      <c r="B674"/>
      <c r="C674"/>
      <c r="D674"/>
      <c r="E674"/>
    </row>
    <row r="675" spans="1:5" x14ac:dyDescent="0.5">
      <c r="A675"/>
      <c r="B675"/>
      <c r="C675"/>
      <c r="D675"/>
      <c r="E675"/>
    </row>
    <row r="676" spans="1:5" x14ac:dyDescent="0.5">
      <c r="A676"/>
      <c r="B676"/>
      <c r="C676"/>
      <c r="D676"/>
      <c r="E676"/>
    </row>
    <row r="677" spans="1:5" x14ac:dyDescent="0.5">
      <c r="A677"/>
      <c r="B677"/>
      <c r="C677"/>
      <c r="D677"/>
      <c r="E677"/>
    </row>
    <row r="678" spans="1:5" x14ac:dyDescent="0.5">
      <c r="A678"/>
      <c r="B678"/>
      <c r="C678"/>
      <c r="D678"/>
      <c r="E678"/>
    </row>
    <row r="679" spans="1:5" x14ac:dyDescent="0.5">
      <c r="A679"/>
      <c r="B679"/>
      <c r="C679"/>
      <c r="D679"/>
      <c r="E679"/>
    </row>
    <row r="680" spans="1:5" x14ac:dyDescent="0.5">
      <c r="A680"/>
      <c r="B680"/>
      <c r="C680"/>
      <c r="D680"/>
      <c r="E680"/>
    </row>
    <row r="681" spans="1:5" x14ac:dyDescent="0.5">
      <c r="A681"/>
      <c r="B681"/>
      <c r="C681"/>
      <c r="D681"/>
      <c r="E681"/>
    </row>
    <row r="682" spans="1:5" x14ac:dyDescent="0.5">
      <c r="A682"/>
      <c r="B682"/>
      <c r="C682"/>
      <c r="D682"/>
      <c r="E682"/>
    </row>
    <row r="683" spans="1:5" x14ac:dyDescent="0.5">
      <c r="A683"/>
      <c r="B683"/>
      <c r="C683"/>
      <c r="D683"/>
      <c r="E683"/>
    </row>
    <row r="684" spans="1:5" x14ac:dyDescent="0.5">
      <c r="A684"/>
      <c r="B684"/>
      <c r="C684"/>
      <c r="D684"/>
      <c r="E684"/>
    </row>
    <row r="685" spans="1:5" x14ac:dyDescent="0.5">
      <c r="A685"/>
      <c r="B685"/>
      <c r="C685"/>
      <c r="D685"/>
      <c r="E685"/>
    </row>
    <row r="686" spans="1:5" x14ac:dyDescent="0.5">
      <c r="A686"/>
      <c r="B686"/>
      <c r="C686"/>
      <c r="D686"/>
      <c r="E686"/>
    </row>
    <row r="687" spans="1:5" x14ac:dyDescent="0.5">
      <c r="A687"/>
      <c r="B687"/>
      <c r="C687"/>
      <c r="D687"/>
      <c r="E687"/>
    </row>
    <row r="688" spans="1:5" x14ac:dyDescent="0.5">
      <c r="A688"/>
      <c r="B688"/>
      <c r="C688"/>
      <c r="D688"/>
      <c r="E688"/>
    </row>
    <row r="689" spans="1:5" x14ac:dyDescent="0.5">
      <c r="A689"/>
      <c r="B689"/>
      <c r="C689"/>
      <c r="D689"/>
      <c r="E689"/>
    </row>
    <row r="690" spans="1:5" x14ac:dyDescent="0.5">
      <c r="A690"/>
      <c r="B690"/>
      <c r="C690"/>
      <c r="D690"/>
      <c r="E690"/>
    </row>
    <row r="691" spans="1:5" x14ac:dyDescent="0.5">
      <c r="A691"/>
      <c r="B691"/>
      <c r="C691"/>
      <c r="D691"/>
      <c r="E691"/>
    </row>
    <row r="692" spans="1:5" x14ac:dyDescent="0.5">
      <c r="A692"/>
      <c r="B692"/>
      <c r="C692"/>
      <c r="D692"/>
      <c r="E692"/>
    </row>
    <row r="693" spans="1:5" x14ac:dyDescent="0.5">
      <c r="A693"/>
      <c r="B693"/>
      <c r="C693"/>
      <c r="D693"/>
      <c r="E693"/>
    </row>
    <row r="694" spans="1:5" x14ac:dyDescent="0.5">
      <c r="A694"/>
      <c r="B694"/>
      <c r="C694"/>
      <c r="D694"/>
      <c r="E694"/>
    </row>
    <row r="695" spans="1:5" x14ac:dyDescent="0.5">
      <c r="A695"/>
      <c r="B695"/>
      <c r="C695"/>
      <c r="D695"/>
      <c r="E695"/>
    </row>
    <row r="696" spans="1:5" x14ac:dyDescent="0.5">
      <c r="A696"/>
      <c r="B696"/>
      <c r="C696"/>
      <c r="D696"/>
      <c r="E696"/>
    </row>
    <row r="697" spans="1:5" x14ac:dyDescent="0.5">
      <c r="A697"/>
      <c r="B697"/>
      <c r="C697"/>
      <c r="D697"/>
      <c r="E697"/>
    </row>
    <row r="698" spans="1:5" x14ac:dyDescent="0.5">
      <c r="A698"/>
      <c r="B698"/>
      <c r="C698"/>
      <c r="D698"/>
      <c r="E698"/>
    </row>
    <row r="699" spans="1:5" x14ac:dyDescent="0.5">
      <c r="A699"/>
      <c r="B699"/>
      <c r="C699"/>
      <c r="D699"/>
      <c r="E699"/>
    </row>
    <row r="700" spans="1:5" x14ac:dyDescent="0.5">
      <c r="A700"/>
      <c r="B700"/>
      <c r="C700"/>
      <c r="D700"/>
      <c r="E700"/>
    </row>
    <row r="701" spans="1:5" x14ac:dyDescent="0.5">
      <c r="A701"/>
      <c r="B701"/>
      <c r="C701"/>
      <c r="D701"/>
      <c r="E701"/>
    </row>
    <row r="702" spans="1:5" x14ac:dyDescent="0.5">
      <c r="A702"/>
      <c r="B702"/>
      <c r="C702"/>
      <c r="D702"/>
      <c r="E702"/>
    </row>
    <row r="703" spans="1:5" x14ac:dyDescent="0.5">
      <c r="A703"/>
      <c r="B703"/>
      <c r="C703"/>
      <c r="D703"/>
      <c r="E703"/>
    </row>
    <row r="704" spans="1:5" x14ac:dyDescent="0.5">
      <c r="A704"/>
      <c r="B704"/>
      <c r="C704"/>
      <c r="D704"/>
      <c r="E704"/>
    </row>
    <row r="705" spans="1:5" x14ac:dyDescent="0.5">
      <c r="A705"/>
      <c r="B705"/>
      <c r="C705"/>
      <c r="D705"/>
      <c r="E705"/>
    </row>
    <row r="706" spans="1:5" x14ac:dyDescent="0.5">
      <c r="A706"/>
      <c r="B706"/>
      <c r="C706"/>
      <c r="D706"/>
      <c r="E706"/>
    </row>
    <row r="707" spans="1:5" x14ac:dyDescent="0.5">
      <c r="A707"/>
      <c r="B707"/>
      <c r="C707"/>
      <c r="D707"/>
      <c r="E707"/>
    </row>
    <row r="708" spans="1:5" x14ac:dyDescent="0.5">
      <c r="A708"/>
      <c r="B708"/>
      <c r="C708"/>
      <c r="D708"/>
      <c r="E708"/>
    </row>
    <row r="709" spans="1:5" x14ac:dyDescent="0.5">
      <c r="A709"/>
      <c r="B709"/>
      <c r="C709"/>
      <c r="D709"/>
      <c r="E709"/>
    </row>
    <row r="710" spans="1:5" x14ac:dyDescent="0.5">
      <c r="A710"/>
      <c r="B710"/>
      <c r="C710"/>
      <c r="D710"/>
      <c r="E710"/>
    </row>
    <row r="711" spans="1:5" x14ac:dyDescent="0.5">
      <c r="A711"/>
      <c r="B711"/>
      <c r="C711"/>
      <c r="D711"/>
      <c r="E711"/>
    </row>
    <row r="712" spans="1:5" x14ac:dyDescent="0.5">
      <c r="A712"/>
      <c r="B712"/>
      <c r="C712"/>
      <c r="D712"/>
      <c r="E712"/>
    </row>
    <row r="713" spans="1:5" x14ac:dyDescent="0.5">
      <c r="A713"/>
      <c r="B713"/>
      <c r="C713"/>
      <c r="D713"/>
      <c r="E713"/>
    </row>
    <row r="714" spans="1:5" x14ac:dyDescent="0.5">
      <c r="A714"/>
      <c r="B714"/>
      <c r="C714"/>
      <c r="D714"/>
      <c r="E714"/>
    </row>
    <row r="715" spans="1:5" x14ac:dyDescent="0.5">
      <c r="A715"/>
      <c r="B715"/>
      <c r="C715"/>
      <c r="D715"/>
      <c r="E715"/>
    </row>
    <row r="716" spans="1:5" x14ac:dyDescent="0.5">
      <c r="A716"/>
      <c r="B716"/>
      <c r="C716"/>
      <c r="D716"/>
      <c r="E716"/>
    </row>
    <row r="717" spans="1:5" x14ac:dyDescent="0.5">
      <c r="A717"/>
      <c r="B717"/>
      <c r="C717"/>
      <c r="D717"/>
      <c r="E717"/>
    </row>
    <row r="718" spans="1:5" x14ac:dyDescent="0.5">
      <c r="A718"/>
      <c r="B718"/>
      <c r="C718"/>
      <c r="D718"/>
      <c r="E718"/>
    </row>
    <row r="719" spans="1:5" x14ac:dyDescent="0.5">
      <c r="A719"/>
      <c r="B719"/>
      <c r="C719"/>
      <c r="D719"/>
      <c r="E719"/>
    </row>
    <row r="720" spans="1:5" x14ac:dyDescent="0.5">
      <c r="A720"/>
      <c r="B720"/>
      <c r="C720"/>
      <c r="D720"/>
      <c r="E720"/>
    </row>
    <row r="721" spans="1:5" x14ac:dyDescent="0.5">
      <c r="A721"/>
      <c r="B721"/>
      <c r="C721"/>
      <c r="D721"/>
      <c r="E721"/>
    </row>
    <row r="722" spans="1:5" x14ac:dyDescent="0.5">
      <c r="A722"/>
      <c r="B722"/>
      <c r="C722"/>
      <c r="D722"/>
      <c r="E722"/>
    </row>
    <row r="723" spans="1:5" x14ac:dyDescent="0.5">
      <c r="A723"/>
      <c r="B723"/>
      <c r="C723"/>
      <c r="D723"/>
      <c r="E723"/>
    </row>
    <row r="724" spans="1:5" x14ac:dyDescent="0.5">
      <c r="A724"/>
      <c r="B724"/>
      <c r="C724"/>
      <c r="D724"/>
      <c r="E724"/>
    </row>
    <row r="725" spans="1:5" x14ac:dyDescent="0.5">
      <c r="A725"/>
      <c r="B725"/>
      <c r="C725"/>
      <c r="D725"/>
      <c r="E725"/>
    </row>
    <row r="726" spans="1:5" x14ac:dyDescent="0.5">
      <c r="A726"/>
      <c r="B726"/>
      <c r="C726"/>
      <c r="D726"/>
      <c r="E726"/>
    </row>
    <row r="727" spans="1:5" x14ac:dyDescent="0.5">
      <c r="A727"/>
      <c r="B727"/>
      <c r="C727"/>
      <c r="D727"/>
      <c r="E727"/>
    </row>
    <row r="728" spans="1:5" x14ac:dyDescent="0.5">
      <c r="A728"/>
      <c r="B728"/>
      <c r="C728"/>
      <c r="D728"/>
      <c r="E728"/>
    </row>
    <row r="729" spans="1:5" x14ac:dyDescent="0.5">
      <c r="A729"/>
      <c r="B729"/>
      <c r="C729"/>
      <c r="D729"/>
      <c r="E729"/>
    </row>
    <row r="730" spans="1:5" x14ac:dyDescent="0.5">
      <c r="A730"/>
      <c r="B730"/>
      <c r="C730"/>
      <c r="D730"/>
      <c r="E730"/>
    </row>
    <row r="731" spans="1:5" x14ac:dyDescent="0.5">
      <c r="A731"/>
      <c r="B731"/>
      <c r="C731"/>
      <c r="D731"/>
      <c r="E731"/>
    </row>
    <row r="732" spans="1:5" x14ac:dyDescent="0.5">
      <c r="A732"/>
      <c r="B732"/>
      <c r="C732"/>
      <c r="D732"/>
      <c r="E732"/>
    </row>
    <row r="733" spans="1:5" x14ac:dyDescent="0.5">
      <c r="A733"/>
      <c r="B733"/>
      <c r="C733"/>
      <c r="D733"/>
      <c r="E733"/>
    </row>
    <row r="734" spans="1:5" x14ac:dyDescent="0.5">
      <c r="A734"/>
      <c r="B734"/>
      <c r="C734"/>
      <c r="D734"/>
      <c r="E734"/>
    </row>
    <row r="735" spans="1:5" x14ac:dyDescent="0.5">
      <c r="A735"/>
      <c r="B735"/>
      <c r="C735"/>
      <c r="D735"/>
      <c r="E735"/>
    </row>
    <row r="736" spans="1:5" x14ac:dyDescent="0.5">
      <c r="A736"/>
      <c r="B736"/>
      <c r="C736"/>
      <c r="D736"/>
      <c r="E736"/>
    </row>
    <row r="737" spans="1:5" x14ac:dyDescent="0.5">
      <c r="A737"/>
      <c r="B737"/>
      <c r="C737"/>
      <c r="D737"/>
      <c r="E737"/>
    </row>
    <row r="738" spans="1:5" x14ac:dyDescent="0.5">
      <c r="A738"/>
      <c r="B738"/>
      <c r="C738"/>
      <c r="D738"/>
      <c r="E738"/>
    </row>
    <row r="739" spans="1:5" x14ac:dyDescent="0.5">
      <c r="A739"/>
      <c r="B739"/>
      <c r="C739"/>
      <c r="D739"/>
      <c r="E739"/>
    </row>
    <row r="740" spans="1:5" x14ac:dyDescent="0.5">
      <c r="A740"/>
      <c r="B740"/>
      <c r="C740"/>
      <c r="D740"/>
      <c r="E740"/>
    </row>
    <row r="741" spans="1:5" x14ac:dyDescent="0.5">
      <c r="A741"/>
      <c r="B741"/>
      <c r="C741"/>
      <c r="D741"/>
      <c r="E741"/>
    </row>
    <row r="742" spans="1:5" x14ac:dyDescent="0.5">
      <c r="A742"/>
      <c r="B742"/>
      <c r="C742"/>
      <c r="D742"/>
      <c r="E742"/>
    </row>
    <row r="743" spans="1:5" x14ac:dyDescent="0.5">
      <c r="A743"/>
      <c r="B743"/>
      <c r="C743"/>
      <c r="D743"/>
      <c r="E743"/>
    </row>
    <row r="744" spans="1:5" x14ac:dyDescent="0.5">
      <c r="A744"/>
      <c r="B744"/>
      <c r="C744"/>
      <c r="D744"/>
      <c r="E744"/>
    </row>
    <row r="745" spans="1:5" x14ac:dyDescent="0.5">
      <c r="A745"/>
      <c r="B745"/>
      <c r="C745"/>
      <c r="D745"/>
      <c r="E745"/>
    </row>
    <row r="746" spans="1:5" x14ac:dyDescent="0.5">
      <c r="A746"/>
      <c r="B746"/>
      <c r="C746"/>
      <c r="D746"/>
      <c r="E746"/>
    </row>
    <row r="747" spans="1:5" x14ac:dyDescent="0.5">
      <c r="A747"/>
      <c r="B747"/>
      <c r="C747"/>
      <c r="D747"/>
      <c r="E747"/>
    </row>
    <row r="748" spans="1:5" x14ac:dyDescent="0.5">
      <c r="A748"/>
      <c r="B748"/>
      <c r="C748"/>
      <c r="D748"/>
      <c r="E748"/>
    </row>
    <row r="749" spans="1:5" x14ac:dyDescent="0.5">
      <c r="A749"/>
      <c r="B749"/>
      <c r="C749"/>
      <c r="D749"/>
      <c r="E749"/>
    </row>
    <row r="750" spans="1:5" x14ac:dyDescent="0.5">
      <c r="A750"/>
      <c r="B750"/>
      <c r="C750"/>
      <c r="D750"/>
      <c r="E750"/>
    </row>
    <row r="751" spans="1:5" x14ac:dyDescent="0.5">
      <c r="A751"/>
      <c r="B751"/>
      <c r="C751"/>
      <c r="D751"/>
      <c r="E751"/>
    </row>
    <row r="752" spans="1:5" x14ac:dyDescent="0.5">
      <c r="A752"/>
      <c r="B752"/>
      <c r="C752"/>
      <c r="D752"/>
      <c r="E752"/>
    </row>
    <row r="753" spans="1:5" x14ac:dyDescent="0.5">
      <c r="A753"/>
      <c r="B753"/>
      <c r="C753"/>
      <c r="D753"/>
      <c r="E753"/>
    </row>
    <row r="754" spans="1:5" x14ac:dyDescent="0.5">
      <c r="A754"/>
      <c r="B754"/>
      <c r="C754"/>
      <c r="D754"/>
      <c r="E754"/>
    </row>
    <row r="755" spans="1:5" x14ac:dyDescent="0.5">
      <c r="A755"/>
      <c r="B755"/>
      <c r="C755"/>
      <c r="D755"/>
      <c r="E755"/>
    </row>
    <row r="756" spans="1:5" x14ac:dyDescent="0.5">
      <c r="A756"/>
      <c r="B756"/>
      <c r="C756"/>
      <c r="D756"/>
      <c r="E756"/>
    </row>
    <row r="757" spans="1:5" x14ac:dyDescent="0.5">
      <c r="A757"/>
      <c r="B757"/>
      <c r="C757"/>
      <c r="D757"/>
      <c r="E757"/>
    </row>
    <row r="758" spans="1:5" x14ac:dyDescent="0.5">
      <c r="A758"/>
      <c r="B758"/>
      <c r="C758"/>
      <c r="D758"/>
      <c r="E758"/>
    </row>
    <row r="759" spans="1:5" x14ac:dyDescent="0.5">
      <c r="A759"/>
      <c r="B759"/>
      <c r="C759"/>
      <c r="D759"/>
      <c r="E759"/>
    </row>
    <row r="760" spans="1:5" x14ac:dyDescent="0.5">
      <c r="A760"/>
      <c r="B760"/>
      <c r="C760"/>
      <c r="D760"/>
      <c r="E760"/>
    </row>
    <row r="761" spans="1:5" x14ac:dyDescent="0.5">
      <c r="A761"/>
      <c r="B761"/>
      <c r="C761"/>
      <c r="D761"/>
      <c r="E761"/>
    </row>
    <row r="762" spans="1:5" x14ac:dyDescent="0.5">
      <c r="A762"/>
      <c r="B762"/>
      <c r="C762"/>
      <c r="D762"/>
      <c r="E762"/>
    </row>
    <row r="763" spans="1:5" x14ac:dyDescent="0.5">
      <c r="A763"/>
      <c r="B763"/>
      <c r="C763"/>
      <c r="D763"/>
      <c r="E763"/>
    </row>
    <row r="764" spans="1:5" x14ac:dyDescent="0.5">
      <c r="A764"/>
      <c r="B764"/>
      <c r="C764"/>
      <c r="D764"/>
      <c r="E764"/>
    </row>
    <row r="765" spans="1:5" x14ac:dyDescent="0.5">
      <c r="A765"/>
      <c r="B765"/>
      <c r="C765"/>
      <c r="D765"/>
      <c r="E765"/>
    </row>
    <row r="766" spans="1:5" x14ac:dyDescent="0.5">
      <c r="A766"/>
      <c r="B766"/>
      <c r="C766"/>
      <c r="D766"/>
      <c r="E766"/>
    </row>
    <row r="767" spans="1:5" x14ac:dyDescent="0.5">
      <c r="A767"/>
      <c r="B767"/>
      <c r="C767"/>
      <c r="D767"/>
      <c r="E767"/>
    </row>
    <row r="768" spans="1:5" x14ac:dyDescent="0.5">
      <c r="A768"/>
      <c r="B768"/>
      <c r="C768"/>
      <c r="D768"/>
      <c r="E768"/>
    </row>
    <row r="769" spans="1:5" x14ac:dyDescent="0.5">
      <c r="A769"/>
      <c r="B769"/>
      <c r="C769"/>
      <c r="D769"/>
      <c r="E769"/>
    </row>
    <row r="770" spans="1:5" x14ac:dyDescent="0.5">
      <c r="A770"/>
      <c r="B770"/>
      <c r="C770"/>
      <c r="D770"/>
      <c r="E770"/>
    </row>
    <row r="771" spans="1:5" x14ac:dyDescent="0.5">
      <c r="A771"/>
      <c r="B771"/>
      <c r="C771"/>
      <c r="D771"/>
      <c r="E771"/>
    </row>
    <row r="772" spans="1:5" x14ac:dyDescent="0.5">
      <c r="A772"/>
      <c r="B772"/>
      <c r="C772"/>
      <c r="D772"/>
      <c r="E772"/>
    </row>
    <row r="773" spans="1:5" x14ac:dyDescent="0.5">
      <c r="A773"/>
      <c r="B773"/>
      <c r="C773"/>
      <c r="D773"/>
      <c r="E773"/>
    </row>
    <row r="774" spans="1:5" x14ac:dyDescent="0.5">
      <c r="A774"/>
      <c r="B774"/>
      <c r="C774"/>
      <c r="D774"/>
      <c r="E774"/>
    </row>
    <row r="775" spans="1:5" x14ac:dyDescent="0.5">
      <c r="A775"/>
      <c r="B775"/>
      <c r="C775"/>
      <c r="D775"/>
      <c r="E775"/>
    </row>
    <row r="776" spans="1:5" x14ac:dyDescent="0.5">
      <c r="A776"/>
      <c r="B776"/>
      <c r="C776"/>
      <c r="D776"/>
      <c r="E776"/>
    </row>
    <row r="777" spans="1:5" x14ac:dyDescent="0.5">
      <c r="A777"/>
      <c r="B777"/>
      <c r="C777"/>
      <c r="D777"/>
      <c r="E777"/>
    </row>
    <row r="778" spans="1:5" x14ac:dyDescent="0.5">
      <c r="A778"/>
      <c r="B778"/>
      <c r="C778"/>
      <c r="D778"/>
      <c r="E778"/>
    </row>
    <row r="779" spans="1:5" x14ac:dyDescent="0.5">
      <c r="A779"/>
      <c r="B779"/>
      <c r="C779"/>
      <c r="D779"/>
      <c r="E779"/>
    </row>
    <row r="780" spans="1:5" x14ac:dyDescent="0.5">
      <c r="A780"/>
      <c r="B780"/>
      <c r="C780"/>
      <c r="D780"/>
      <c r="E780"/>
    </row>
    <row r="781" spans="1:5" x14ac:dyDescent="0.5">
      <c r="A781"/>
      <c r="B781"/>
      <c r="C781"/>
      <c r="D781"/>
      <c r="E781"/>
    </row>
    <row r="782" spans="1:5" x14ac:dyDescent="0.5">
      <c r="A782"/>
      <c r="B782"/>
      <c r="C782"/>
      <c r="D782"/>
      <c r="E782"/>
    </row>
    <row r="783" spans="1:5" x14ac:dyDescent="0.5">
      <c r="A783"/>
      <c r="B783"/>
      <c r="C783"/>
      <c r="D783"/>
      <c r="E783"/>
    </row>
    <row r="784" spans="1:5" x14ac:dyDescent="0.5">
      <c r="A784"/>
      <c r="B784"/>
      <c r="C784"/>
      <c r="D784"/>
      <c r="E784"/>
    </row>
    <row r="785" spans="1:5" x14ac:dyDescent="0.5">
      <c r="A785"/>
      <c r="B785"/>
      <c r="C785"/>
      <c r="D785"/>
      <c r="E785"/>
    </row>
    <row r="786" spans="1:5" x14ac:dyDescent="0.5">
      <c r="A786"/>
      <c r="B786"/>
      <c r="C786"/>
      <c r="D786"/>
      <c r="E786"/>
    </row>
    <row r="787" spans="1:5" x14ac:dyDescent="0.5">
      <c r="A787"/>
      <c r="B787"/>
      <c r="C787"/>
      <c r="D787"/>
      <c r="E787"/>
    </row>
    <row r="788" spans="1:5" x14ac:dyDescent="0.5">
      <c r="A788"/>
      <c r="B788"/>
      <c r="C788"/>
      <c r="D788"/>
      <c r="E788"/>
    </row>
    <row r="789" spans="1:5" x14ac:dyDescent="0.5">
      <c r="A789"/>
      <c r="B789"/>
      <c r="C789"/>
      <c r="D789"/>
      <c r="E789"/>
    </row>
    <row r="790" spans="1:5" x14ac:dyDescent="0.5">
      <c r="A790"/>
      <c r="B790"/>
      <c r="C790"/>
      <c r="D790"/>
      <c r="E790"/>
    </row>
    <row r="791" spans="1:5" x14ac:dyDescent="0.5">
      <c r="A791"/>
      <c r="B791"/>
      <c r="C791"/>
      <c r="D791"/>
      <c r="E791"/>
    </row>
    <row r="792" spans="1:5" x14ac:dyDescent="0.5">
      <c r="A792"/>
      <c r="B792"/>
      <c r="C792"/>
      <c r="D792"/>
      <c r="E792"/>
    </row>
    <row r="793" spans="1:5" x14ac:dyDescent="0.5">
      <c r="A793"/>
      <c r="B793"/>
      <c r="C793"/>
      <c r="D793"/>
      <c r="E793"/>
    </row>
    <row r="794" spans="1:5" x14ac:dyDescent="0.5">
      <c r="A794"/>
      <c r="B794"/>
      <c r="C794"/>
      <c r="D794"/>
      <c r="E794"/>
    </row>
    <row r="795" spans="1:5" x14ac:dyDescent="0.5">
      <c r="A795"/>
      <c r="B795"/>
      <c r="C795"/>
      <c r="D795"/>
      <c r="E795"/>
    </row>
    <row r="796" spans="1:5" x14ac:dyDescent="0.5">
      <c r="A796"/>
      <c r="B796"/>
      <c r="C796"/>
      <c r="D796"/>
      <c r="E796"/>
    </row>
    <row r="797" spans="1:5" x14ac:dyDescent="0.5">
      <c r="A797"/>
      <c r="B797"/>
      <c r="C797"/>
      <c r="D797"/>
      <c r="E797"/>
    </row>
    <row r="798" spans="1:5" x14ac:dyDescent="0.5">
      <c r="A798"/>
      <c r="B798"/>
      <c r="C798"/>
      <c r="D798"/>
      <c r="E798"/>
    </row>
    <row r="799" spans="1:5" x14ac:dyDescent="0.5">
      <c r="A799"/>
      <c r="B799"/>
      <c r="C799"/>
      <c r="D799"/>
      <c r="E799"/>
    </row>
    <row r="800" spans="1:5" x14ac:dyDescent="0.5">
      <c r="A800"/>
      <c r="B800"/>
      <c r="C800"/>
      <c r="D800"/>
      <c r="E800"/>
    </row>
    <row r="801" spans="1:5" x14ac:dyDescent="0.5">
      <c r="A801"/>
      <c r="B801"/>
      <c r="C801"/>
      <c r="D801"/>
      <c r="E801"/>
    </row>
    <row r="802" spans="1:5" x14ac:dyDescent="0.5">
      <c r="A802"/>
      <c r="B802"/>
      <c r="C802"/>
      <c r="D802"/>
      <c r="E802"/>
    </row>
    <row r="803" spans="1:5" x14ac:dyDescent="0.5">
      <c r="A803"/>
      <c r="B803"/>
      <c r="C803"/>
      <c r="D803"/>
      <c r="E803"/>
    </row>
    <row r="804" spans="1:5" x14ac:dyDescent="0.5">
      <c r="A804"/>
      <c r="B804"/>
      <c r="C804"/>
      <c r="D804"/>
      <c r="E804"/>
    </row>
    <row r="805" spans="1:5" x14ac:dyDescent="0.5">
      <c r="A805"/>
      <c r="B805"/>
      <c r="C805"/>
      <c r="D805"/>
      <c r="E805"/>
    </row>
    <row r="806" spans="1:5" x14ac:dyDescent="0.5">
      <c r="A806"/>
      <c r="B806"/>
      <c r="C806"/>
      <c r="D806"/>
      <c r="E806"/>
    </row>
    <row r="807" spans="1:5" x14ac:dyDescent="0.5">
      <c r="A807"/>
      <c r="B807"/>
      <c r="C807"/>
      <c r="D807"/>
      <c r="E807"/>
    </row>
    <row r="808" spans="1:5" x14ac:dyDescent="0.5">
      <c r="A808"/>
      <c r="B808"/>
      <c r="C808"/>
      <c r="D808"/>
      <c r="E808"/>
    </row>
    <row r="809" spans="1:5" x14ac:dyDescent="0.5">
      <c r="A809"/>
      <c r="B809"/>
      <c r="C809"/>
      <c r="D809"/>
      <c r="E809"/>
    </row>
    <row r="810" spans="1:5" x14ac:dyDescent="0.5">
      <c r="A810"/>
      <c r="B810"/>
      <c r="C810"/>
      <c r="D810"/>
      <c r="E810"/>
    </row>
    <row r="811" spans="1:5" x14ac:dyDescent="0.5">
      <c r="A811"/>
      <c r="B811"/>
      <c r="C811"/>
      <c r="D811"/>
      <c r="E811"/>
    </row>
    <row r="812" spans="1:5" x14ac:dyDescent="0.5">
      <c r="A812"/>
      <c r="B812"/>
      <c r="C812"/>
      <c r="D812"/>
      <c r="E812"/>
    </row>
    <row r="813" spans="1:5" x14ac:dyDescent="0.5">
      <c r="A813"/>
      <c r="B813"/>
      <c r="C813"/>
      <c r="D813"/>
      <c r="E813"/>
    </row>
    <row r="814" spans="1:5" x14ac:dyDescent="0.5">
      <c r="A814"/>
      <c r="B814"/>
      <c r="C814"/>
      <c r="D814"/>
      <c r="E814"/>
    </row>
    <row r="815" spans="1:5" x14ac:dyDescent="0.5">
      <c r="A815"/>
      <c r="B815"/>
      <c r="C815"/>
      <c r="D815"/>
      <c r="E815"/>
    </row>
    <row r="816" spans="1:5" x14ac:dyDescent="0.5">
      <c r="A816"/>
      <c r="B816"/>
      <c r="C816"/>
      <c r="D816"/>
      <c r="E816"/>
    </row>
    <row r="817" spans="1:5" x14ac:dyDescent="0.5">
      <c r="A817"/>
      <c r="B817"/>
      <c r="C817"/>
      <c r="D817"/>
      <c r="E817"/>
    </row>
    <row r="818" spans="1:5" x14ac:dyDescent="0.5">
      <c r="A818"/>
      <c r="B818"/>
      <c r="C818"/>
      <c r="D818"/>
      <c r="E818"/>
    </row>
    <row r="819" spans="1:5" x14ac:dyDescent="0.5">
      <c r="A819"/>
      <c r="B819"/>
      <c r="C819"/>
      <c r="D819"/>
      <c r="E819"/>
    </row>
    <row r="820" spans="1:5" x14ac:dyDescent="0.5">
      <c r="A820"/>
      <c r="B820"/>
      <c r="C820"/>
      <c r="D820"/>
      <c r="E820"/>
    </row>
    <row r="821" spans="1:5" x14ac:dyDescent="0.5">
      <c r="A821"/>
      <c r="B821"/>
      <c r="C821"/>
      <c r="D821"/>
      <c r="E821"/>
    </row>
    <row r="822" spans="1:5" x14ac:dyDescent="0.5">
      <c r="A822"/>
      <c r="B822"/>
      <c r="C822"/>
      <c r="D822"/>
      <c r="E822"/>
    </row>
    <row r="823" spans="1:5" x14ac:dyDescent="0.5">
      <c r="A823"/>
      <c r="B823"/>
      <c r="C823"/>
      <c r="D823"/>
      <c r="E823"/>
    </row>
    <row r="824" spans="1:5" x14ac:dyDescent="0.5">
      <c r="A824"/>
      <c r="B824"/>
      <c r="C824"/>
      <c r="D824"/>
      <c r="E824"/>
    </row>
    <row r="825" spans="1:5" x14ac:dyDescent="0.5">
      <c r="A825"/>
      <c r="B825"/>
      <c r="C825"/>
      <c r="D825"/>
      <c r="E825"/>
    </row>
    <row r="826" spans="1:5" x14ac:dyDescent="0.5">
      <c r="A826"/>
      <c r="B826"/>
      <c r="C826"/>
      <c r="D826"/>
      <c r="E826"/>
    </row>
    <row r="827" spans="1:5" x14ac:dyDescent="0.5">
      <c r="A827"/>
      <c r="B827"/>
      <c r="C827"/>
      <c r="D827"/>
      <c r="E827"/>
    </row>
    <row r="828" spans="1:5" x14ac:dyDescent="0.5">
      <c r="A828"/>
      <c r="B828"/>
      <c r="C828"/>
      <c r="D828"/>
      <c r="E828"/>
    </row>
    <row r="829" spans="1:5" x14ac:dyDescent="0.5">
      <c r="A829"/>
      <c r="B829"/>
      <c r="C829"/>
      <c r="D829"/>
      <c r="E829"/>
    </row>
    <row r="830" spans="1:5" x14ac:dyDescent="0.5">
      <c r="A830"/>
      <c r="B830"/>
      <c r="C830"/>
      <c r="D830"/>
      <c r="E830"/>
    </row>
    <row r="831" spans="1:5" x14ac:dyDescent="0.5">
      <c r="A831"/>
      <c r="B831"/>
      <c r="C831"/>
      <c r="D831"/>
      <c r="E831"/>
    </row>
    <row r="832" spans="1:5" x14ac:dyDescent="0.5">
      <c r="A832"/>
      <c r="B832"/>
      <c r="C832"/>
      <c r="D832"/>
      <c r="E832"/>
    </row>
    <row r="833" spans="1:5" x14ac:dyDescent="0.5">
      <c r="A833"/>
      <c r="B833"/>
      <c r="C833"/>
      <c r="D833"/>
      <c r="E833"/>
    </row>
    <row r="834" spans="1:5" x14ac:dyDescent="0.5">
      <c r="A834"/>
      <c r="B834"/>
      <c r="C834"/>
      <c r="D834"/>
      <c r="E834"/>
    </row>
    <row r="835" spans="1:5" x14ac:dyDescent="0.5">
      <c r="A835"/>
      <c r="B835"/>
      <c r="C835"/>
      <c r="D835"/>
      <c r="E835"/>
    </row>
    <row r="836" spans="1:5" x14ac:dyDescent="0.5">
      <c r="A836"/>
      <c r="B836"/>
      <c r="C836"/>
      <c r="D836"/>
      <c r="E836"/>
    </row>
    <row r="837" spans="1:5" x14ac:dyDescent="0.5">
      <c r="A837"/>
      <c r="B837"/>
      <c r="C837"/>
      <c r="D837"/>
      <c r="E837"/>
    </row>
    <row r="838" spans="1:5" x14ac:dyDescent="0.5">
      <c r="A838"/>
      <c r="B838"/>
      <c r="C838"/>
      <c r="D838"/>
      <c r="E838"/>
    </row>
    <row r="839" spans="1:5" x14ac:dyDescent="0.5">
      <c r="A839"/>
      <c r="B839"/>
      <c r="C839"/>
      <c r="D839"/>
      <c r="E839"/>
    </row>
    <row r="840" spans="1:5" x14ac:dyDescent="0.5">
      <c r="A840"/>
      <c r="B840"/>
      <c r="C840"/>
      <c r="D840"/>
      <c r="E840"/>
    </row>
    <row r="841" spans="1:5" x14ac:dyDescent="0.5">
      <c r="A841"/>
      <c r="B841"/>
      <c r="C841"/>
      <c r="D841"/>
      <c r="E841"/>
    </row>
    <row r="842" spans="1:5" x14ac:dyDescent="0.5">
      <c r="A842"/>
      <c r="B842"/>
      <c r="C842"/>
      <c r="D842"/>
      <c r="E842"/>
    </row>
    <row r="843" spans="1:5" x14ac:dyDescent="0.5">
      <c r="A843"/>
      <c r="B843"/>
      <c r="C843"/>
      <c r="D843"/>
      <c r="E843"/>
    </row>
    <row r="844" spans="1:5" x14ac:dyDescent="0.5">
      <c r="A844"/>
      <c r="B844"/>
      <c r="C844"/>
      <c r="D844"/>
      <c r="E844"/>
    </row>
    <row r="845" spans="1:5" x14ac:dyDescent="0.5">
      <c r="A845"/>
      <c r="B845"/>
      <c r="C845"/>
      <c r="D845"/>
      <c r="E845"/>
    </row>
    <row r="846" spans="1:5" x14ac:dyDescent="0.5">
      <c r="A846"/>
      <c r="B846"/>
      <c r="C846"/>
      <c r="D846"/>
      <c r="E846"/>
    </row>
    <row r="847" spans="1:5" x14ac:dyDescent="0.5">
      <c r="A847"/>
      <c r="B847"/>
      <c r="C847"/>
      <c r="D847"/>
      <c r="E847"/>
    </row>
    <row r="848" spans="1:5" x14ac:dyDescent="0.5">
      <c r="A848"/>
      <c r="B848"/>
      <c r="C848"/>
      <c r="D848"/>
      <c r="E848"/>
    </row>
    <row r="849" spans="1:5" x14ac:dyDescent="0.5">
      <c r="A849"/>
      <c r="B849"/>
      <c r="C849"/>
      <c r="D849"/>
      <c r="E849"/>
    </row>
    <row r="850" spans="1:5" x14ac:dyDescent="0.5">
      <c r="A850"/>
      <c r="B850"/>
      <c r="C850"/>
      <c r="D850"/>
      <c r="E850"/>
    </row>
    <row r="851" spans="1:5" x14ac:dyDescent="0.5">
      <c r="A851"/>
      <c r="B851"/>
      <c r="C851"/>
      <c r="D851"/>
      <c r="E851"/>
    </row>
    <row r="852" spans="1:5" x14ac:dyDescent="0.5">
      <c r="A852"/>
      <c r="B852"/>
      <c r="C852"/>
      <c r="D852"/>
      <c r="E852"/>
    </row>
    <row r="853" spans="1:5" x14ac:dyDescent="0.5">
      <c r="A853"/>
      <c r="B853"/>
      <c r="C853"/>
      <c r="D853"/>
      <c r="E853"/>
    </row>
    <row r="854" spans="1:5" x14ac:dyDescent="0.5">
      <c r="A854"/>
      <c r="B854"/>
      <c r="C854"/>
      <c r="D854"/>
      <c r="E854"/>
    </row>
    <row r="855" spans="1:5" x14ac:dyDescent="0.5">
      <c r="A855"/>
      <c r="B855"/>
      <c r="C855"/>
      <c r="D855"/>
      <c r="E855"/>
    </row>
    <row r="856" spans="1:5" x14ac:dyDescent="0.5">
      <c r="A856"/>
      <c r="B856"/>
      <c r="C856"/>
      <c r="D856"/>
      <c r="E856"/>
    </row>
    <row r="857" spans="1:5" x14ac:dyDescent="0.5">
      <c r="A857"/>
      <c r="B857"/>
      <c r="C857"/>
      <c r="D857"/>
      <c r="E857"/>
    </row>
    <row r="858" spans="1:5" x14ac:dyDescent="0.5">
      <c r="A858"/>
      <c r="B858"/>
      <c r="C858"/>
      <c r="D858"/>
      <c r="E858"/>
    </row>
    <row r="859" spans="1:5" x14ac:dyDescent="0.5">
      <c r="A859"/>
      <c r="B859"/>
      <c r="C859"/>
      <c r="D859"/>
      <c r="E859"/>
    </row>
    <row r="860" spans="1:5" x14ac:dyDescent="0.5">
      <c r="A860"/>
      <c r="B860"/>
      <c r="C860"/>
      <c r="D860"/>
      <c r="E860"/>
    </row>
    <row r="861" spans="1:5" x14ac:dyDescent="0.5">
      <c r="A861"/>
      <c r="B861"/>
      <c r="C861"/>
      <c r="D861"/>
      <c r="E861"/>
    </row>
    <row r="862" spans="1:5" x14ac:dyDescent="0.5">
      <c r="A862"/>
      <c r="B862"/>
      <c r="C862"/>
      <c r="D862"/>
      <c r="E862"/>
    </row>
    <row r="863" spans="1:5" x14ac:dyDescent="0.5">
      <c r="A863"/>
      <c r="B863"/>
      <c r="C863"/>
      <c r="D863"/>
      <c r="E863"/>
    </row>
    <row r="864" spans="1:5" x14ac:dyDescent="0.5">
      <c r="A864"/>
      <c r="B864"/>
      <c r="C864"/>
      <c r="D864"/>
      <c r="E864"/>
    </row>
    <row r="865" spans="1:5" x14ac:dyDescent="0.5">
      <c r="A865"/>
      <c r="B865"/>
      <c r="C865"/>
      <c r="D865"/>
      <c r="E865"/>
    </row>
    <row r="866" spans="1:5" x14ac:dyDescent="0.5">
      <c r="A866"/>
      <c r="B866"/>
      <c r="C866"/>
      <c r="D866"/>
      <c r="E866"/>
    </row>
    <row r="867" spans="1:5" x14ac:dyDescent="0.5">
      <c r="A867"/>
      <c r="B867"/>
      <c r="C867"/>
      <c r="D867"/>
      <c r="E867"/>
    </row>
    <row r="868" spans="1:5" x14ac:dyDescent="0.5">
      <c r="A868"/>
      <c r="B868"/>
      <c r="C868"/>
      <c r="D868"/>
      <c r="E868"/>
    </row>
    <row r="869" spans="1:5" x14ac:dyDescent="0.5">
      <c r="A869"/>
      <c r="B869"/>
      <c r="C869"/>
      <c r="D869"/>
      <c r="E869"/>
    </row>
    <row r="870" spans="1:5" x14ac:dyDescent="0.5">
      <c r="A870"/>
      <c r="B870"/>
      <c r="C870"/>
      <c r="D870"/>
      <c r="E870"/>
    </row>
    <row r="871" spans="1:5" x14ac:dyDescent="0.5">
      <c r="A871"/>
      <c r="B871"/>
      <c r="C871"/>
      <c r="D871"/>
      <c r="E871"/>
    </row>
    <row r="872" spans="1:5" x14ac:dyDescent="0.5">
      <c r="A872"/>
      <c r="B872"/>
      <c r="C872"/>
      <c r="D872"/>
      <c r="E872"/>
    </row>
    <row r="873" spans="1:5" x14ac:dyDescent="0.5">
      <c r="A873"/>
      <c r="B873"/>
      <c r="C873"/>
      <c r="D873"/>
      <c r="E873"/>
    </row>
    <row r="874" spans="1:5" x14ac:dyDescent="0.5">
      <c r="A874"/>
      <c r="B874"/>
      <c r="C874"/>
      <c r="D874"/>
      <c r="E874"/>
    </row>
    <row r="875" spans="1:5" x14ac:dyDescent="0.5">
      <c r="A875"/>
      <c r="B875"/>
      <c r="C875"/>
      <c r="D875"/>
      <c r="E875"/>
    </row>
    <row r="876" spans="1:5" x14ac:dyDescent="0.5">
      <c r="A876"/>
      <c r="B876"/>
      <c r="C876"/>
      <c r="D876"/>
      <c r="E876"/>
    </row>
    <row r="877" spans="1:5" x14ac:dyDescent="0.5">
      <c r="A877"/>
      <c r="B877"/>
      <c r="C877"/>
      <c r="D877"/>
      <c r="E877"/>
    </row>
    <row r="878" spans="1:5" x14ac:dyDescent="0.5">
      <c r="A878"/>
      <c r="B878"/>
      <c r="C878"/>
      <c r="D878"/>
      <c r="E878"/>
    </row>
    <row r="879" spans="1:5" x14ac:dyDescent="0.5">
      <c r="A879"/>
      <c r="B879"/>
      <c r="C879"/>
      <c r="D879"/>
      <c r="E879"/>
    </row>
    <row r="880" spans="1:5" x14ac:dyDescent="0.5">
      <c r="A880"/>
      <c r="B880"/>
      <c r="C880"/>
      <c r="D880"/>
      <c r="E880"/>
    </row>
    <row r="881" spans="1:5" x14ac:dyDescent="0.5">
      <c r="A881"/>
      <c r="B881"/>
      <c r="C881"/>
      <c r="D881"/>
      <c r="E881"/>
    </row>
    <row r="882" spans="1:5" x14ac:dyDescent="0.5">
      <c r="A882"/>
      <c r="B882"/>
      <c r="C882"/>
      <c r="D882"/>
      <c r="E882"/>
    </row>
    <row r="883" spans="1:5" x14ac:dyDescent="0.5">
      <c r="A883"/>
      <c r="B883"/>
      <c r="C883"/>
      <c r="D883"/>
      <c r="E883"/>
    </row>
    <row r="884" spans="1:5" x14ac:dyDescent="0.5">
      <c r="A884"/>
      <c r="B884"/>
      <c r="C884"/>
      <c r="D884"/>
      <c r="E884"/>
    </row>
    <row r="885" spans="1:5" x14ac:dyDescent="0.5">
      <c r="A885"/>
      <c r="B885"/>
      <c r="C885"/>
      <c r="D885"/>
      <c r="E885"/>
    </row>
    <row r="886" spans="1:5" x14ac:dyDescent="0.5">
      <c r="A886"/>
      <c r="B886"/>
      <c r="C886"/>
      <c r="D886"/>
      <c r="E886"/>
    </row>
    <row r="887" spans="1:5" x14ac:dyDescent="0.5">
      <c r="A887"/>
      <c r="B887"/>
      <c r="C887"/>
      <c r="D887"/>
      <c r="E887"/>
    </row>
    <row r="888" spans="1:5" x14ac:dyDescent="0.5">
      <c r="A888"/>
      <c r="B888"/>
      <c r="C888"/>
      <c r="D888"/>
      <c r="E888"/>
    </row>
    <row r="889" spans="1:5" x14ac:dyDescent="0.5">
      <c r="A889"/>
      <c r="B889"/>
      <c r="C889"/>
      <c r="D889"/>
      <c r="E889"/>
    </row>
    <row r="890" spans="1:5" x14ac:dyDescent="0.5">
      <c r="A890"/>
      <c r="B890"/>
      <c r="C890"/>
      <c r="D890"/>
      <c r="E890"/>
    </row>
    <row r="891" spans="1:5" x14ac:dyDescent="0.5">
      <c r="A891"/>
      <c r="B891"/>
      <c r="C891"/>
      <c r="D891"/>
      <c r="E891"/>
    </row>
    <row r="892" spans="1:5" x14ac:dyDescent="0.5">
      <c r="A892"/>
      <c r="B892"/>
      <c r="C892"/>
      <c r="D892"/>
      <c r="E892"/>
    </row>
    <row r="893" spans="1:5" x14ac:dyDescent="0.5">
      <c r="A893"/>
      <c r="B893"/>
      <c r="C893"/>
      <c r="D893"/>
      <c r="E893"/>
    </row>
    <row r="894" spans="1:5" x14ac:dyDescent="0.5">
      <c r="A894"/>
      <c r="B894"/>
      <c r="C894"/>
      <c r="D894"/>
      <c r="E894"/>
    </row>
    <row r="895" spans="1:5" x14ac:dyDescent="0.5">
      <c r="A895"/>
      <c r="B895"/>
      <c r="C895"/>
      <c r="D895"/>
      <c r="E895"/>
    </row>
    <row r="896" spans="1:5" x14ac:dyDescent="0.5">
      <c r="A896"/>
      <c r="B896"/>
      <c r="C896"/>
      <c r="D896"/>
      <c r="E896"/>
    </row>
    <row r="897" spans="1:5" x14ac:dyDescent="0.5">
      <c r="A897"/>
      <c r="B897"/>
      <c r="C897"/>
      <c r="D897"/>
      <c r="E897"/>
    </row>
    <row r="898" spans="1:5" x14ac:dyDescent="0.5">
      <c r="A898"/>
      <c r="B898"/>
      <c r="C898"/>
      <c r="D898"/>
      <c r="E898"/>
    </row>
    <row r="899" spans="1:5" x14ac:dyDescent="0.5">
      <c r="A899"/>
      <c r="B899"/>
      <c r="C899"/>
      <c r="D899"/>
      <c r="E899"/>
    </row>
    <row r="900" spans="1:5" x14ac:dyDescent="0.5">
      <c r="A900"/>
      <c r="B900"/>
      <c r="C900"/>
      <c r="D900"/>
      <c r="E900"/>
    </row>
    <row r="901" spans="1:5" x14ac:dyDescent="0.5">
      <c r="A901"/>
      <c r="B901"/>
      <c r="C901"/>
      <c r="D901"/>
      <c r="E901"/>
    </row>
    <row r="902" spans="1:5" x14ac:dyDescent="0.5">
      <c r="A902"/>
      <c r="B902"/>
      <c r="C902"/>
      <c r="D902"/>
      <c r="E902"/>
    </row>
    <row r="903" spans="1:5" x14ac:dyDescent="0.5">
      <c r="A903"/>
      <c r="B903"/>
      <c r="C903"/>
      <c r="D903"/>
      <c r="E903"/>
    </row>
    <row r="904" spans="1:5" x14ac:dyDescent="0.5">
      <c r="A904"/>
      <c r="B904"/>
      <c r="C904"/>
      <c r="D904"/>
      <c r="E904"/>
    </row>
    <row r="905" spans="1:5" x14ac:dyDescent="0.5">
      <c r="A905"/>
      <c r="B905"/>
      <c r="C905"/>
      <c r="D905"/>
      <c r="E905"/>
    </row>
    <row r="906" spans="1:5" x14ac:dyDescent="0.5">
      <c r="A906"/>
      <c r="B906"/>
      <c r="C906"/>
      <c r="D906"/>
      <c r="E906"/>
    </row>
    <row r="907" spans="1:5" x14ac:dyDescent="0.5">
      <c r="A907"/>
      <c r="B907"/>
      <c r="C907"/>
      <c r="D907"/>
      <c r="E907"/>
    </row>
    <row r="908" spans="1:5" x14ac:dyDescent="0.5">
      <c r="A908"/>
      <c r="B908"/>
      <c r="C908"/>
      <c r="D908"/>
      <c r="E908"/>
    </row>
    <row r="909" spans="1:5" x14ac:dyDescent="0.5">
      <c r="A909"/>
      <c r="B909"/>
      <c r="C909"/>
      <c r="D909"/>
      <c r="E909"/>
    </row>
    <row r="910" spans="1:5" x14ac:dyDescent="0.5">
      <c r="A910"/>
      <c r="B910"/>
      <c r="C910"/>
      <c r="D910"/>
      <c r="E910"/>
    </row>
    <row r="911" spans="1:5" x14ac:dyDescent="0.5">
      <c r="A911"/>
      <c r="B911"/>
      <c r="C911"/>
      <c r="D911"/>
      <c r="E911"/>
    </row>
    <row r="912" spans="1:5" x14ac:dyDescent="0.5">
      <c r="A912"/>
      <c r="B912"/>
      <c r="C912"/>
      <c r="D912"/>
      <c r="E912"/>
    </row>
    <row r="913" spans="1:5" x14ac:dyDescent="0.5">
      <c r="A913"/>
      <c r="B913"/>
      <c r="C913"/>
      <c r="D913"/>
      <c r="E913"/>
    </row>
    <row r="914" spans="1:5" x14ac:dyDescent="0.5">
      <c r="A914"/>
      <c r="B914"/>
      <c r="C914"/>
      <c r="D914"/>
      <c r="E914"/>
    </row>
    <row r="915" spans="1:5" x14ac:dyDescent="0.5">
      <c r="A915"/>
      <c r="B915"/>
      <c r="C915"/>
      <c r="D915"/>
      <c r="E915"/>
    </row>
    <row r="916" spans="1:5" x14ac:dyDescent="0.5">
      <c r="A916"/>
      <c r="B916"/>
      <c r="C916"/>
      <c r="D916"/>
      <c r="E916"/>
    </row>
    <row r="917" spans="1:5" x14ac:dyDescent="0.5">
      <c r="A917"/>
      <c r="B917"/>
      <c r="C917"/>
      <c r="D917"/>
      <c r="E917"/>
    </row>
    <row r="918" spans="1:5" x14ac:dyDescent="0.5">
      <c r="A918"/>
      <c r="B918"/>
      <c r="C918"/>
      <c r="D918"/>
      <c r="E918"/>
    </row>
    <row r="919" spans="1:5" x14ac:dyDescent="0.5">
      <c r="A919"/>
      <c r="B919"/>
      <c r="C919"/>
      <c r="D919"/>
      <c r="E919"/>
    </row>
    <row r="920" spans="1:5" x14ac:dyDescent="0.5">
      <c r="A920"/>
      <c r="B920"/>
      <c r="C920"/>
      <c r="D920"/>
      <c r="E920"/>
    </row>
    <row r="921" spans="1:5" x14ac:dyDescent="0.5">
      <c r="A921"/>
      <c r="B921"/>
      <c r="C921"/>
      <c r="D921"/>
      <c r="E921"/>
    </row>
    <row r="922" spans="1:5" x14ac:dyDescent="0.5">
      <c r="A922"/>
      <c r="B922"/>
      <c r="C922"/>
      <c r="D922"/>
      <c r="E922"/>
    </row>
    <row r="923" spans="1:5" x14ac:dyDescent="0.5">
      <c r="A923"/>
      <c r="B923"/>
      <c r="C923"/>
      <c r="D923"/>
      <c r="E923"/>
    </row>
    <row r="924" spans="1:5" x14ac:dyDescent="0.5">
      <c r="A924"/>
      <c r="B924"/>
      <c r="C924"/>
      <c r="D924"/>
      <c r="E924"/>
    </row>
    <row r="925" spans="1:5" x14ac:dyDescent="0.5">
      <c r="A925"/>
      <c r="B925"/>
      <c r="C925"/>
      <c r="D925"/>
      <c r="E925"/>
    </row>
    <row r="926" spans="1:5" x14ac:dyDescent="0.5">
      <c r="A926"/>
      <c r="B926"/>
      <c r="C926"/>
      <c r="D926"/>
      <c r="E926"/>
    </row>
    <row r="927" spans="1:5" x14ac:dyDescent="0.5">
      <c r="A927"/>
      <c r="B927"/>
      <c r="C927"/>
      <c r="D927"/>
      <c r="E927"/>
    </row>
    <row r="928" spans="1:5" x14ac:dyDescent="0.5">
      <c r="A928"/>
      <c r="B928"/>
      <c r="C928"/>
      <c r="D928"/>
      <c r="E928"/>
    </row>
    <row r="929" spans="1:5" x14ac:dyDescent="0.5">
      <c r="A929"/>
      <c r="B929"/>
      <c r="C929"/>
      <c r="D929"/>
      <c r="E929"/>
    </row>
    <row r="930" spans="1:5" x14ac:dyDescent="0.5">
      <c r="A930"/>
      <c r="B930"/>
      <c r="C930"/>
      <c r="D930"/>
      <c r="E930"/>
    </row>
    <row r="931" spans="1:5" x14ac:dyDescent="0.5">
      <c r="A931"/>
      <c r="B931"/>
      <c r="C931"/>
      <c r="D931"/>
      <c r="E931"/>
    </row>
    <row r="932" spans="1:5" x14ac:dyDescent="0.5">
      <c r="A932"/>
      <c r="B932"/>
      <c r="C932"/>
      <c r="D932"/>
      <c r="E932"/>
    </row>
    <row r="933" spans="1:5" x14ac:dyDescent="0.5">
      <c r="A933"/>
      <c r="B933"/>
      <c r="C933"/>
      <c r="D933"/>
      <c r="E933"/>
    </row>
    <row r="934" spans="1:5" x14ac:dyDescent="0.5">
      <c r="A934"/>
      <c r="B934"/>
      <c r="C934"/>
      <c r="D934"/>
      <c r="E934"/>
    </row>
    <row r="935" spans="1:5" x14ac:dyDescent="0.5">
      <c r="A935"/>
      <c r="B935"/>
      <c r="C935"/>
      <c r="D935"/>
      <c r="E935"/>
    </row>
    <row r="936" spans="1:5" x14ac:dyDescent="0.5">
      <c r="A936"/>
      <c r="B936"/>
      <c r="C936"/>
      <c r="D936"/>
      <c r="E936"/>
    </row>
    <row r="937" spans="1:5" x14ac:dyDescent="0.5">
      <c r="A937"/>
      <c r="B937"/>
      <c r="C937"/>
      <c r="D937"/>
      <c r="E937"/>
    </row>
    <row r="938" spans="1:5" x14ac:dyDescent="0.5">
      <c r="A938"/>
      <c r="B938"/>
      <c r="C938"/>
      <c r="D938"/>
      <c r="E938"/>
    </row>
    <row r="939" spans="1:5" x14ac:dyDescent="0.5">
      <c r="A939"/>
      <c r="B939"/>
      <c r="C939"/>
      <c r="D939"/>
      <c r="E939"/>
    </row>
    <row r="940" spans="1:5" x14ac:dyDescent="0.5">
      <c r="A940"/>
      <c r="B940"/>
      <c r="C940"/>
      <c r="D940"/>
      <c r="E940"/>
    </row>
    <row r="941" spans="1:5" x14ac:dyDescent="0.5">
      <c r="A941"/>
      <c r="B941"/>
      <c r="C941"/>
      <c r="D941"/>
      <c r="E941"/>
    </row>
    <row r="942" spans="1:5" x14ac:dyDescent="0.5">
      <c r="A942"/>
      <c r="B942"/>
      <c r="C942"/>
      <c r="D942"/>
      <c r="E942"/>
    </row>
    <row r="943" spans="1:5" x14ac:dyDescent="0.5">
      <c r="A943"/>
      <c r="B943"/>
      <c r="C943"/>
      <c r="D943"/>
      <c r="E943"/>
    </row>
    <row r="944" spans="1:5" x14ac:dyDescent="0.5">
      <c r="A944"/>
      <c r="B944"/>
      <c r="C944"/>
      <c r="D944"/>
      <c r="E944"/>
    </row>
    <row r="945" spans="1:5" x14ac:dyDescent="0.5">
      <c r="A945"/>
      <c r="B945"/>
      <c r="C945"/>
      <c r="D945"/>
      <c r="E945"/>
    </row>
    <row r="946" spans="1:5" x14ac:dyDescent="0.5">
      <c r="A946"/>
      <c r="B946"/>
      <c r="C946"/>
      <c r="D946"/>
      <c r="E946"/>
    </row>
    <row r="947" spans="1:5" x14ac:dyDescent="0.5">
      <c r="A947"/>
      <c r="B947"/>
      <c r="C947"/>
      <c r="D947"/>
      <c r="E947"/>
    </row>
    <row r="948" spans="1:5" x14ac:dyDescent="0.5">
      <c r="A948"/>
      <c r="B948"/>
      <c r="C948"/>
      <c r="D948"/>
      <c r="E948"/>
    </row>
    <row r="949" spans="1:5" x14ac:dyDescent="0.5">
      <c r="A949"/>
      <c r="B949"/>
      <c r="C949"/>
      <c r="D949"/>
      <c r="E949"/>
    </row>
    <row r="950" spans="1:5" x14ac:dyDescent="0.5">
      <c r="A950"/>
      <c r="B950"/>
      <c r="C950"/>
      <c r="D950"/>
      <c r="E950"/>
    </row>
    <row r="951" spans="1:5" x14ac:dyDescent="0.5">
      <c r="A951"/>
      <c r="B951"/>
      <c r="C951"/>
      <c r="D951"/>
      <c r="E951"/>
    </row>
    <row r="952" spans="1:5" x14ac:dyDescent="0.5">
      <c r="A952"/>
      <c r="B952"/>
      <c r="C952"/>
      <c r="D952"/>
      <c r="E952"/>
    </row>
    <row r="953" spans="1:5" x14ac:dyDescent="0.5">
      <c r="A953"/>
      <c r="B953"/>
      <c r="C953"/>
      <c r="D953"/>
      <c r="E953"/>
    </row>
    <row r="954" spans="1:5" x14ac:dyDescent="0.5">
      <c r="A954"/>
      <c r="B954"/>
      <c r="C954"/>
      <c r="D954"/>
      <c r="E954"/>
    </row>
    <row r="955" spans="1:5" x14ac:dyDescent="0.5">
      <c r="A955"/>
      <c r="B955"/>
      <c r="C955"/>
      <c r="D955"/>
      <c r="E955"/>
    </row>
    <row r="956" spans="1:5" x14ac:dyDescent="0.5">
      <c r="A956"/>
      <c r="B956"/>
      <c r="C956"/>
      <c r="D956"/>
      <c r="E956"/>
    </row>
    <row r="957" spans="1:5" x14ac:dyDescent="0.5">
      <c r="A957"/>
      <c r="B957"/>
      <c r="C957"/>
      <c r="D957"/>
      <c r="E957"/>
    </row>
    <row r="958" spans="1:5" x14ac:dyDescent="0.5">
      <c r="A958"/>
      <c r="B958"/>
      <c r="C958"/>
      <c r="D958"/>
      <c r="E958"/>
    </row>
    <row r="959" spans="1:5" x14ac:dyDescent="0.5">
      <c r="A959"/>
      <c r="B959"/>
      <c r="C959"/>
      <c r="D959"/>
      <c r="E959"/>
    </row>
    <row r="960" spans="1:5" x14ac:dyDescent="0.5">
      <c r="A960"/>
      <c r="B960"/>
      <c r="C960"/>
      <c r="D960"/>
      <c r="E960"/>
    </row>
    <row r="961" spans="1:5" x14ac:dyDescent="0.5">
      <c r="A961"/>
      <c r="B961"/>
      <c r="C961"/>
      <c r="D961"/>
      <c r="E961"/>
    </row>
    <row r="962" spans="1:5" x14ac:dyDescent="0.5">
      <c r="A962"/>
      <c r="B962"/>
      <c r="C962"/>
      <c r="D962"/>
      <c r="E962"/>
    </row>
    <row r="963" spans="1:5" x14ac:dyDescent="0.5">
      <c r="A963"/>
      <c r="B963"/>
      <c r="C963"/>
      <c r="D963"/>
      <c r="E963"/>
    </row>
    <row r="964" spans="1:5" x14ac:dyDescent="0.5">
      <c r="A964"/>
      <c r="B964"/>
      <c r="C964"/>
      <c r="D964"/>
      <c r="E964"/>
    </row>
    <row r="965" spans="1:5" x14ac:dyDescent="0.5">
      <c r="A965"/>
      <c r="B965"/>
      <c r="C965"/>
      <c r="D965"/>
      <c r="E965"/>
    </row>
    <row r="966" spans="1:5" x14ac:dyDescent="0.5">
      <c r="A966"/>
      <c r="B966"/>
      <c r="C966"/>
      <c r="D966"/>
      <c r="E966"/>
    </row>
    <row r="967" spans="1:5" x14ac:dyDescent="0.5">
      <c r="A967"/>
      <c r="B967"/>
      <c r="C967"/>
      <c r="D967"/>
      <c r="E967"/>
    </row>
    <row r="968" spans="1:5" x14ac:dyDescent="0.5">
      <c r="A968"/>
      <c r="B968"/>
      <c r="C968"/>
      <c r="D968"/>
      <c r="E968"/>
    </row>
    <row r="969" spans="1:5" x14ac:dyDescent="0.5">
      <c r="A969"/>
      <c r="B969"/>
      <c r="C969"/>
      <c r="D969"/>
      <c r="E969"/>
    </row>
    <row r="970" spans="1:5" x14ac:dyDescent="0.5">
      <c r="A970"/>
      <c r="B970"/>
      <c r="C970"/>
      <c r="D970"/>
      <c r="E970"/>
    </row>
    <row r="971" spans="1:5" x14ac:dyDescent="0.5">
      <c r="A971"/>
      <c r="B971"/>
      <c r="C971"/>
      <c r="D971"/>
      <c r="E971"/>
    </row>
    <row r="972" spans="1:5" x14ac:dyDescent="0.5">
      <c r="A972"/>
      <c r="B972"/>
      <c r="C972"/>
      <c r="D972"/>
      <c r="E972"/>
    </row>
    <row r="973" spans="1:5" x14ac:dyDescent="0.5">
      <c r="A973"/>
      <c r="B973"/>
      <c r="C973"/>
      <c r="D973"/>
      <c r="E973"/>
    </row>
    <row r="974" spans="1:5" x14ac:dyDescent="0.5">
      <c r="A974"/>
      <c r="B974"/>
      <c r="C974"/>
      <c r="D974"/>
      <c r="E974"/>
    </row>
    <row r="975" spans="1:5" x14ac:dyDescent="0.5">
      <c r="A975"/>
      <c r="B975"/>
      <c r="C975"/>
      <c r="D975"/>
      <c r="E975"/>
    </row>
    <row r="976" spans="1:5" x14ac:dyDescent="0.5">
      <c r="A976"/>
      <c r="B976"/>
      <c r="C976"/>
      <c r="D976"/>
      <c r="E976"/>
    </row>
    <row r="977" spans="1:5" x14ac:dyDescent="0.5">
      <c r="A977"/>
      <c r="B977"/>
      <c r="C977"/>
      <c r="D977"/>
      <c r="E977"/>
    </row>
    <row r="978" spans="1:5" x14ac:dyDescent="0.5">
      <c r="A978"/>
      <c r="B978"/>
      <c r="C978"/>
      <c r="D978"/>
      <c r="E978"/>
    </row>
    <row r="979" spans="1:5" x14ac:dyDescent="0.5">
      <c r="A979"/>
      <c r="B979"/>
      <c r="C979"/>
      <c r="D979"/>
      <c r="E979"/>
    </row>
    <row r="980" spans="1:5" x14ac:dyDescent="0.5">
      <c r="A980"/>
      <c r="B980"/>
      <c r="C980"/>
      <c r="D980"/>
      <c r="E980"/>
    </row>
    <row r="981" spans="1:5" x14ac:dyDescent="0.5">
      <c r="A981"/>
      <c r="B981"/>
      <c r="C981"/>
      <c r="D981"/>
      <c r="E981"/>
    </row>
    <row r="982" spans="1:5" x14ac:dyDescent="0.5">
      <c r="A982"/>
      <c r="B982"/>
      <c r="C982"/>
      <c r="D982"/>
      <c r="E982"/>
    </row>
    <row r="983" spans="1:5" x14ac:dyDescent="0.5">
      <c r="A983"/>
      <c r="B983"/>
      <c r="C983"/>
      <c r="D983"/>
      <c r="E983"/>
    </row>
    <row r="984" spans="1:5" x14ac:dyDescent="0.5">
      <c r="A984"/>
      <c r="B984"/>
      <c r="C984"/>
      <c r="D984"/>
      <c r="E984"/>
    </row>
    <row r="985" spans="1:5" x14ac:dyDescent="0.5">
      <c r="A985"/>
      <c r="B985"/>
      <c r="C985"/>
      <c r="D985"/>
      <c r="E985"/>
    </row>
    <row r="986" spans="1:5" x14ac:dyDescent="0.5">
      <c r="A986"/>
      <c r="B986"/>
      <c r="C986"/>
      <c r="D986"/>
      <c r="E986"/>
    </row>
    <row r="987" spans="1:5" x14ac:dyDescent="0.5">
      <c r="A987"/>
      <c r="B987"/>
      <c r="C987"/>
      <c r="D987"/>
      <c r="E987"/>
    </row>
    <row r="988" spans="1:5" x14ac:dyDescent="0.5">
      <c r="A988"/>
      <c r="B988"/>
      <c r="C988"/>
      <c r="D988"/>
      <c r="E988"/>
    </row>
    <row r="989" spans="1:5" x14ac:dyDescent="0.5">
      <c r="A989"/>
      <c r="B989"/>
      <c r="C989"/>
      <c r="D989"/>
      <c r="E989"/>
    </row>
    <row r="990" spans="1:5" x14ac:dyDescent="0.5">
      <c r="A990"/>
      <c r="B990"/>
      <c r="C990"/>
      <c r="D990"/>
      <c r="E990"/>
    </row>
    <row r="991" spans="1:5" x14ac:dyDescent="0.5">
      <c r="A991"/>
      <c r="B991"/>
      <c r="C991"/>
      <c r="D991"/>
      <c r="E991"/>
    </row>
    <row r="992" spans="1:5" x14ac:dyDescent="0.5">
      <c r="A992"/>
      <c r="B992"/>
      <c r="C992"/>
      <c r="D992"/>
      <c r="E992"/>
    </row>
    <row r="993" spans="1:5" x14ac:dyDescent="0.5">
      <c r="A993"/>
      <c r="B993"/>
      <c r="C993"/>
      <c r="D993"/>
      <c r="E993"/>
    </row>
    <row r="994" spans="1:5" x14ac:dyDescent="0.5">
      <c r="A994"/>
      <c r="B994"/>
      <c r="C994"/>
      <c r="D994"/>
      <c r="E994"/>
    </row>
    <row r="995" spans="1:5" x14ac:dyDescent="0.5">
      <c r="A995"/>
      <c r="B995"/>
      <c r="C995"/>
      <c r="D995"/>
      <c r="E995"/>
    </row>
    <row r="996" spans="1:5" x14ac:dyDescent="0.5">
      <c r="A996"/>
      <c r="B996"/>
      <c r="C996"/>
      <c r="D996"/>
      <c r="E996"/>
    </row>
    <row r="997" spans="1:5" x14ac:dyDescent="0.5">
      <c r="A997"/>
      <c r="B997"/>
      <c r="C997"/>
      <c r="D997"/>
      <c r="E997"/>
    </row>
    <row r="998" spans="1:5" x14ac:dyDescent="0.5">
      <c r="A998"/>
      <c r="B998"/>
      <c r="C998"/>
      <c r="D998"/>
      <c r="E998"/>
    </row>
    <row r="999" spans="1:5" x14ac:dyDescent="0.5">
      <c r="A999"/>
      <c r="B999"/>
      <c r="C999"/>
      <c r="D999"/>
      <c r="E999"/>
    </row>
    <row r="1000" spans="1:5" x14ac:dyDescent="0.5">
      <c r="A1000"/>
      <c r="B1000"/>
      <c r="C1000"/>
      <c r="D1000"/>
      <c r="E1000"/>
    </row>
    <row r="1001" spans="1:5" x14ac:dyDescent="0.5">
      <c r="A1001"/>
      <c r="B1001"/>
      <c r="C1001"/>
      <c r="D1001"/>
      <c r="E1001"/>
    </row>
    <row r="1002" spans="1:5" x14ac:dyDescent="0.5">
      <c r="A1002"/>
      <c r="B1002"/>
      <c r="C1002"/>
      <c r="D1002"/>
      <c r="E1002"/>
    </row>
    <row r="1003" spans="1:5" x14ac:dyDescent="0.5">
      <c r="A1003"/>
      <c r="B1003"/>
      <c r="C1003"/>
      <c r="D1003"/>
      <c r="E1003"/>
    </row>
    <row r="1004" spans="1:5" x14ac:dyDescent="0.5">
      <c r="A1004"/>
      <c r="B1004"/>
      <c r="C1004"/>
      <c r="D1004"/>
      <c r="E1004"/>
    </row>
    <row r="1005" spans="1:5" x14ac:dyDescent="0.5">
      <c r="A1005"/>
      <c r="B1005"/>
      <c r="C1005"/>
      <c r="D1005"/>
      <c r="E1005"/>
    </row>
    <row r="1006" spans="1:5" x14ac:dyDescent="0.5">
      <c r="A1006"/>
      <c r="B1006"/>
      <c r="C1006"/>
      <c r="D1006"/>
      <c r="E1006"/>
    </row>
    <row r="1007" spans="1:5" x14ac:dyDescent="0.5">
      <c r="A1007"/>
      <c r="B1007"/>
      <c r="C1007"/>
      <c r="D1007"/>
      <c r="E1007"/>
    </row>
    <row r="1008" spans="1:5" x14ac:dyDescent="0.5">
      <c r="A1008"/>
      <c r="B1008"/>
      <c r="C1008"/>
      <c r="D1008"/>
      <c r="E1008"/>
    </row>
    <row r="1009" spans="1:5" x14ac:dyDescent="0.5">
      <c r="A1009"/>
      <c r="B1009"/>
      <c r="C1009"/>
      <c r="D1009"/>
      <c r="E1009"/>
    </row>
    <row r="1010" spans="1:5" x14ac:dyDescent="0.5">
      <c r="A1010"/>
      <c r="B1010"/>
      <c r="C1010"/>
      <c r="D1010"/>
      <c r="E1010"/>
    </row>
    <row r="1011" spans="1:5" x14ac:dyDescent="0.5">
      <c r="A1011"/>
      <c r="B1011"/>
      <c r="C1011"/>
      <c r="D1011"/>
      <c r="E1011"/>
    </row>
    <row r="1012" spans="1:5" x14ac:dyDescent="0.5">
      <c r="A1012"/>
      <c r="B1012"/>
      <c r="C1012"/>
      <c r="D1012"/>
      <c r="E1012"/>
    </row>
    <row r="1013" spans="1:5" x14ac:dyDescent="0.5">
      <c r="A1013"/>
      <c r="B1013"/>
      <c r="C1013"/>
      <c r="D1013"/>
      <c r="E1013"/>
    </row>
    <row r="1014" spans="1:5" x14ac:dyDescent="0.5">
      <c r="A1014"/>
      <c r="B1014"/>
      <c r="C1014"/>
      <c r="D1014"/>
      <c r="E1014"/>
    </row>
    <row r="1015" spans="1:5" x14ac:dyDescent="0.5">
      <c r="A1015"/>
      <c r="B1015"/>
      <c r="C1015"/>
      <c r="D1015"/>
      <c r="E1015"/>
    </row>
    <row r="1016" spans="1:5" x14ac:dyDescent="0.5">
      <c r="A1016"/>
      <c r="B1016"/>
      <c r="C1016"/>
      <c r="D1016"/>
      <c r="E1016"/>
    </row>
    <row r="1017" spans="1:5" x14ac:dyDescent="0.5">
      <c r="A1017"/>
      <c r="B1017"/>
      <c r="C1017"/>
      <c r="D1017"/>
      <c r="E1017"/>
    </row>
    <row r="1018" spans="1:5" x14ac:dyDescent="0.5">
      <c r="A1018"/>
      <c r="B1018"/>
      <c r="C1018"/>
      <c r="D1018"/>
      <c r="E1018"/>
    </row>
    <row r="1019" spans="1:5" x14ac:dyDescent="0.5">
      <c r="A1019"/>
      <c r="B1019"/>
      <c r="C1019"/>
      <c r="D1019"/>
      <c r="E1019"/>
    </row>
    <row r="1020" spans="1:5" x14ac:dyDescent="0.5">
      <c r="A1020"/>
      <c r="B1020"/>
      <c r="C1020"/>
      <c r="D1020"/>
      <c r="E1020"/>
    </row>
    <row r="1021" spans="1:5" x14ac:dyDescent="0.5">
      <c r="A1021"/>
      <c r="B1021"/>
      <c r="C1021"/>
      <c r="D1021"/>
      <c r="E1021"/>
    </row>
    <row r="1022" spans="1:5" x14ac:dyDescent="0.5">
      <c r="A1022"/>
      <c r="B1022"/>
      <c r="C1022"/>
      <c r="D1022"/>
      <c r="E1022"/>
    </row>
    <row r="1023" spans="1:5" x14ac:dyDescent="0.5">
      <c r="A1023"/>
      <c r="B1023"/>
      <c r="C1023"/>
      <c r="D1023"/>
      <c r="E1023"/>
    </row>
    <row r="1024" spans="1:5" x14ac:dyDescent="0.5">
      <c r="A1024"/>
      <c r="B1024"/>
      <c r="C1024"/>
      <c r="D1024"/>
      <c r="E1024"/>
    </row>
    <row r="1025" spans="1:5" x14ac:dyDescent="0.5">
      <c r="A1025"/>
      <c r="B1025"/>
      <c r="C1025"/>
      <c r="D1025"/>
      <c r="E1025"/>
    </row>
    <row r="1026" spans="1:5" x14ac:dyDescent="0.5">
      <c r="A1026"/>
      <c r="B1026"/>
      <c r="C1026"/>
      <c r="D1026"/>
      <c r="E1026"/>
    </row>
    <row r="1027" spans="1:5" x14ac:dyDescent="0.5">
      <c r="A1027"/>
      <c r="B1027"/>
      <c r="C1027"/>
      <c r="D1027"/>
      <c r="E1027"/>
    </row>
    <row r="1028" spans="1:5" x14ac:dyDescent="0.5">
      <c r="A1028"/>
      <c r="B1028"/>
      <c r="C1028"/>
      <c r="D1028"/>
      <c r="E1028"/>
    </row>
    <row r="1029" spans="1:5" x14ac:dyDescent="0.5">
      <c r="A1029"/>
      <c r="B1029"/>
      <c r="C1029"/>
      <c r="D1029"/>
      <c r="E1029"/>
    </row>
    <row r="1030" spans="1:5" x14ac:dyDescent="0.5">
      <c r="A1030"/>
      <c r="B1030"/>
      <c r="C1030"/>
      <c r="D1030"/>
      <c r="E1030"/>
    </row>
    <row r="1031" spans="1:5" x14ac:dyDescent="0.5">
      <c r="A1031"/>
      <c r="B1031"/>
      <c r="C1031"/>
      <c r="D1031"/>
      <c r="E1031"/>
    </row>
    <row r="1032" spans="1:5" x14ac:dyDescent="0.5">
      <c r="A1032"/>
      <c r="B1032"/>
      <c r="C1032"/>
      <c r="D1032"/>
      <c r="E1032"/>
    </row>
    <row r="1033" spans="1:5" x14ac:dyDescent="0.5">
      <c r="A1033"/>
      <c r="B1033"/>
      <c r="C1033"/>
      <c r="D1033"/>
      <c r="E1033"/>
    </row>
    <row r="1034" spans="1:5" x14ac:dyDescent="0.5">
      <c r="A1034"/>
      <c r="B1034"/>
      <c r="C1034"/>
      <c r="D1034"/>
      <c r="E1034"/>
    </row>
    <row r="1035" spans="1:5" x14ac:dyDescent="0.5">
      <c r="A1035"/>
      <c r="B1035"/>
      <c r="C1035"/>
      <c r="D1035"/>
      <c r="E1035"/>
    </row>
    <row r="1036" spans="1:5" x14ac:dyDescent="0.5">
      <c r="A1036"/>
      <c r="B1036"/>
      <c r="C1036"/>
      <c r="D1036"/>
      <c r="E1036"/>
    </row>
    <row r="1037" spans="1:5" x14ac:dyDescent="0.5">
      <c r="A1037"/>
      <c r="B1037"/>
      <c r="C1037"/>
      <c r="D1037"/>
      <c r="E1037"/>
    </row>
    <row r="1038" spans="1:5" x14ac:dyDescent="0.5">
      <c r="A1038"/>
      <c r="B1038"/>
      <c r="C1038"/>
      <c r="D1038"/>
      <c r="E1038"/>
    </row>
    <row r="1039" spans="1:5" x14ac:dyDescent="0.5">
      <c r="A1039"/>
      <c r="B1039"/>
      <c r="C1039"/>
      <c r="D1039"/>
      <c r="E1039"/>
    </row>
    <row r="1040" spans="1:5" x14ac:dyDescent="0.5">
      <c r="A1040"/>
      <c r="B1040"/>
      <c r="C1040"/>
      <c r="D1040"/>
      <c r="E1040"/>
    </row>
    <row r="1041" spans="1:5" x14ac:dyDescent="0.5">
      <c r="A1041"/>
      <c r="B1041"/>
      <c r="C1041"/>
      <c r="D1041"/>
      <c r="E1041"/>
    </row>
    <row r="1042" spans="1:5" x14ac:dyDescent="0.5">
      <c r="A1042"/>
      <c r="B1042"/>
      <c r="C1042"/>
      <c r="D1042"/>
      <c r="E1042"/>
    </row>
    <row r="1043" spans="1:5" x14ac:dyDescent="0.5">
      <c r="A1043"/>
      <c r="B1043"/>
      <c r="C1043"/>
      <c r="D1043"/>
      <c r="E1043"/>
    </row>
    <row r="1044" spans="1:5" x14ac:dyDescent="0.5">
      <c r="A1044"/>
      <c r="B1044"/>
      <c r="C1044"/>
      <c r="D1044"/>
      <c r="E1044"/>
    </row>
    <row r="1045" spans="1:5" x14ac:dyDescent="0.5">
      <c r="A1045"/>
      <c r="B1045"/>
      <c r="C1045"/>
      <c r="D1045"/>
      <c r="E1045"/>
    </row>
    <row r="1046" spans="1:5" x14ac:dyDescent="0.5">
      <c r="A1046"/>
      <c r="B1046"/>
      <c r="C1046"/>
      <c r="D1046"/>
      <c r="E1046"/>
    </row>
    <row r="1047" spans="1:5" x14ac:dyDescent="0.5">
      <c r="A1047"/>
      <c r="B1047"/>
      <c r="C1047"/>
      <c r="D1047"/>
      <c r="E1047"/>
    </row>
    <row r="1048" spans="1:5" x14ac:dyDescent="0.5">
      <c r="A1048"/>
      <c r="B1048"/>
      <c r="C1048"/>
      <c r="D1048"/>
      <c r="E1048"/>
    </row>
    <row r="1049" spans="1:5" x14ac:dyDescent="0.5">
      <c r="A1049"/>
      <c r="B1049"/>
      <c r="C1049"/>
      <c r="D1049"/>
      <c r="E1049"/>
    </row>
    <row r="1050" spans="1:5" x14ac:dyDescent="0.5">
      <c r="A1050"/>
      <c r="B1050"/>
      <c r="C1050"/>
      <c r="D1050"/>
      <c r="E1050"/>
    </row>
    <row r="1051" spans="1:5" x14ac:dyDescent="0.5">
      <c r="A1051"/>
      <c r="B1051"/>
      <c r="C1051"/>
      <c r="D1051"/>
      <c r="E1051"/>
    </row>
    <row r="1052" spans="1:5" x14ac:dyDescent="0.5">
      <c r="A1052"/>
      <c r="B1052"/>
      <c r="C1052"/>
      <c r="D1052"/>
      <c r="E1052"/>
    </row>
    <row r="1053" spans="1:5" x14ac:dyDescent="0.5">
      <c r="A1053"/>
      <c r="B1053"/>
      <c r="C1053"/>
      <c r="D1053"/>
      <c r="E1053"/>
    </row>
    <row r="1054" spans="1:5" x14ac:dyDescent="0.5">
      <c r="A1054"/>
      <c r="B1054"/>
      <c r="C1054"/>
      <c r="D1054"/>
      <c r="E1054"/>
    </row>
    <row r="1055" spans="1:5" x14ac:dyDescent="0.5">
      <c r="A1055"/>
      <c r="B1055"/>
      <c r="C1055"/>
      <c r="D1055"/>
      <c r="E1055"/>
    </row>
    <row r="1056" spans="1:5" x14ac:dyDescent="0.5">
      <c r="A1056"/>
      <c r="B1056"/>
      <c r="C1056"/>
      <c r="D1056"/>
      <c r="E1056"/>
    </row>
    <row r="1057" spans="1:5" x14ac:dyDescent="0.5">
      <c r="A1057"/>
      <c r="B1057"/>
      <c r="C1057"/>
      <c r="D1057"/>
      <c r="E1057"/>
    </row>
    <row r="1058" spans="1:5" x14ac:dyDescent="0.5">
      <c r="A1058"/>
      <c r="B1058"/>
      <c r="C1058"/>
      <c r="D1058"/>
      <c r="E1058"/>
    </row>
    <row r="1059" spans="1:5" x14ac:dyDescent="0.5">
      <c r="A1059"/>
      <c r="B1059"/>
      <c r="C1059"/>
      <c r="D1059"/>
      <c r="E1059"/>
    </row>
    <row r="1060" spans="1:5" x14ac:dyDescent="0.5">
      <c r="A1060"/>
      <c r="B1060"/>
      <c r="C1060"/>
      <c r="D1060"/>
      <c r="E1060"/>
    </row>
    <row r="1061" spans="1:5" x14ac:dyDescent="0.5">
      <c r="A1061"/>
      <c r="B1061"/>
      <c r="C1061"/>
      <c r="D1061"/>
      <c r="E1061"/>
    </row>
    <row r="1062" spans="1:5" x14ac:dyDescent="0.5">
      <c r="A1062"/>
      <c r="B1062"/>
      <c r="C1062"/>
      <c r="D1062"/>
      <c r="E1062"/>
    </row>
    <row r="1063" spans="1:5" x14ac:dyDescent="0.5">
      <c r="A1063"/>
      <c r="B1063"/>
      <c r="C1063"/>
      <c r="D1063"/>
      <c r="E1063"/>
    </row>
    <row r="1064" spans="1:5" x14ac:dyDescent="0.5">
      <c r="A1064"/>
      <c r="B1064"/>
      <c r="C1064"/>
      <c r="D1064"/>
      <c r="E1064"/>
    </row>
    <row r="1065" spans="1:5" x14ac:dyDescent="0.5">
      <c r="A1065"/>
      <c r="B1065"/>
      <c r="C1065"/>
      <c r="D1065"/>
      <c r="E1065"/>
    </row>
    <row r="1066" spans="1:5" x14ac:dyDescent="0.5">
      <c r="A1066"/>
      <c r="B1066"/>
      <c r="C1066"/>
      <c r="D1066"/>
      <c r="E1066"/>
    </row>
    <row r="1067" spans="1:5" x14ac:dyDescent="0.5">
      <c r="A1067"/>
      <c r="B1067"/>
      <c r="C1067"/>
      <c r="D1067"/>
      <c r="E1067"/>
    </row>
    <row r="1068" spans="1:5" x14ac:dyDescent="0.5">
      <c r="A1068"/>
      <c r="B1068"/>
      <c r="C1068"/>
      <c r="D1068"/>
      <c r="E1068"/>
    </row>
    <row r="1069" spans="1:5" x14ac:dyDescent="0.5">
      <c r="A1069"/>
      <c r="B1069"/>
      <c r="C1069"/>
      <c r="D1069"/>
      <c r="E1069"/>
    </row>
    <row r="1070" spans="1:5" x14ac:dyDescent="0.5">
      <c r="A1070"/>
      <c r="B1070"/>
      <c r="C1070"/>
      <c r="D1070"/>
      <c r="E1070"/>
    </row>
    <row r="1071" spans="1:5" x14ac:dyDescent="0.5">
      <c r="A1071"/>
      <c r="B1071"/>
      <c r="C1071"/>
      <c r="D1071"/>
      <c r="E1071"/>
    </row>
    <row r="1072" spans="1:5" x14ac:dyDescent="0.5">
      <c r="A1072"/>
      <c r="B1072"/>
      <c r="C1072"/>
      <c r="D1072"/>
      <c r="E1072"/>
    </row>
    <row r="1073" spans="1:5" x14ac:dyDescent="0.5">
      <c r="A1073"/>
      <c r="B1073"/>
      <c r="C1073"/>
      <c r="D1073"/>
      <c r="E1073"/>
    </row>
    <row r="1074" spans="1:5" x14ac:dyDescent="0.5">
      <c r="A1074"/>
      <c r="B1074"/>
      <c r="C1074"/>
      <c r="D1074"/>
      <c r="E1074"/>
    </row>
    <row r="1075" spans="1:5" x14ac:dyDescent="0.5">
      <c r="A1075"/>
      <c r="B1075"/>
      <c r="C1075"/>
      <c r="D1075"/>
      <c r="E1075"/>
    </row>
    <row r="1076" spans="1:5" x14ac:dyDescent="0.5">
      <c r="A1076"/>
      <c r="B1076"/>
      <c r="C1076"/>
      <c r="D1076"/>
      <c r="E1076"/>
    </row>
    <row r="1077" spans="1:5" x14ac:dyDescent="0.5">
      <c r="A1077"/>
      <c r="B1077"/>
      <c r="C1077"/>
      <c r="D1077"/>
      <c r="E1077"/>
    </row>
    <row r="1078" spans="1:5" x14ac:dyDescent="0.5">
      <c r="A1078"/>
      <c r="B1078"/>
      <c r="C1078"/>
      <c r="D1078"/>
      <c r="E1078"/>
    </row>
    <row r="1079" spans="1:5" x14ac:dyDescent="0.5">
      <c r="A1079"/>
      <c r="B1079"/>
      <c r="C1079"/>
      <c r="D1079"/>
      <c r="E1079"/>
    </row>
    <row r="1080" spans="1:5" x14ac:dyDescent="0.5">
      <c r="A1080"/>
      <c r="B1080"/>
      <c r="C1080"/>
      <c r="D1080"/>
      <c r="E1080"/>
    </row>
    <row r="1081" spans="1:5" x14ac:dyDescent="0.5">
      <c r="A1081"/>
      <c r="B1081"/>
      <c r="C1081"/>
      <c r="D1081"/>
      <c r="E1081"/>
    </row>
    <row r="1082" spans="1:5" x14ac:dyDescent="0.5">
      <c r="A1082"/>
      <c r="B1082"/>
      <c r="C1082"/>
      <c r="D1082"/>
      <c r="E1082"/>
    </row>
    <row r="1083" spans="1:5" x14ac:dyDescent="0.5">
      <c r="A1083"/>
      <c r="B1083"/>
      <c r="C1083"/>
      <c r="D1083"/>
      <c r="E1083"/>
    </row>
    <row r="1084" spans="1:5" x14ac:dyDescent="0.5">
      <c r="A1084"/>
      <c r="B1084"/>
      <c r="C1084"/>
      <c r="D1084"/>
      <c r="E1084"/>
    </row>
    <row r="1085" spans="1:5" x14ac:dyDescent="0.5">
      <c r="A1085"/>
      <c r="B1085"/>
      <c r="C1085"/>
      <c r="D1085"/>
      <c r="E1085"/>
    </row>
    <row r="1086" spans="1:5" x14ac:dyDescent="0.5">
      <c r="A1086"/>
      <c r="B1086"/>
      <c r="C1086"/>
      <c r="D1086"/>
      <c r="E1086"/>
    </row>
    <row r="1087" spans="1:5" x14ac:dyDescent="0.5">
      <c r="A1087"/>
      <c r="B1087"/>
      <c r="C1087"/>
      <c r="D1087"/>
      <c r="E1087"/>
    </row>
    <row r="1088" spans="1:5" x14ac:dyDescent="0.5">
      <c r="A1088"/>
      <c r="B1088"/>
      <c r="C1088"/>
      <c r="D1088"/>
      <c r="E1088"/>
    </row>
    <row r="1089" spans="1:5" x14ac:dyDescent="0.5">
      <c r="A1089"/>
      <c r="B1089"/>
      <c r="C1089"/>
      <c r="D1089"/>
      <c r="E1089"/>
    </row>
    <row r="1090" spans="1:5" x14ac:dyDescent="0.5">
      <c r="A1090"/>
      <c r="B1090"/>
      <c r="C1090"/>
      <c r="D1090"/>
      <c r="E1090"/>
    </row>
    <row r="1091" spans="1:5" x14ac:dyDescent="0.5">
      <c r="A1091"/>
      <c r="B1091"/>
      <c r="C1091"/>
      <c r="D1091"/>
      <c r="E1091"/>
    </row>
    <row r="1092" spans="1:5" x14ac:dyDescent="0.5">
      <c r="A1092"/>
      <c r="B1092"/>
      <c r="C1092"/>
      <c r="D1092"/>
      <c r="E1092"/>
    </row>
    <row r="1093" spans="1:5" x14ac:dyDescent="0.5">
      <c r="A1093"/>
      <c r="B1093"/>
      <c r="C1093"/>
      <c r="D1093"/>
      <c r="E1093"/>
    </row>
    <row r="1094" spans="1:5" x14ac:dyDescent="0.5">
      <c r="A1094"/>
      <c r="B1094"/>
      <c r="C1094"/>
      <c r="D1094"/>
      <c r="E1094"/>
    </row>
    <row r="1095" spans="1:5" x14ac:dyDescent="0.5">
      <c r="A1095"/>
      <c r="B1095"/>
      <c r="C1095"/>
      <c r="D1095"/>
      <c r="E1095"/>
    </row>
    <row r="1096" spans="1:5" x14ac:dyDescent="0.5">
      <c r="A1096"/>
      <c r="B1096"/>
      <c r="C1096"/>
      <c r="D1096"/>
      <c r="E1096"/>
    </row>
    <row r="1097" spans="1:5" x14ac:dyDescent="0.5">
      <c r="A1097"/>
      <c r="B1097"/>
      <c r="C1097"/>
      <c r="D1097"/>
      <c r="E1097"/>
    </row>
    <row r="1098" spans="1:5" x14ac:dyDescent="0.5">
      <c r="A1098"/>
      <c r="B1098"/>
      <c r="C1098"/>
      <c r="D1098"/>
      <c r="E1098"/>
    </row>
    <row r="1099" spans="1:5" x14ac:dyDescent="0.5">
      <c r="A1099"/>
      <c r="B1099"/>
      <c r="C1099"/>
      <c r="D1099"/>
      <c r="E1099"/>
    </row>
    <row r="1100" spans="1:5" x14ac:dyDescent="0.5">
      <c r="A1100"/>
      <c r="B1100"/>
      <c r="C1100"/>
      <c r="D1100"/>
      <c r="E1100"/>
    </row>
    <row r="1101" spans="1:5" x14ac:dyDescent="0.5">
      <c r="A1101"/>
      <c r="B1101"/>
      <c r="C1101"/>
      <c r="D1101"/>
      <c r="E1101"/>
    </row>
    <row r="1102" spans="1:5" x14ac:dyDescent="0.5">
      <c r="A1102"/>
      <c r="B1102"/>
      <c r="C1102"/>
      <c r="D1102"/>
      <c r="E1102"/>
    </row>
    <row r="1103" spans="1:5" x14ac:dyDescent="0.5">
      <c r="A1103"/>
      <c r="B1103"/>
      <c r="C1103"/>
      <c r="D1103"/>
      <c r="E1103"/>
    </row>
    <row r="1104" spans="1:5" x14ac:dyDescent="0.5">
      <c r="A1104"/>
      <c r="B1104"/>
      <c r="C1104"/>
      <c r="D1104"/>
      <c r="E1104"/>
    </row>
    <row r="1105" spans="1:5" x14ac:dyDescent="0.5">
      <c r="A1105"/>
      <c r="B1105"/>
      <c r="C1105"/>
      <c r="D1105"/>
      <c r="E1105"/>
    </row>
    <row r="1106" spans="1:5" x14ac:dyDescent="0.5">
      <c r="A1106"/>
      <c r="B1106"/>
      <c r="C1106"/>
      <c r="D1106"/>
      <c r="E1106"/>
    </row>
    <row r="1107" spans="1:5" x14ac:dyDescent="0.5">
      <c r="A1107"/>
      <c r="B1107"/>
      <c r="C1107"/>
      <c r="D1107"/>
      <c r="E1107"/>
    </row>
    <row r="1108" spans="1:5" x14ac:dyDescent="0.5">
      <c r="A1108"/>
      <c r="B1108"/>
      <c r="C1108"/>
      <c r="D1108"/>
      <c r="E1108"/>
    </row>
    <row r="1109" spans="1:5" x14ac:dyDescent="0.5">
      <c r="A1109"/>
      <c r="B1109"/>
      <c r="C1109"/>
      <c r="D1109"/>
      <c r="E1109"/>
    </row>
    <row r="1110" spans="1:5" x14ac:dyDescent="0.5">
      <c r="A1110"/>
      <c r="B1110"/>
      <c r="C1110"/>
      <c r="D1110"/>
      <c r="E1110"/>
    </row>
    <row r="1111" spans="1:5" x14ac:dyDescent="0.5">
      <c r="A1111"/>
      <c r="B1111"/>
      <c r="C1111"/>
      <c r="D1111"/>
      <c r="E1111"/>
    </row>
    <row r="1112" spans="1:5" x14ac:dyDescent="0.5">
      <c r="A1112"/>
      <c r="B1112"/>
      <c r="C1112"/>
      <c r="D1112"/>
      <c r="E1112"/>
    </row>
    <row r="1113" spans="1:5" x14ac:dyDescent="0.5">
      <c r="A1113"/>
      <c r="B1113"/>
      <c r="C1113"/>
      <c r="D1113"/>
      <c r="E1113"/>
    </row>
    <row r="1114" spans="1:5" x14ac:dyDescent="0.5">
      <c r="A1114"/>
      <c r="B1114"/>
      <c r="C1114"/>
      <c r="D1114"/>
      <c r="E1114"/>
    </row>
    <row r="1115" spans="1:5" x14ac:dyDescent="0.5">
      <c r="A1115"/>
      <c r="B1115"/>
      <c r="C1115"/>
      <c r="D1115"/>
      <c r="E1115"/>
    </row>
    <row r="1116" spans="1:5" x14ac:dyDescent="0.5">
      <c r="A1116"/>
      <c r="B1116"/>
      <c r="C1116"/>
      <c r="D1116"/>
      <c r="E1116"/>
    </row>
    <row r="1117" spans="1:5" x14ac:dyDescent="0.5">
      <c r="A1117"/>
      <c r="B1117"/>
      <c r="C1117"/>
      <c r="D1117"/>
      <c r="E1117"/>
    </row>
    <row r="1118" spans="1:5" x14ac:dyDescent="0.5">
      <c r="A1118"/>
      <c r="B1118"/>
      <c r="C1118"/>
      <c r="D1118"/>
      <c r="E1118"/>
    </row>
    <row r="1119" spans="1:5" x14ac:dyDescent="0.5">
      <c r="A1119"/>
      <c r="B1119"/>
      <c r="C1119"/>
      <c r="D1119"/>
      <c r="E1119"/>
    </row>
    <row r="1120" spans="1:5" x14ac:dyDescent="0.5">
      <c r="A1120"/>
      <c r="B1120"/>
      <c r="C1120"/>
      <c r="D1120"/>
      <c r="E1120"/>
    </row>
    <row r="1121" spans="1:5" x14ac:dyDescent="0.5">
      <c r="A1121"/>
      <c r="B1121"/>
      <c r="C1121"/>
      <c r="D1121"/>
      <c r="E1121"/>
    </row>
    <row r="1122" spans="1:5" x14ac:dyDescent="0.5">
      <c r="A1122"/>
      <c r="B1122"/>
      <c r="C1122"/>
      <c r="D1122"/>
      <c r="E1122"/>
    </row>
    <row r="1123" spans="1:5" x14ac:dyDescent="0.5">
      <c r="A1123"/>
      <c r="B1123"/>
      <c r="C1123"/>
      <c r="D1123"/>
      <c r="E1123"/>
    </row>
    <row r="1124" spans="1:5" x14ac:dyDescent="0.5">
      <c r="A1124"/>
      <c r="B1124"/>
      <c r="C1124"/>
      <c r="D1124"/>
      <c r="E1124"/>
    </row>
    <row r="1125" spans="1:5" x14ac:dyDescent="0.5">
      <c r="A1125"/>
      <c r="B1125"/>
      <c r="C1125"/>
      <c r="D1125"/>
      <c r="E1125"/>
    </row>
    <row r="1126" spans="1:5" x14ac:dyDescent="0.5">
      <c r="A1126"/>
      <c r="B1126"/>
      <c r="C1126"/>
      <c r="D1126"/>
      <c r="E1126"/>
    </row>
    <row r="1127" spans="1:5" x14ac:dyDescent="0.5">
      <c r="A1127"/>
      <c r="B1127"/>
      <c r="C1127"/>
      <c r="D1127"/>
      <c r="E1127"/>
    </row>
    <row r="1128" spans="1:5" x14ac:dyDescent="0.5">
      <c r="A1128"/>
      <c r="B1128"/>
      <c r="C1128"/>
      <c r="D1128"/>
      <c r="E1128"/>
    </row>
    <row r="1129" spans="1:5" x14ac:dyDescent="0.5">
      <c r="A1129"/>
      <c r="B1129"/>
      <c r="C1129"/>
      <c r="D1129"/>
      <c r="E1129"/>
    </row>
    <row r="1130" spans="1:5" x14ac:dyDescent="0.5">
      <c r="A1130"/>
      <c r="B1130"/>
      <c r="C1130"/>
      <c r="D1130"/>
      <c r="E1130"/>
    </row>
    <row r="1131" spans="1:5" x14ac:dyDescent="0.5">
      <c r="A1131"/>
      <c r="B1131"/>
      <c r="C1131"/>
      <c r="D1131"/>
      <c r="E1131"/>
    </row>
    <row r="1132" spans="1:5" x14ac:dyDescent="0.5">
      <c r="A1132"/>
      <c r="B1132"/>
      <c r="C1132"/>
      <c r="D1132"/>
      <c r="E1132"/>
    </row>
    <row r="1133" spans="1:5" x14ac:dyDescent="0.5">
      <c r="A1133"/>
      <c r="B1133"/>
      <c r="C1133"/>
      <c r="D1133"/>
      <c r="E1133"/>
    </row>
    <row r="1134" spans="1:5" x14ac:dyDescent="0.5">
      <c r="A1134"/>
      <c r="B1134"/>
      <c r="C1134"/>
      <c r="D1134"/>
      <c r="E1134"/>
    </row>
    <row r="1135" spans="1:5" x14ac:dyDescent="0.5">
      <c r="A1135"/>
      <c r="B1135"/>
      <c r="C1135"/>
      <c r="D1135"/>
      <c r="E1135"/>
    </row>
    <row r="1136" spans="1:5" x14ac:dyDescent="0.5">
      <c r="A1136"/>
      <c r="B1136"/>
      <c r="C1136"/>
      <c r="D1136"/>
      <c r="E1136"/>
    </row>
    <row r="1137" spans="1:5" x14ac:dyDescent="0.5">
      <c r="A1137"/>
      <c r="B1137"/>
      <c r="C1137"/>
      <c r="D1137"/>
      <c r="E1137"/>
    </row>
    <row r="1138" spans="1:5" x14ac:dyDescent="0.5">
      <c r="A1138"/>
      <c r="B1138"/>
      <c r="C1138"/>
      <c r="D1138"/>
      <c r="E1138"/>
    </row>
    <row r="1139" spans="1:5" x14ac:dyDescent="0.5">
      <c r="A1139"/>
      <c r="B1139"/>
      <c r="C1139"/>
      <c r="D1139"/>
      <c r="E1139"/>
    </row>
    <row r="1140" spans="1:5" x14ac:dyDescent="0.5">
      <c r="A1140"/>
      <c r="B1140"/>
      <c r="C1140"/>
      <c r="D1140"/>
      <c r="E1140"/>
    </row>
    <row r="1141" spans="1:5" x14ac:dyDescent="0.5">
      <c r="A1141"/>
      <c r="B1141"/>
      <c r="C1141"/>
      <c r="D1141"/>
      <c r="E1141"/>
    </row>
    <row r="1142" spans="1:5" x14ac:dyDescent="0.5">
      <c r="A1142"/>
      <c r="B1142"/>
      <c r="C1142"/>
      <c r="D1142"/>
      <c r="E1142"/>
    </row>
    <row r="1143" spans="1:5" x14ac:dyDescent="0.5">
      <c r="A1143"/>
      <c r="B1143"/>
      <c r="C1143"/>
      <c r="D1143"/>
      <c r="E1143"/>
    </row>
    <row r="1144" spans="1:5" x14ac:dyDescent="0.5">
      <c r="A1144"/>
      <c r="B1144"/>
      <c r="C1144"/>
      <c r="D1144"/>
      <c r="E1144"/>
    </row>
    <row r="1145" spans="1:5" x14ac:dyDescent="0.5">
      <c r="A1145"/>
      <c r="B1145"/>
      <c r="C1145"/>
      <c r="D1145"/>
      <c r="E1145"/>
    </row>
    <row r="1146" spans="1:5" x14ac:dyDescent="0.5">
      <c r="A1146"/>
      <c r="B1146"/>
      <c r="C1146"/>
      <c r="D1146"/>
      <c r="E1146"/>
    </row>
    <row r="1147" spans="1:5" x14ac:dyDescent="0.5">
      <c r="A1147"/>
      <c r="B1147"/>
      <c r="C1147"/>
      <c r="D1147"/>
      <c r="E1147"/>
    </row>
    <row r="1148" spans="1:5" x14ac:dyDescent="0.5">
      <c r="A1148"/>
      <c r="B1148"/>
      <c r="C1148"/>
      <c r="D1148"/>
      <c r="E1148"/>
    </row>
    <row r="1149" spans="1:5" x14ac:dyDescent="0.5">
      <c r="A1149"/>
      <c r="B1149"/>
      <c r="C1149"/>
      <c r="D1149"/>
      <c r="E1149"/>
    </row>
    <row r="1150" spans="1:5" x14ac:dyDescent="0.5">
      <c r="A1150"/>
      <c r="B1150"/>
      <c r="C1150"/>
      <c r="D1150"/>
      <c r="E1150"/>
    </row>
    <row r="1151" spans="1:5" x14ac:dyDescent="0.5">
      <c r="A1151"/>
      <c r="B1151"/>
      <c r="C1151"/>
      <c r="D1151"/>
      <c r="E1151"/>
    </row>
    <row r="1152" spans="1:5" x14ac:dyDescent="0.5">
      <c r="A1152"/>
      <c r="B1152"/>
      <c r="C1152"/>
      <c r="D1152"/>
      <c r="E1152"/>
    </row>
    <row r="1153" spans="1:5" x14ac:dyDescent="0.5">
      <c r="A1153"/>
      <c r="B1153"/>
      <c r="C1153"/>
      <c r="D1153"/>
      <c r="E1153"/>
    </row>
    <row r="1154" spans="1:5" x14ac:dyDescent="0.5">
      <c r="A1154"/>
      <c r="B1154"/>
      <c r="C1154"/>
      <c r="D1154"/>
      <c r="E1154"/>
    </row>
    <row r="1155" spans="1:5" x14ac:dyDescent="0.5">
      <c r="A1155"/>
      <c r="B1155"/>
      <c r="C1155"/>
      <c r="D1155"/>
      <c r="E1155"/>
    </row>
    <row r="1156" spans="1:5" x14ac:dyDescent="0.5">
      <c r="A1156"/>
      <c r="B1156"/>
      <c r="C1156"/>
      <c r="D1156"/>
      <c r="E1156"/>
    </row>
    <row r="1157" spans="1:5" x14ac:dyDescent="0.5">
      <c r="A1157"/>
      <c r="B1157"/>
      <c r="C1157"/>
      <c r="D1157"/>
      <c r="E1157"/>
    </row>
    <row r="1158" spans="1:5" x14ac:dyDescent="0.5">
      <c r="A1158"/>
      <c r="B1158"/>
      <c r="C1158"/>
      <c r="D1158"/>
      <c r="E1158"/>
    </row>
    <row r="1159" spans="1:5" x14ac:dyDescent="0.5">
      <c r="A1159"/>
      <c r="B1159"/>
      <c r="C1159"/>
      <c r="D1159"/>
      <c r="E1159"/>
    </row>
    <row r="1160" spans="1:5" x14ac:dyDescent="0.5">
      <c r="A1160"/>
      <c r="B1160"/>
      <c r="C1160"/>
      <c r="D1160"/>
      <c r="E1160"/>
    </row>
    <row r="1161" spans="1:5" x14ac:dyDescent="0.5">
      <c r="A1161"/>
      <c r="B1161"/>
      <c r="C1161"/>
      <c r="D1161"/>
      <c r="E1161"/>
    </row>
    <row r="1162" spans="1:5" x14ac:dyDescent="0.5">
      <c r="A1162"/>
      <c r="B1162"/>
      <c r="C1162"/>
      <c r="D1162"/>
      <c r="E1162"/>
    </row>
    <row r="1163" spans="1:5" x14ac:dyDescent="0.5">
      <c r="A1163"/>
      <c r="B1163"/>
      <c r="C1163"/>
      <c r="D1163"/>
      <c r="E1163"/>
    </row>
    <row r="1164" spans="1:5" x14ac:dyDescent="0.5">
      <c r="A1164"/>
      <c r="B1164"/>
      <c r="C1164"/>
      <c r="D1164"/>
      <c r="E1164"/>
    </row>
    <row r="1165" spans="1:5" x14ac:dyDescent="0.5">
      <c r="A1165"/>
      <c r="B1165"/>
      <c r="C1165"/>
      <c r="D1165"/>
      <c r="E1165"/>
    </row>
    <row r="1166" spans="1:5" x14ac:dyDescent="0.5">
      <c r="A1166"/>
      <c r="B1166"/>
      <c r="C1166"/>
      <c r="D1166"/>
      <c r="E1166"/>
    </row>
    <row r="1167" spans="1:5" x14ac:dyDescent="0.5">
      <c r="A1167"/>
      <c r="B1167"/>
      <c r="C1167"/>
      <c r="D1167"/>
      <c r="E1167"/>
    </row>
    <row r="1168" spans="1:5" x14ac:dyDescent="0.5">
      <c r="A1168"/>
      <c r="B1168"/>
      <c r="C1168"/>
      <c r="D1168"/>
      <c r="E1168"/>
    </row>
    <row r="1169" spans="1:5" x14ac:dyDescent="0.5">
      <c r="A1169"/>
      <c r="B1169"/>
      <c r="C1169"/>
      <c r="D1169"/>
      <c r="E1169"/>
    </row>
    <row r="1170" spans="1:5" x14ac:dyDescent="0.5">
      <c r="A1170"/>
      <c r="B1170"/>
      <c r="C1170"/>
      <c r="D1170"/>
      <c r="E1170"/>
    </row>
    <row r="1171" spans="1:5" x14ac:dyDescent="0.5">
      <c r="A1171"/>
      <c r="B1171"/>
      <c r="C1171"/>
      <c r="D1171"/>
      <c r="E1171"/>
    </row>
    <row r="1172" spans="1:5" x14ac:dyDescent="0.5">
      <c r="A1172"/>
      <c r="B1172"/>
      <c r="C1172"/>
      <c r="D1172"/>
      <c r="E1172"/>
    </row>
    <row r="1173" spans="1:5" x14ac:dyDescent="0.5">
      <c r="A1173"/>
      <c r="B1173"/>
      <c r="C1173"/>
      <c r="D1173"/>
      <c r="E1173"/>
    </row>
    <row r="1174" spans="1:5" x14ac:dyDescent="0.5">
      <c r="A1174"/>
      <c r="B1174"/>
      <c r="C1174"/>
      <c r="D1174"/>
      <c r="E1174"/>
    </row>
    <row r="1175" spans="1:5" x14ac:dyDescent="0.5">
      <c r="A1175"/>
      <c r="B1175"/>
      <c r="C1175"/>
      <c r="D1175"/>
      <c r="E1175"/>
    </row>
    <row r="1176" spans="1:5" x14ac:dyDescent="0.5">
      <c r="A1176"/>
      <c r="B1176"/>
      <c r="C1176"/>
      <c r="D1176"/>
      <c r="E1176"/>
    </row>
    <row r="1177" spans="1:5" x14ac:dyDescent="0.5">
      <c r="A1177"/>
      <c r="B1177"/>
      <c r="C1177"/>
      <c r="D1177"/>
      <c r="E1177"/>
    </row>
    <row r="1178" spans="1:5" x14ac:dyDescent="0.5">
      <c r="A1178"/>
      <c r="B1178"/>
      <c r="C1178"/>
      <c r="D1178"/>
      <c r="E1178"/>
    </row>
    <row r="1179" spans="1:5" x14ac:dyDescent="0.5">
      <c r="A1179"/>
      <c r="B1179"/>
      <c r="C1179"/>
      <c r="D1179"/>
      <c r="E1179"/>
    </row>
    <row r="1180" spans="1:5" x14ac:dyDescent="0.5">
      <c r="A1180"/>
      <c r="B1180"/>
      <c r="C1180"/>
      <c r="D1180"/>
      <c r="E1180"/>
    </row>
    <row r="1181" spans="1:5" x14ac:dyDescent="0.5">
      <c r="A1181"/>
      <c r="B1181"/>
      <c r="C1181"/>
      <c r="D1181"/>
      <c r="E1181"/>
    </row>
    <row r="1182" spans="1:5" x14ac:dyDescent="0.5">
      <c r="A1182"/>
      <c r="B1182"/>
      <c r="C1182"/>
      <c r="D1182"/>
      <c r="E1182"/>
    </row>
    <row r="1183" spans="1:5" x14ac:dyDescent="0.5">
      <c r="A1183"/>
      <c r="B1183"/>
      <c r="C1183"/>
      <c r="D1183"/>
      <c r="E1183"/>
    </row>
    <row r="1184" spans="1:5" x14ac:dyDescent="0.5">
      <c r="A1184"/>
      <c r="B1184"/>
      <c r="C1184"/>
      <c r="D1184"/>
      <c r="E1184"/>
    </row>
    <row r="1185" spans="1:5" x14ac:dyDescent="0.5">
      <c r="A1185"/>
      <c r="B1185"/>
      <c r="C1185"/>
      <c r="D1185"/>
      <c r="E1185"/>
    </row>
    <row r="1186" spans="1:5" x14ac:dyDescent="0.5">
      <c r="A1186"/>
      <c r="B1186"/>
      <c r="C1186"/>
      <c r="D1186"/>
      <c r="E1186"/>
    </row>
    <row r="1187" spans="1:5" x14ac:dyDescent="0.5">
      <c r="A1187"/>
      <c r="B1187"/>
      <c r="C1187"/>
      <c r="D1187"/>
      <c r="E1187"/>
    </row>
    <row r="1188" spans="1:5" x14ac:dyDescent="0.5">
      <c r="A1188"/>
      <c r="B1188"/>
      <c r="C1188"/>
      <c r="D1188"/>
      <c r="E1188"/>
    </row>
    <row r="1189" spans="1:5" x14ac:dyDescent="0.5">
      <c r="A1189"/>
      <c r="B1189"/>
      <c r="C1189"/>
      <c r="D1189"/>
      <c r="E1189"/>
    </row>
    <row r="1190" spans="1:5" x14ac:dyDescent="0.5">
      <c r="A1190"/>
      <c r="B1190"/>
      <c r="C1190"/>
      <c r="D1190"/>
      <c r="E1190"/>
    </row>
    <row r="1191" spans="1:5" x14ac:dyDescent="0.5">
      <c r="A1191"/>
      <c r="B1191"/>
      <c r="C1191"/>
      <c r="D1191"/>
      <c r="E1191"/>
    </row>
    <row r="1192" spans="1:5" x14ac:dyDescent="0.5">
      <c r="A1192"/>
      <c r="B1192"/>
      <c r="C1192"/>
      <c r="D1192"/>
      <c r="E1192"/>
    </row>
    <row r="1193" spans="1:5" x14ac:dyDescent="0.5">
      <c r="A1193"/>
      <c r="B1193"/>
      <c r="C1193"/>
      <c r="D1193"/>
      <c r="E1193"/>
    </row>
    <row r="1194" spans="1:5" x14ac:dyDescent="0.5">
      <c r="A1194"/>
      <c r="B1194"/>
      <c r="C1194"/>
      <c r="D1194"/>
      <c r="E1194"/>
    </row>
    <row r="1195" spans="1:5" x14ac:dyDescent="0.5">
      <c r="A1195"/>
      <c r="B1195"/>
      <c r="C1195"/>
      <c r="D1195"/>
      <c r="E1195"/>
    </row>
    <row r="1196" spans="1:5" x14ac:dyDescent="0.5">
      <c r="A1196"/>
      <c r="B1196"/>
      <c r="C1196"/>
      <c r="D1196"/>
      <c r="E1196"/>
    </row>
    <row r="1197" spans="1:5" x14ac:dyDescent="0.5">
      <c r="A1197"/>
      <c r="B1197"/>
      <c r="C1197"/>
      <c r="D1197"/>
      <c r="E1197"/>
    </row>
    <row r="1198" spans="1:5" x14ac:dyDescent="0.5">
      <c r="A1198"/>
      <c r="B1198"/>
      <c r="C1198"/>
      <c r="D1198"/>
      <c r="E1198"/>
    </row>
    <row r="1199" spans="1:5" x14ac:dyDescent="0.5">
      <c r="A1199"/>
      <c r="B1199"/>
      <c r="C1199"/>
      <c r="D1199"/>
      <c r="E1199"/>
    </row>
    <row r="1200" spans="1:5" x14ac:dyDescent="0.5">
      <c r="A1200"/>
      <c r="B1200"/>
      <c r="C1200"/>
      <c r="D1200"/>
      <c r="E1200"/>
    </row>
    <row r="1201" spans="1:5" x14ac:dyDescent="0.5">
      <c r="A1201"/>
      <c r="B1201"/>
      <c r="C1201"/>
      <c r="D1201"/>
      <c r="E1201"/>
    </row>
    <row r="1202" spans="1:5" x14ac:dyDescent="0.5">
      <c r="A1202"/>
      <c r="B1202"/>
      <c r="C1202"/>
      <c r="D1202"/>
      <c r="E1202"/>
    </row>
    <row r="1203" spans="1:5" x14ac:dyDescent="0.5">
      <c r="A1203"/>
      <c r="B1203"/>
      <c r="C1203"/>
      <c r="D1203"/>
      <c r="E1203"/>
    </row>
    <row r="1204" spans="1:5" x14ac:dyDescent="0.5">
      <c r="A1204"/>
      <c r="B1204"/>
      <c r="C1204"/>
      <c r="D1204"/>
      <c r="E1204"/>
    </row>
    <row r="1205" spans="1:5" x14ac:dyDescent="0.5">
      <c r="A1205"/>
      <c r="B1205"/>
      <c r="C1205"/>
      <c r="D1205"/>
      <c r="E1205"/>
    </row>
    <row r="1206" spans="1:5" x14ac:dyDescent="0.5">
      <c r="A1206"/>
      <c r="B1206"/>
      <c r="C1206"/>
      <c r="D1206"/>
      <c r="E1206"/>
    </row>
    <row r="1207" spans="1:5" x14ac:dyDescent="0.5">
      <c r="A1207"/>
      <c r="B1207"/>
      <c r="C1207"/>
      <c r="D1207"/>
      <c r="E1207"/>
    </row>
    <row r="1208" spans="1:5" x14ac:dyDescent="0.5">
      <c r="A1208"/>
      <c r="B1208"/>
      <c r="C1208"/>
      <c r="D1208"/>
      <c r="E1208"/>
    </row>
    <row r="1209" spans="1:5" x14ac:dyDescent="0.5">
      <c r="A1209"/>
      <c r="B1209"/>
      <c r="C1209"/>
      <c r="D1209"/>
      <c r="E1209"/>
    </row>
    <row r="1210" spans="1:5" x14ac:dyDescent="0.5">
      <c r="A1210"/>
      <c r="B1210"/>
      <c r="C1210"/>
      <c r="D1210"/>
      <c r="E1210"/>
    </row>
    <row r="1211" spans="1:5" x14ac:dyDescent="0.5">
      <c r="A1211"/>
      <c r="B1211"/>
      <c r="C1211"/>
      <c r="D1211"/>
      <c r="E1211"/>
    </row>
    <row r="1212" spans="1:5" x14ac:dyDescent="0.5">
      <c r="A1212"/>
      <c r="B1212"/>
      <c r="C1212"/>
      <c r="D1212"/>
      <c r="E1212"/>
    </row>
    <row r="1213" spans="1:5" x14ac:dyDescent="0.5">
      <c r="A1213"/>
      <c r="B1213"/>
      <c r="C1213"/>
      <c r="D1213"/>
      <c r="E1213"/>
    </row>
    <row r="1214" spans="1:5" x14ac:dyDescent="0.5">
      <c r="A1214"/>
      <c r="B1214"/>
      <c r="C1214"/>
      <c r="D1214"/>
      <c r="E1214"/>
    </row>
    <row r="1215" spans="1:5" x14ac:dyDescent="0.5">
      <c r="A1215"/>
      <c r="B1215"/>
      <c r="C1215"/>
      <c r="D1215"/>
      <c r="E1215"/>
    </row>
    <row r="1216" spans="1:5" x14ac:dyDescent="0.5">
      <c r="A1216"/>
      <c r="B1216"/>
      <c r="C1216"/>
      <c r="D1216"/>
      <c r="E1216"/>
    </row>
    <row r="1217" spans="1:5" x14ac:dyDescent="0.5">
      <c r="A1217"/>
      <c r="B1217"/>
      <c r="C1217"/>
      <c r="D1217"/>
      <c r="E1217"/>
    </row>
    <row r="1218" spans="1:5" x14ac:dyDescent="0.5">
      <c r="A1218"/>
      <c r="B1218"/>
      <c r="C1218"/>
      <c r="D1218"/>
      <c r="E1218"/>
    </row>
    <row r="1219" spans="1:5" x14ac:dyDescent="0.5">
      <c r="A1219"/>
      <c r="B1219"/>
      <c r="C1219"/>
      <c r="D1219"/>
      <c r="E1219"/>
    </row>
    <row r="1220" spans="1:5" x14ac:dyDescent="0.5">
      <c r="A1220"/>
      <c r="B1220"/>
      <c r="C1220"/>
      <c r="D1220"/>
      <c r="E1220"/>
    </row>
    <row r="1221" spans="1:5" x14ac:dyDescent="0.5">
      <c r="A1221"/>
      <c r="B1221"/>
      <c r="C1221"/>
      <c r="D1221"/>
      <c r="E1221"/>
    </row>
    <row r="1222" spans="1:5" x14ac:dyDescent="0.5">
      <c r="A1222"/>
      <c r="B1222"/>
      <c r="C1222"/>
      <c r="D1222"/>
      <c r="E1222"/>
    </row>
    <row r="1223" spans="1:5" x14ac:dyDescent="0.5">
      <c r="A1223"/>
      <c r="B1223"/>
      <c r="C1223"/>
      <c r="D1223"/>
      <c r="E1223"/>
    </row>
    <row r="1224" spans="1:5" x14ac:dyDescent="0.5">
      <c r="A1224"/>
      <c r="B1224"/>
      <c r="C1224"/>
      <c r="D1224"/>
      <c r="E1224"/>
    </row>
    <row r="1225" spans="1:5" x14ac:dyDescent="0.5">
      <c r="A1225"/>
      <c r="B1225"/>
      <c r="C1225"/>
      <c r="D1225"/>
      <c r="E1225"/>
    </row>
    <row r="1226" spans="1:5" x14ac:dyDescent="0.5">
      <c r="A1226"/>
      <c r="B1226"/>
      <c r="C1226"/>
      <c r="D1226"/>
      <c r="E1226"/>
    </row>
    <row r="1227" spans="1:5" x14ac:dyDescent="0.5">
      <c r="A1227"/>
      <c r="B1227"/>
      <c r="C1227"/>
      <c r="D1227"/>
      <c r="E1227"/>
    </row>
    <row r="1228" spans="1:5" x14ac:dyDescent="0.5">
      <c r="A1228"/>
      <c r="B1228"/>
      <c r="C1228"/>
      <c r="D1228"/>
      <c r="E1228"/>
    </row>
    <row r="1229" spans="1:5" x14ac:dyDescent="0.5">
      <c r="A1229"/>
      <c r="B1229"/>
      <c r="C1229"/>
      <c r="D1229"/>
      <c r="E1229"/>
    </row>
    <row r="1230" spans="1:5" x14ac:dyDescent="0.5">
      <c r="A1230"/>
      <c r="B1230"/>
      <c r="C1230"/>
      <c r="D1230"/>
      <c r="E1230"/>
    </row>
    <row r="1231" spans="1:5" x14ac:dyDescent="0.5">
      <c r="A1231"/>
      <c r="B1231"/>
      <c r="C1231"/>
      <c r="D1231"/>
      <c r="E1231"/>
    </row>
    <row r="1232" spans="1:5" x14ac:dyDescent="0.5">
      <c r="A1232"/>
      <c r="B1232"/>
      <c r="C1232"/>
      <c r="D1232"/>
      <c r="E1232"/>
    </row>
    <row r="1233" spans="1:5" x14ac:dyDescent="0.5">
      <c r="A1233"/>
      <c r="B1233"/>
      <c r="C1233"/>
      <c r="D1233"/>
      <c r="E1233"/>
    </row>
    <row r="1234" spans="1:5" x14ac:dyDescent="0.5">
      <c r="A1234"/>
      <c r="B1234"/>
      <c r="C1234"/>
      <c r="D1234"/>
      <c r="E1234"/>
    </row>
    <row r="1235" spans="1:5" x14ac:dyDescent="0.5">
      <c r="A1235"/>
      <c r="B1235"/>
      <c r="C1235"/>
      <c r="D1235"/>
      <c r="E1235"/>
    </row>
    <row r="1236" spans="1:5" x14ac:dyDescent="0.5">
      <c r="A1236"/>
      <c r="B1236"/>
      <c r="C1236"/>
      <c r="D1236"/>
      <c r="E1236"/>
    </row>
    <row r="1237" spans="1:5" x14ac:dyDescent="0.5">
      <c r="A1237"/>
      <c r="B1237"/>
      <c r="C1237"/>
      <c r="D1237"/>
      <c r="E1237"/>
    </row>
    <row r="1238" spans="1:5" x14ac:dyDescent="0.5">
      <c r="A1238"/>
      <c r="B1238"/>
      <c r="C1238"/>
      <c r="D1238"/>
      <c r="E1238"/>
    </row>
    <row r="1239" spans="1:5" x14ac:dyDescent="0.5">
      <c r="A1239"/>
      <c r="B1239"/>
      <c r="C1239"/>
      <c r="D1239"/>
      <c r="E1239"/>
    </row>
    <row r="1240" spans="1:5" x14ac:dyDescent="0.5">
      <c r="A1240"/>
      <c r="B1240"/>
      <c r="C1240"/>
      <c r="D1240"/>
      <c r="E1240"/>
    </row>
    <row r="1241" spans="1:5" x14ac:dyDescent="0.5">
      <c r="A1241"/>
      <c r="B1241"/>
      <c r="C1241"/>
      <c r="D1241"/>
      <c r="E1241"/>
    </row>
    <row r="1242" spans="1:5" x14ac:dyDescent="0.5">
      <c r="A1242"/>
      <c r="B1242"/>
      <c r="C1242"/>
      <c r="D1242"/>
      <c r="E1242"/>
    </row>
    <row r="1243" spans="1:5" x14ac:dyDescent="0.5">
      <c r="A1243"/>
      <c r="B1243"/>
      <c r="C1243"/>
      <c r="D1243"/>
      <c r="E1243"/>
    </row>
    <row r="1244" spans="1:5" x14ac:dyDescent="0.5">
      <c r="A1244"/>
      <c r="B1244"/>
      <c r="C1244"/>
      <c r="D1244"/>
      <c r="E1244"/>
    </row>
    <row r="1245" spans="1:5" x14ac:dyDescent="0.5">
      <c r="A1245"/>
      <c r="B1245"/>
      <c r="C1245"/>
      <c r="D1245"/>
      <c r="E1245"/>
    </row>
    <row r="1246" spans="1:5" x14ac:dyDescent="0.5">
      <c r="A1246"/>
      <c r="B1246"/>
      <c r="C1246"/>
      <c r="D1246"/>
      <c r="E1246"/>
    </row>
    <row r="1247" spans="1:5" x14ac:dyDescent="0.5">
      <c r="A1247"/>
      <c r="B1247"/>
      <c r="C1247"/>
      <c r="D1247"/>
      <c r="E1247"/>
    </row>
    <row r="1248" spans="1:5" x14ac:dyDescent="0.5">
      <c r="A1248"/>
      <c r="B1248"/>
      <c r="C1248"/>
      <c r="D1248"/>
      <c r="E1248"/>
    </row>
    <row r="1249" spans="1:5" x14ac:dyDescent="0.5">
      <c r="A1249"/>
      <c r="B1249"/>
      <c r="C1249"/>
      <c r="D1249"/>
      <c r="E1249"/>
    </row>
    <row r="1250" spans="1:5" x14ac:dyDescent="0.5">
      <c r="A1250"/>
      <c r="B1250"/>
      <c r="C1250"/>
      <c r="D1250"/>
      <c r="E1250"/>
    </row>
    <row r="1251" spans="1:5" x14ac:dyDescent="0.5">
      <c r="A1251"/>
      <c r="B1251"/>
      <c r="C1251"/>
      <c r="D1251"/>
      <c r="E1251"/>
    </row>
    <row r="1252" spans="1:5" x14ac:dyDescent="0.5">
      <c r="A1252"/>
      <c r="B1252"/>
      <c r="C1252"/>
      <c r="D1252"/>
      <c r="E1252"/>
    </row>
    <row r="1253" spans="1:5" x14ac:dyDescent="0.5">
      <c r="A1253"/>
      <c r="B1253"/>
      <c r="C1253"/>
      <c r="D1253"/>
      <c r="E1253"/>
    </row>
    <row r="1254" spans="1:5" x14ac:dyDescent="0.5">
      <c r="A1254"/>
      <c r="B1254"/>
      <c r="C1254"/>
      <c r="D1254"/>
      <c r="E1254"/>
    </row>
    <row r="1255" spans="1:5" x14ac:dyDescent="0.5">
      <c r="A1255"/>
      <c r="B1255"/>
      <c r="C1255"/>
      <c r="D1255"/>
      <c r="E1255"/>
    </row>
    <row r="1256" spans="1:5" x14ac:dyDescent="0.5">
      <c r="A1256"/>
      <c r="B1256"/>
      <c r="C1256"/>
      <c r="D1256"/>
      <c r="E1256"/>
    </row>
    <row r="1257" spans="1:5" x14ac:dyDescent="0.5">
      <c r="A1257"/>
      <c r="B1257"/>
      <c r="C1257"/>
      <c r="D1257"/>
      <c r="E1257"/>
    </row>
    <row r="1258" spans="1:5" x14ac:dyDescent="0.5">
      <c r="A1258"/>
      <c r="B1258"/>
      <c r="C1258"/>
      <c r="D1258"/>
      <c r="E1258"/>
    </row>
    <row r="1259" spans="1:5" x14ac:dyDescent="0.5">
      <c r="A1259"/>
      <c r="B1259"/>
      <c r="C1259"/>
      <c r="D1259"/>
      <c r="E1259"/>
    </row>
    <row r="1260" spans="1:5" x14ac:dyDescent="0.5">
      <c r="A1260"/>
      <c r="B1260"/>
      <c r="C1260"/>
      <c r="D1260"/>
      <c r="E1260"/>
    </row>
    <row r="1261" spans="1:5" x14ac:dyDescent="0.5">
      <c r="A1261"/>
      <c r="B1261"/>
      <c r="C1261"/>
      <c r="D1261"/>
      <c r="E1261"/>
    </row>
    <row r="1262" spans="1:5" x14ac:dyDescent="0.5">
      <c r="A1262"/>
      <c r="B1262"/>
      <c r="C1262"/>
      <c r="D1262"/>
      <c r="E1262"/>
    </row>
    <row r="1263" spans="1:5" x14ac:dyDescent="0.5">
      <c r="A1263"/>
      <c r="B1263"/>
      <c r="C1263"/>
      <c r="D1263"/>
      <c r="E1263"/>
    </row>
    <row r="1264" spans="1:5" x14ac:dyDescent="0.5">
      <c r="A1264"/>
      <c r="B1264"/>
      <c r="C1264"/>
      <c r="D1264"/>
      <c r="E1264"/>
    </row>
    <row r="1265" spans="1:5" x14ac:dyDescent="0.5">
      <c r="A1265"/>
      <c r="B1265"/>
      <c r="C1265"/>
      <c r="D1265"/>
      <c r="E1265"/>
    </row>
    <row r="1266" spans="1:5" x14ac:dyDescent="0.5">
      <c r="A1266"/>
      <c r="B1266"/>
      <c r="C1266"/>
      <c r="D1266"/>
      <c r="E1266"/>
    </row>
    <row r="1267" spans="1:5" x14ac:dyDescent="0.5">
      <c r="A1267"/>
      <c r="B1267"/>
      <c r="C1267"/>
      <c r="D1267"/>
      <c r="E1267"/>
    </row>
    <row r="1268" spans="1:5" x14ac:dyDescent="0.5">
      <c r="A1268"/>
      <c r="B1268"/>
      <c r="C1268"/>
      <c r="D1268"/>
      <c r="E1268"/>
    </row>
    <row r="1269" spans="1:5" x14ac:dyDescent="0.5">
      <c r="A1269"/>
      <c r="B1269"/>
      <c r="C1269"/>
      <c r="D1269"/>
      <c r="E1269"/>
    </row>
    <row r="1270" spans="1:5" x14ac:dyDescent="0.5">
      <c r="A1270"/>
      <c r="B1270"/>
      <c r="C1270"/>
      <c r="D1270"/>
      <c r="E1270"/>
    </row>
    <row r="1271" spans="1:5" x14ac:dyDescent="0.5">
      <c r="A1271"/>
      <c r="B1271"/>
      <c r="C1271"/>
      <c r="D1271"/>
      <c r="E1271"/>
    </row>
    <row r="1272" spans="1:5" x14ac:dyDescent="0.5">
      <c r="A1272"/>
      <c r="B1272"/>
      <c r="C1272"/>
      <c r="D1272"/>
      <c r="E1272"/>
    </row>
    <row r="1273" spans="1:5" x14ac:dyDescent="0.5">
      <c r="A1273"/>
      <c r="B1273"/>
      <c r="C1273"/>
      <c r="D1273"/>
      <c r="E1273"/>
    </row>
    <row r="1274" spans="1:5" x14ac:dyDescent="0.5">
      <c r="A1274"/>
      <c r="B1274"/>
      <c r="C1274"/>
      <c r="D1274"/>
      <c r="E1274"/>
    </row>
    <row r="1275" spans="1:5" x14ac:dyDescent="0.5">
      <c r="A1275"/>
      <c r="B1275"/>
      <c r="C1275"/>
      <c r="D1275"/>
      <c r="E1275"/>
    </row>
    <row r="1276" spans="1:5" x14ac:dyDescent="0.5">
      <c r="A1276"/>
      <c r="B1276"/>
      <c r="C1276"/>
      <c r="D1276"/>
      <c r="E1276"/>
    </row>
    <row r="1277" spans="1:5" x14ac:dyDescent="0.5">
      <c r="A1277"/>
      <c r="B1277"/>
      <c r="C1277"/>
      <c r="D1277"/>
      <c r="E1277"/>
    </row>
    <row r="1278" spans="1:5" x14ac:dyDescent="0.5">
      <c r="A1278"/>
      <c r="B1278"/>
      <c r="C1278"/>
      <c r="D1278"/>
      <c r="E1278"/>
    </row>
    <row r="1279" spans="1:5" x14ac:dyDescent="0.5">
      <c r="A1279"/>
      <c r="B1279"/>
      <c r="C1279"/>
      <c r="D1279"/>
      <c r="E1279"/>
    </row>
    <row r="1280" spans="1:5" x14ac:dyDescent="0.5">
      <c r="A1280"/>
      <c r="B1280"/>
      <c r="C1280"/>
      <c r="D1280"/>
      <c r="E1280"/>
    </row>
    <row r="1281" spans="1:5" x14ac:dyDescent="0.5">
      <c r="A1281"/>
      <c r="B1281"/>
      <c r="C1281"/>
      <c r="D1281"/>
      <c r="E1281"/>
    </row>
    <row r="1282" spans="1:5" x14ac:dyDescent="0.5">
      <c r="A1282"/>
      <c r="B1282"/>
      <c r="C1282"/>
      <c r="D1282"/>
      <c r="E1282"/>
    </row>
    <row r="1283" spans="1:5" x14ac:dyDescent="0.5">
      <c r="A1283"/>
      <c r="B1283"/>
      <c r="C1283"/>
      <c r="D1283"/>
      <c r="E1283"/>
    </row>
    <row r="1284" spans="1:5" x14ac:dyDescent="0.5">
      <c r="A1284"/>
      <c r="B1284"/>
      <c r="C1284"/>
      <c r="D1284"/>
      <c r="E1284"/>
    </row>
    <row r="1285" spans="1:5" x14ac:dyDescent="0.5">
      <c r="A1285"/>
      <c r="B1285"/>
      <c r="C1285"/>
      <c r="D1285"/>
      <c r="E1285"/>
    </row>
    <row r="1286" spans="1:5" x14ac:dyDescent="0.5">
      <c r="A1286"/>
      <c r="B1286"/>
      <c r="C1286"/>
      <c r="D1286"/>
      <c r="E1286"/>
    </row>
    <row r="1287" spans="1:5" x14ac:dyDescent="0.5">
      <c r="A1287"/>
      <c r="B1287"/>
      <c r="C1287"/>
      <c r="D1287"/>
      <c r="E1287"/>
    </row>
    <row r="1288" spans="1:5" x14ac:dyDescent="0.5">
      <c r="A1288"/>
      <c r="B1288"/>
      <c r="C1288"/>
      <c r="D1288"/>
      <c r="E1288"/>
    </row>
    <row r="1289" spans="1:5" x14ac:dyDescent="0.5">
      <c r="A1289"/>
      <c r="B1289"/>
      <c r="C1289"/>
      <c r="D1289"/>
      <c r="E1289"/>
    </row>
    <row r="1290" spans="1:5" x14ac:dyDescent="0.5">
      <c r="A1290"/>
      <c r="B1290"/>
      <c r="C1290"/>
      <c r="D1290"/>
      <c r="E1290"/>
    </row>
    <row r="1291" spans="1:5" x14ac:dyDescent="0.5">
      <c r="A1291"/>
      <c r="B1291"/>
      <c r="C1291"/>
      <c r="D1291"/>
      <c r="E1291"/>
    </row>
    <row r="1292" spans="1:5" x14ac:dyDescent="0.5">
      <c r="A1292"/>
      <c r="B1292"/>
      <c r="C1292"/>
      <c r="D1292"/>
      <c r="E1292"/>
    </row>
    <row r="1293" spans="1:5" x14ac:dyDescent="0.5">
      <c r="A1293"/>
      <c r="B1293"/>
      <c r="C1293"/>
      <c r="D1293"/>
      <c r="E1293"/>
    </row>
    <row r="1294" spans="1:5" x14ac:dyDescent="0.5">
      <c r="A1294"/>
      <c r="B1294"/>
      <c r="C1294"/>
      <c r="D1294"/>
      <c r="E1294"/>
    </row>
    <row r="1295" spans="1:5" x14ac:dyDescent="0.5">
      <c r="A1295"/>
      <c r="B1295"/>
      <c r="C1295"/>
      <c r="D1295"/>
      <c r="E1295"/>
    </row>
    <row r="1296" spans="1:5" x14ac:dyDescent="0.5">
      <c r="A1296"/>
      <c r="B1296"/>
      <c r="C1296"/>
      <c r="D1296"/>
      <c r="E1296"/>
    </row>
    <row r="1297" spans="1:5" x14ac:dyDescent="0.5">
      <c r="A1297"/>
      <c r="B1297"/>
      <c r="C1297"/>
      <c r="D1297"/>
      <c r="E1297"/>
    </row>
    <row r="1298" spans="1:5" x14ac:dyDescent="0.5">
      <c r="A1298"/>
      <c r="B1298"/>
      <c r="C1298"/>
      <c r="D1298"/>
      <c r="E1298"/>
    </row>
    <row r="1299" spans="1:5" x14ac:dyDescent="0.5">
      <c r="A1299"/>
      <c r="B1299"/>
      <c r="C1299"/>
      <c r="D1299"/>
      <c r="E1299"/>
    </row>
    <row r="1300" spans="1:5" x14ac:dyDescent="0.5">
      <c r="A1300"/>
      <c r="B1300"/>
      <c r="C1300"/>
      <c r="D1300"/>
      <c r="E1300"/>
    </row>
    <row r="1301" spans="1:5" x14ac:dyDescent="0.5">
      <c r="A1301"/>
      <c r="B1301"/>
      <c r="C1301"/>
      <c r="D1301"/>
      <c r="E1301"/>
    </row>
    <row r="1302" spans="1:5" x14ac:dyDescent="0.5">
      <c r="A1302"/>
      <c r="B1302"/>
      <c r="C1302"/>
      <c r="D1302"/>
      <c r="E1302"/>
    </row>
    <row r="1303" spans="1:5" x14ac:dyDescent="0.5">
      <c r="A1303"/>
      <c r="B1303"/>
      <c r="C1303"/>
      <c r="D1303"/>
      <c r="E1303"/>
    </row>
    <row r="1304" spans="1:5" x14ac:dyDescent="0.5">
      <c r="A1304"/>
      <c r="B1304"/>
      <c r="C1304"/>
      <c r="D1304"/>
      <c r="E1304"/>
    </row>
    <row r="1305" spans="1:5" x14ac:dyDescent="0.5">
      <c r="A1305"/>
      <c r="B1305"/>
      <c r="C1305"/>
      <c r="D1305"/>
      <c r="E1305"/>
    </row>
    <row r="1306" spans="1:5" x14ac:dyDescent="0.5">
      <c r="A1306"/>
      <c r="B1306"/>
      <c r="C1306"/>
      <c r="D1306"/>
      <c r="E1306"/>
    </row>
    <row r="1307" spans="1:5" x14ac:dyDescent="0.5">
      <c r="A1307"/>
      <c r="B1307"/>
      <c r="C1307"/>
      <c r="D1307"/>
      <c r="E1307"/>
    </row>
    <row r="1308" spans="1:5" x14ac:dyDescent="0.5">
      <c r="A1308"/>
      <c r="B1308"/>
      <c r="C1308"/>
      <c r="D1308"/>
      <c r="E1308"/>
    </row>
    <row r="1309" spans="1:5" x14ac:dyDescent="0.5">
      <c r="A1309"/>
      <c r="B1309"/>
      <c r="C1309"/>
      <c r="D1309"/>
      <c r="E1309"/>
    </row>
    <row r="1310" spans="1:5" x14ac:dyDescent="0.5">
      <c r="A1310"/>
      <c r="B1310"/>
      <c r="C1310"/>
      <c r="D1310"/>
      <c r="E1310"/>
    </row>
    <row r="1311" spans="1:5" x14ac:dyDescent="0.5">
      <c r="A1311"/>
      <c r="B1311"/>
      <c r="C1311"/>
      <c r="D1311"/>
      <c r="E1311"/>
    </row>
    <row r="1312" spans="1:5" x14ac:dyDescent="0.5">
      <c r="A1312"/>
      <c r="B1312"/>
      <c r="C1312"/>
      <c r="D1312"/>
      <c r="E1312"/>
    </row>
    <row r="1313" spans="1:5" x14ac:dyDescent="0.5">
      <c r="A1313"/>
      <c r="B1313"/>
      <c r="C1313"/>
      <c r="D1313"/>
      <c r="E1313"/>
    </row>
    <row r="1314" spans="1:5" x14ac:dyDescent="0.5">
      <c r="A1314"/>
      <c r="B1314"/>
      <c r="C1314"/>
      <c r="D1314"/>
      <c r="E1314"/>
    </row>
    <row r="1315" spans="1:5" x14ac:dyDescent="0.5">
      <c r="A1315"/>
      <c r="B1315"/>
      <c r="C1315"/>
      <c r="D1315"/>
      <c r="E1315"/>
    </row>
    <row r="1316" spans="1:5" x14ac:dyDescent="0.5">
      <c r="A1316"/>
      <c r="B1316"/>
      <c r="C1316"/>
      <c r="D1316"/>
      <c r="E1316"/>
    </row>
    <row r="1317" spans="1:5" x14ac:dyDescent="0.5">
      <c r="A1317"/>
      <c r="B1317"/>
      <c r="C1317"/>
      <c r="D1317"/>
      <c r="E1317"/>
    </row>
    <row r="1318" spans="1:5" x14ac:dyDescent="0.5">
      <c r="A1318"/>
      <c r="B1318"/>
      <c r="C1318"/>
      <c r="D1318"/>
      <c r="E1318"/>
    </row>
    <row r="1319" spans="1:5" x14ac:dyDescent="0.5">
      <c r="A1319"/>
      <c r="B1319"/>
      <c r="C1319"/>
      <c r="D1319"/>
      <c r="E1319"/>
    </row>
    <row r="1320" spans="1:5" x14ac:dyDescent="0.5">
      <c r="A1320"/>
      <c r="B1320"/>
      <c r="C1320"/>
      <c r="D1320"/>
      <c r="E1320"/>
    </row>
    <row r="1321" spans="1:5" x14ac:dyDescent="0.5">
      <c r="A1321"/>
      <c r="B1321"/>
      <c r="C1321"/>
      <c r="D1321"/>
      <c r="E1321"/>
    </row>
    <row r="1322" spans="1:5" x14ac:dyDescent="0.5">
      <c r="A1322"/>
      <c r="B1322"/>
      <c r="C1322"/>
      <c r="D1322"/>
      <c r="E1322"/>
    </row>
    <row r="1323" spans="1:5" x14ac:dyDescent="0.5">
      <c r="A1323"/>
      <c r="B1323"/>
      <c r="C1323"/>
      <c r="D1323"/>
      <c r="E1323"/>
    </row>
    <row r="1324" spans="1:5" x14ac:dyDescent="0.5">
      <c r="A1324"/>
      <c r="B1324"/>
      <c r="C1324"/>
      <c r="D1324"/>
      <c r="E1324"/>
    </row>
    <row r="1325" spans="1:5" x14ac:dyDescent="0.5">
      <c r="A1325"/>
      <c r="B1325"/>
      <c r="C1325"/>
      <c r="D1325"/>
      <c r="E1325"/>
    </row>
    <row r="1326" spans="1:5" x14ac:dyDescent="0.5">
      <c r="A1326"/>
      <c r="B1326"/>
      <c r="C1326"/>
      <c r="D1326"/>
      <c r="E1326"/>
    </row>
    <row r="1327" spans="1:5" x14ac:dyDescent="0.5">
      <c r="A1327"/>
      <c r="B1327"/>
      <c r="C1327"/>
      <c r="D1327"/>
      <c r="E1327"/>
    </row>
    <row r="1328" spans="1:5" x14ac:dyDescent="0.5">
      <c r="A1328"/>
      <c r="B1328"/>
      <c r="C1328"/>
      <c r="D1328"/>
      <c r="E1328"/>
    </row>
    <row r="1329" spans="1:5" x14ac:dyDescent="0.5">
      <c r="A1329"/>
      <c r="B1329"/>
      <c r="C1329"/>
      <c r="D1329"/>
      <c r="E1329"/>
    </row>
    <row r="1330" spans="1:5" x14ac:dyDescent="0.5">
      <c r="A1330"/>
      <c r="B1330"/>
      <c r="C1330"/>
      <c r="D1330"/>
      <c r="E1330"/>
    </row>
    <row r="1331" spans="1:5" x14ac:dyDescent="0.5">
      <c r="A1331"/>
      <c r="B1331"/>
      <c r="C1331"/>
      <c r="D1331"/>
      <c r="E1331"/>
    </row>
    <row r="1332" spans="1:5" x14ac:dyDescent="0.5">
      <c r="A1332"/>
      <c r="B1332"/>
      <c r="C1332"/>
      <c r="D1332"/>
      <c r="E1332"/>
    </row>
    <row r="1333" spans="1:5" x14ac:dyDescent="0.5">
      <c r="A1333"/>
      <c r="B1333"/>
      <c r="C1333"/>
      <c r="D1333"/>
      <c r="E1333"/>
    </row>
    <row r="1334" spans="1:5" x14ac:dyDescent="0.5">
      <c r="A1334"/>
      <c r="B1334"/>
      <c r="C1334"/>
      <c r="D1334"/>
      <c r="E1334"/>
    </row>
    <row r="1335" spans="1:5" x14ac:dyDescent="0.5">
      <c r="A1335"/>
      <c r="B1335"/>
      <c r="C1335"/>
      <c r="D1335"/>
      <c r="E1335"/>
    </row>
    <row r="1336" spans="1:5" x14ac:dyDescent="0.5">
      <c r="A1336"/>
      <c r="B1336"/>
      <c r="C1336"/>
      <c r="D1336"/>
      <c r="E1336"/>
    </row>
    <row r="1337" spans="1:5" x14ac:dyDescent="0.5">
      <c r="A1337"/>
      <c r="B1337"/>
      <c r="C1337"/>
      <c r="D1337"/>
      <c r="E1337"/>
    </row>
    <row r="1338" spans="1:5" x14ac:dyDescent="0.5">
      <c r="A1338"/>
      <c r="B1338"/>
      <c r="C1338"/>
      <c r="D1338"/>
      <c r="E1338"/>
    </row>
    <row r="1339" spans="1:5" x14ac:dyDescent="0.5">
      <c r="A1339"/>
      <c r="B1339"/>
      <c r="C1339"/>
      <c r="D1339"/>
      <c r="E1339"/>
    </row>
    <row r="1340" spans="1:5" x14ac:dyDescent="0.5">
      <c r="A1340"/>
      <c r="B1340"/>
      <c r="C1340"/>
      <c r="D1340"/>
      <c r="E1340"/>
    </row>
    <row r="1341" spans="1:5" x14ac:dyDescent="0.5">
      <c r="A1341"/>
      <c r="B1341"/>
      <c r="C1341"/>
      <c r="D1341"/>
      <c r="E1341"/>
    </row>
    <row r="1342" spans="1:5" x14ac:dyDescent="0.5">
      <c r="A1342"/>
      <c r="B1342"/>
      <c r="C1342"/>
      <c r="D1342"/>
      <c r="E1342"/>
    </row>
    <row r="1343" spans="1:5" x14ac:dyDescent="0.5">
      <c r="A1343"/>
      <c r="B1343"/>
      <c r="C1343"/>
      <c r="D1343"/>
      <c r="E1343"/>
    </row>
    <row r="1344" spans="1:5" x14ac:dyDescent="0.5">
      <c r="A1344"/>
      <c r="B1344"/>
      <c r="C1344"/>
      <c r="D1344"/>
      <c r="E1344"/>
    </row>
    <row r="1345" spans="1:5" x14ac:dyDescent="0.5">
      <c r="A1345"/>
      <c r="B1345"/>
      <c r="C1345"/>
      <c r="D1345"/>
      <c r="E1345"/>
    </row>
    <row r="1346" spans="1:5" x14ac:dyDescent="0.5">
      <c r="A1346"/>
      <c r="B1346"/>
      <c r="C1346"/>
      <c r="D1346"/>
      <c r="E1346"/>
    </row>
    <row r="1347" spans="1:5" x14ac:dyDescent="0.5">
      <c r="A1347"/>
      <c r="B1347"/>
      <c r="C1347"/>
      <c r="D1347"/>
      <c r="E1347"/>
    </row>
    <row r="1348" spans="1:5" x14ac:dyDescent="0.5">
      <c r="A1348"/>
      <c r="B1348"/>
      <c r="C1348"/>
      <c r="D1348"/>
      <c r="E1348"/>
    </row>
    <row r="1349" spans="1:5" x14ac:dyDescent="0.5">
      <c r="A1349"/>
      <c r="B1349"/>
      <c r="C1349"/>
      <c r="D1349"/>
      <c r="E1349"/>
    </row>
    <row r="1350" spans="1:5" x14ac:dyDescent="0.5">
      <c r="A1350"/>
      <c r="B1350"/>
      <c r="C1350"/>
      <c r="D1350"/>
      <c r="E1350"/>
    </row>
    <row r="1351" spans="1:5" x14ac:dyDescent="0.5">
      <c r="A1351"/>
      <c r="B1351"/>
      <c r="C1351"/>
      <c r="D1351"/>
      <c r="E1351"/>
    </row>
    <row r="1352" spans="1:5" x14ac:dyDescent="0.5">
      <c r="A1352"/>
      <c r="B1352"/>
      <c r="C1352"/>
      <c r="D1352"/>
      <c r="E1352"/>
    </row>
    <row r="1353" spans="1:5" x14ac:dyDescent="0.5">
      <c r="A1353"/>
      <c r="B1353"/>
      <c r="C1353"/>
      <c r="D1353"/>
      <c r="E1353"/>
    </row>
    <row r="1354" spans="1:5" x14ac:dyDescent="0.5">
      <c r="A1354"/>
      <c r="B1354"/>
      <c r="C1354"/>
      <c r="D1354"/>
      <c r="E1354"/>
    </row>
    <row r="1355" spans="1:5" x14ac:dyDescent="0.5">
      <c r="A1355"/>
      <c r="B1355"/>
      <c r="C1355"/>
      <c r="D1355"/>
      <c r="E1355"/>
    </row>
    <row r="1356" spans="1:5" x14ac:dyDescent="0.5">
      <c r="A1356"/>
      <c r="B1356"/>
      <c r="C1356"/>
      <c r="D1356"/>
      <c r="E1356"/>
    </row>
    <row r="1357" spans="1:5" x14ac:dyDescent="0.5">
      <c r="A1357"/>
      <c r="B1357"/>
      <c r="C1357"/>
      <c r="D1357"/>
      <c r="E1357"/>
    </row>
    <row r="1358" spans="1:5" x14ac:dyDescent="0.5">
      <c r="A1358"/>
      <c r="B1358"/>
      <c r="C1358"/>
      <c r="D1358"/>
      <c r="E1358"/>
    </row>
    <row r="1359" spans="1:5" x14ac:dyDescent="0.5">
      <c r="A1359"/>
      <c r="B1359"/>
      <c r="C1359"/>
      <c r="D1359"/>
      <c r="E1359"/>
    </row>
    <row r="1360" spans="1:5" x14ac:dyDescent="0.5">
      <c r="A1360"/>
      <c r="B1360"/>
      <c r="C1360"/>
      <c r="D1360"/>
      <c r="E1360"/>
    </row>
    <row r="1361" spans="1:5" x14ac:dyDescent="0.5">
      <c r="A1361"/>
      <c r="B1361"/>
      <c r="C1361"/>
      <c r="D1361"/>
      <c r="E1361"/>
    </row>
    <row r="1362" spans="1:5" x14ac:dyDescent="0.5">
      <c r="A1362"/>
      <c r="B1362"/>
      <c r="C1362"/>
      <c r="D1362"/>
      <c r="E1362"/>
    </row>
    <row r="1363" spans="1:5" x14ac:dyDescent="0.5">
      <c r="A1363"/>
      <c r="B1363"/>
      <c r="C1363"/>
      <c r="D1363"/>
      <c r="E1363"/>
    </row>
    <row r="1364" spans="1:5" x14ac:dyDescent="0.5">
      <c r="A1364"/>
      <c r="B1364"/>
      <c r="C1364"/>
      <c r="D1364"/>
      <c r="E1364"/>
    </row>
    <row r="1365" spans="1:5" x14ac:dyDescent="0.5">
      <c r="A1365"/>
      <c r="B1365"/>
      <c r="C1365"/>
      <c r="D1365"/>
      <c r="E1365"/>
    </row>
    <row r="1366" spans="1:5" x14ac:dyDescent="0.5">
      <c r="A1366"/>
      <c r="B1366"/>
      <c r="C1366"/>
      <c r="D1366"/>
      <c r="E1366"/>
    </row>
    <row r="1367" spans="1:5" x14ac:dyDescent="0.5">
      <c r="A1367"/>
      <c r="B1367"/>
      <c r="C1367"/>
      <c r="D1367"/>
      <c r="E1367"/>
    </row>
    <row r="1368" spans="1:5" x14ac:dyDescent="0.5">
      <c r="A1368"/>
      <c r="B1368"/>
      <c r="C1368"/>
      <c r="D1368"/>
      <c r="E1368"/>
    </row>
    <row r="1369" spans="1:5" x14ac:dyDescent="0.5">
      <c r="A1369"/>
      <c r="B1369"/>
      <c r="C1369"/>
      <c r="D1369"/>
      <c r="E1369"/>
    </row>
    <row r="1370" spans="1:5" x14ac:dyDescent="0.5">
      <c r="A1370"/>
      <c r="B1370"/>
      <c r="C1370"/>
      <c r="D1370"/>
      <c r="E1370"/>
    </row>
    <row r="1371" spans="1:5" x14ac:dyDescent="0.5">
      <c r="A1371"/>
      <c r="B1371"/>
      <c r="C1371"/>
      <c r="D1371"/>
      <c r="E1371"/>
    </row>
    <row r="1372" spans="1:5" x14ac:dyDescent="0.5">
      <c r="A1372"/>
      <c r="B1372"/>
      <c r="C1372"/>
      <c r="D1372"/>
      <c r="E1372"/>
    </row>
    <row r="1373" spans="1:5" x14ac:dyDescent="0.5">
      <c r="A1373"/>
      <c r="B1373"/>
      <c r="C1373"/>
      <c r="D1373"/>
      <c r="E1373"/>
    </row>
    <row r="1374" spans="1:5" x14ac:dyDescent="0.5">
      <c r="A1374"/>
      <c r="B1374"/>
      <c r="C1374"/>
      <c r="D1374"/>
      <c r="E1374"/>
    </row>
    <row r="1375" spans="1:5" x14ac:dyDescent="0.5">
      <c r="A1375"/>
      <c r="B1375"/>
      <c r="C1375"/>
      <c r="D1375"/>
      <c r="E1375"/>
    </row>
    <row r="1376" spans="1:5" x14ac:dyDescent="0.5">
      <c r="A1376"/>
      <c r="B1376"/>
      <c r="C1376"/>
      <c r="D1376"/>
      <c r="E1376"/>
    </row>
    <row r="1377" spans="1:5" x14ac:dyDescent="0.5">
      <c r="A1377"/>
      <c r="B1377"/>
      <c r="C1377"/>
      <c r="D1377"/>
      <c r="E1377"/>
    </row>
    <row r="1378" spans="1:5" x14ac:dyDescent="0.5">
      <c r="A1378"/>
      <c r="B1378"/>
      <c r="C1378"/>
      <c r="D1378"/>
      <c r="E1378"/>
    </row>
    <row r="1379" spans="1:5" x14ac:dyDescent="0.5">
      <c r="A1379"/>
      <c r="B1379"/>
      <c r="C1379"/>
      <c r="D1379"/>
      <c r="E1379"/>
    </row>
    <row r="1380" spans="1:5" x14ac:dyDescent="0.5">
      <c r="A1380"/>
      <c r="B1380"/>
      <c r="C1380"/>
      <c r="D1380"/>
      <c r="E1380"/>
    </row>
    <row r="1381" spans="1:5" x14ac:dyDescent="0.5">
      <c r="A1381"/>
      <c r="B1381"/>
      <c r="C1381"/>
      <c r="D1381"/>
      <c r="E1381"/>
    </row>
    <row r="1382" spans="1:5" x14ac:dyDescent="0.5">
      <c r="A1382"/>
      <c r="B1382"/>
      <c r="C1382"/>
      <c r="D1382"/>
      <c r="E1382"/>
    </row>
    <row r="1383" spans="1:5" x14ac:dyDescent="0.5">
      <c r="A1383"/>
      <c r="B1383"/>
      <c r="C1383"/>
      <c r="D1383"/>
      <c r="E1383"/>
    </row>
    <row r="1384" spans="1:5" x14ac:dyDescent="0.5">
      <c r="A1384"/>
      <c r="B1384"/>
      <c r="C1384"/>
      <c r="D1384"/>
      <c r="E1384"/>
    </row>
    <row r="1385" spans="1:5" x14ac:dyDescent="0.5">
      <c r="A1385"/>
      <c r="B1385"/>
      <c r="C1385"/>
      <c r="D1385"/>
      <c r="E1385"/>
    </row>
    <row r="1386" spans="1:5" x14ac:dyDescent="0.5">
      <c r="A1386"/>
      <c r="B1386"/>
      <c r="C1386"/>
      <c r="D1386"/>
      <c r="E1386"/>
    </row>
    <row r="1387" spans="1:5" x14ac:dyDescent="0.5">
      <c r="A1387"/>
      <c r="B1387"/>
      <c r="C1387"/>
      <c r="D1387"/>
      <c r="E1387"/>
    </row>
    <row r="1388" spans="1:5" x14ac:dyDescent="0.5">
      <c r="A1388"/>
      <c r="B1388"/>
      <c r="C1388"/>
      <c r="D1388"/>
      <c r="E1388"/>
    </row>
    <row r="1389" spans="1:5" x14ac:dyDescent="0.5">
      <c r="A1389"/>
      <c r="B1389"/>
      <c r="C1389"/>
      <c r="D1389"/>
      <c r="E1389"/>
    </row>
    <row r="1390" spans="1:5" x14ac:dyDescent="0.5">
      <c r="A1390"/>
      <c r="B1390"/>
      <c r="C1390"/>
      <c r="D1390"/>
      <c r="E1390"/>
    </row>
    <row r="1391" spans="1:5" x14ac:dyDescent="0.5">
      <c r="A1391"/>
      <c r="B1391"/>
      <c r="C1391"/>
      <c r="D1391"/>
      <c r="E1391"/>
    </row>
    <row r="1392" spans="1:5" x14ac:dyDescent="0.5">
      <c r="A1392"/>
      <c r="B1392"/>
      <c r="C1392"/>
      <c r="D1392"/>
      <c r="E1392"/>
    </row>
    <row r="1393" spans="1:5" x14ac:dyDescent="0.5">
      <c r="A1393"/>
      <c r="B1393"/>
      <c r="C1393"/>
      <c r="D1393"/>
      <c r="E1393"/>
    </row>
    <row r="1394" spans="1:5" x14ac:dyDescent="0.5">
      <c r="A1394"/>
      <c r="B1394"/>
      <c r="C1394"/>
      <c r="D1394"/>
      <c r="E1394"/>
    </row>
    <row r="1395" spans="1:5" x14ac:dyDescent="0.5">
      <c r="A1395"/>
      <c r="B1395"/>
      <c r="C1395"/>
      <c r="D1395"/>
      <c r="E1395"/>
    </row>
    <row r="1396" spans="1:5" x14ac:dyDescent="0.5">
      <c r="A1396"/>
      <c r="B1396"/>
      <c r="C1396"/>
      <c r="D1396"/>
      <c r="E1396"/>
    </row>
    <row r="1397" spans="1:5" x14ac:dyDescent="0.5">
      <c r="A1397"/>
      <c r="B1397"/>
      <c r="C1397"/>
      <c r="D1397"/>
      <c r="E1397"/>
    </row>
    <row r="1398" spans="1:5" x14ac:dyDescent="0.5">
      <c r="A1398"/>
      <c r="B1398"/>
      <c r="C1398"/>
      <c r="D1398"/>
      <c r="E1398"/>
    </row>
    <row r="1399" spans="1:5" x14ac:dyDescent="0.5">
      <c r="A1399"/>
      <c r="B1399"/>
      <c r="C1399"/>
      <c r="D1399"/>
      <c r="E1399"/>
    </row>
    <row r="1400" spans="1:5" x14ac:dyDescent="0.5">
      <c r="A1400"/>
      <c r="B1400"/>
      <c r="C1400"/>
      <c r="D1400"/>
      <c r="E1400"/>
    </row>
    <row r="1401" spans="1:5" x14ac:dyDescent="0.5">
      <c r="A1401"/>
      <c r="B1401"/>
      <c r="C1401"/>
      <c r="D1401"/>
      <c r="E1401"/>
    </row>
    <row r="1402" spans="1:5" x14ac:dyDescent="0.5">
      <c r="A1402"/>
      <c r="B1402"/>
      <c r="C1402"/>
      <c r="D1402"/>
      <c r="E1402"/>
    </row>
    <row r="1403" spans="1:5" x14ac:dyDescent="0.5">
      <c r="A1403"/>
      <c r="B1403"/>
      <c r="C1403"/>
      <c r="D1403"/>
      <c r="E1403"/>
    </row>
    <row r="1404" spans="1:5" x14ac:dyDescent="0.5">
      <c r="A1404"/>
      <c r="B1404"/>
      <c r="C1404"/>
      <c r="D1404"/>
      <c r="E1404"/>
    </row>
    <row r="1405" spans="1:5" x14ac:dyDescent="0.5">
      <c r="A1405"/>
      <c r="B1405"/>
      <c r="C1405"/>
      <c r="D1405"/>
      <c r="E1405"/>
    </row>
    <row r="1406" spans="1:5" x14ac:dyDescent="0.5">
      <c r="A1406"/>
      <c r="B1406"/>
      <c r="C1406"/>
      <c r="D1406"/>
      <c r="E1406"/>
    </row>
    <row r="1407" spans="1:5" x14ac:dyDescent="0.5">
      <c r="A1407"/>
      <c r="B1407"/>
      <c r="C1407"/>
      <c r="D1407"/>
      <c r="E1407"/>
    </row>
    <row r="1408" spans="1:5" x14ac:dyDescent="0.5">
      <c r="A1408"/>
      <c r="B1408"/>
      <c r="C1408"/>
      <c r="D1408"/>
      <c r="E1408"/>
    </row>
    <row r="1409" spans="1:5" x14ac:dyDescent="0.5">
      <c r="A1409"/>
      <c r="B1409"/>
      <c r="C1409"/>
      <c r="D1409"/>
      <c r="E1409"/>
    </row>
    <row r="1410" spans="1:5" x14ac:dyDescent="0.5">
      <c r="A1410"/>
      <c r="B1410"/>
      <c r="C1410"/>
      <c r="D1410"/>
      <c r="E1410"/>
    </row>
    <row r="1411" spans="1:5" x14ac:dyDescent="0.5">
      <c r="A1411"/>
      <c r="B1411"/>
      <c r="C1411"/>
      <c r="D1411"/>
      <c r="E1411"/>
    </row>
    <row r="1412" spans="1:5" x14ac:dyDescent="0.5">
      <c r="A1412"/>
      <c r="B1412"/>
      <c r="C1412"/>
      <c r="D1412"/>
      <c r="E1412"/>
    </row>
    <row r="1413" spans="1:5" x14ac:dyDescent="0.5">
      <c r="A1413"/>
      <c r="B1413"/>
      <c r="C1413"/>
      <c r="D1413"/>
      <c r="E1413"/>
    </row>
    <row r="1414" spans="1:5" x14ac:dyDescent="0.5">
      <c r="A1414"/>
      <c r="B1414"/>
      <c r="C1414"/>
      <c r="D1414"/>
      <c r="E1414"/>
    </row>
    <row r="1415" spans="1:5" x14ac:dyDescent="0.5">
      <c r="A1415"/>
      <c r="B1415"/>
      <c r="C1415"/>
      <c r="D1415"/>
      <c r="E1415"/>
    </row>
    <row r="1416" spans="1:5" x14ac:dyDescent="0.5">
      <c r="A1416"/>
      <c r="B1416"/>
      <c r="C1416"/>
      <c r="D1416"/>
      <c r="E1416"/>
    </row>
    <row r="1417" spans="1:5" x14ac:dyDescent="0.5">
      <c r="A1417"/>
      <c r="B1417"/>
      <c r="C1417"/>
      <c r="D1417"/>
      <c r="E1417"/>
    </row>
    <row r="1418" spans="1:5" x14ac:dyDescent="0.5">
      <c r="A1418"/>
      <c r="B1418"/>
      <c r="C1418"/>
      <c r="D1418"/>
      <c r="E1418"/>
    </row>
    <row r="1419" spans="1:5" x14ac:dyDescent="0.5">
      <c r="A1419"/>
      <c r="B1419"/>
      <c r="C1419"/>
      <c r="D1419"/>
      <c r="E1419"/>
    </row>
    <row r="1420" spans="1:5" x14ac:dyDescent="0.5">
      <c r="A1420"/>
      <c r="B1420"/>
      <c r="C1420"/>
      <c r="D1420"/>
      <c r="E1420"/>
    </row>
    <row r="1421" spans="1:5" x14ac:dyDescent="0.5">
      <c r="A1421"/>
      <c r="B1421"/>
      <c r="C1421"/>
      <c r="D1421"/>
      <c r="E1421"/>
    </row>
    <row r="1422" spans="1:5" x14ac:dyDescent="0.5">
      <c r="A1422"/>
      <c r="B1422"/>
      <c r="C1422"/>
      <c r="D1422"/>
      <c r="E1422"/>
    </row>
    <row r="1423" spans="1:5" x14ac:dyDescent="0.5">
      <c r="A1423"/>
      <c r="B1423"/>
      <c r="C1423"/>
      <c r="D1423"/>
      <c r="E1423"/>
    </row>
    <row r="1424" spans="1:5" x14ac:dyDescent="0.5">
      <c r="A1424"/>
      <c r="B1424"/>
      <c r="C1424"/>
      <c r="D1424"/>
      <c r="E1424"/>
    </row>
    <row r="1425" spans="1:5" x14ac:dyDescent="0.5">
      <c r="A1425"/>
      <c r="B1425"/>
      <c r="C1425"/>
      <c r="D1425"/>
      <c r="E1425"/>
    </row>
    <row r="1426" spans="1:5" x14ac:dyDescent="0.5">
      <c r="A1426"/>
      <c r="B1426"/>
      <c r="C1426"/>
      <c r="D1426"/>
      <c r="E1426"/>
    </row>
    <row r="1427" spans="1:5" x14ac:dyDescent="0.5">
      <c r="A1427"/>
      <c r="B1427"/>
      <c r="C1427"/>
      <c r="D1427"/>
      <c r="E1427"/>
    </row>
    <row r="1428" spans="1:5" x14ac:dyDescent="0.5">
      <c r="A1428"/>
      <c r="B1428"/>
      <c r="C1428"/>
      <c r="D1428"/>
      <c r="E1428"/>
    </row>
    <row r="1429" spans="1:5" x14ac:dyDescent="0.5">
      <c r="A1429"/>
      <c r="B1429"/>
      <c r="C1429"/>
      <c r="D1429"/>
      <c r="E1429"/>
    </row>
    <row r="1430" spans="1:5" x14ac:dyDescent="0.5">
      <c r="A1430"/>
      <c r="B1430"/>
      <c r="C1430"/>
      <c r="D1430"/>
      <c r="E1430"/>
    </row>
    <row r="1431" spans="1:5" x14ac:dyDescent="0.5">
      <c r="A1431"/>
      <c r="B1431"/>
      <c r="C1431"/>
      <c r="D1431"/>
      <c r="E1431"/>
    </row>
    <row r="1432" spans="1:5" x14ac:dyDescent="0.5">
      <c r="A1432"/>
      <c r="B1432"/>
      <c r="C1432"/>
      <c r="D1432"/>
      <c r="E1432"/>
    </row>
    <row r="1433" spans="1:5" x14ac:dyDescent="0.5">
      <c r="A1433"/>
      <c r="B1433"/>
      <c r="C1433"/>
      <c r="D1433"/>
      <c r="E1433"/>
    </row>
    <row r="1434" spans="1:5" x14ac:dyDescent="0.5">
      <c r="A1434"/>
      <c r="B1434"/>
      <c r="C1434"/>
      <c r="D1434"/>
      <c r="E1434"/>
    </row>
    <row r="1435" spans="1:5" x14ac:dyDescent="0.5">
      <c r="A1435"/>
      <c r="B1435"/>
      <c r="C1435"/>
      <c r="D1435"/>
      <c r="E1435"/>
    </row>
    <row r="1436" spans="1:5" x14ac:dyDescent="0.5">
      <c r="A1436"/>
      <c r="B1436"/>
      <c r="C1436"/>
      <c r="D1436"/>
      <c r="E1436"/>
    </row>
    <row r="1437" spans="1:5" x14ac:dyDescent="0.5">
      <c r="A1437"/>
      <c r="B1437"/>
      <c r="C1437"/>
      <c r="D1437"/>
      <c r="E1437"/>
    </row>
    <row r="1438" spans="1:5" x14ac:dyDescent="0.5">
      <c r="A1438"/>
      <c r="B1438"/>
      <c r="C1438"/>
      <c r="D1438"/>
      <c r="E1438"/>
    </row>
    <row r="1439" spans="1:5" x14ac:dyDescent="0.5">
      <c r="A1439"/>
      <c r="B1439"/>
      <c r="C1439"/>
      <c r="D1439"/>
      <c r="E1439"/>
    </row>
    <row r="1440" spans="1:5" x14ac:dyDescent="0.5">
      <c r="A1440"/>
      <c r="B1440"/>
      <c r="C1440"/>
      <c r="D1440"/>
      <c r="E1440"/>
    </row>
    <row r="1441" spans="1:5" x14ac:dyDescent="0.5">
      <c r="A1441"/>
      <c r="B1441"/>
      <c r="C1441"/>
      <c r="D1441"/>
      <c r="E1441"/>
    </row>
    <row r="1442" spans="1:5" x14ac:dyDescent="0.5">
      <c r="A1442"/>
      <c r="B1442"/>
      <c r="C1442"/>
      <c r="D1442"/>
      <c r="E1442"/>
    </row>
    <row r="1443" spans="1:5" x14ac:dyDescent="0.5">
      <c r="A1443"/>
      <c r="B1443"/>
      <c r="C1443"/>
      <c r="D1443"/>
      <c r="E1443"/>
    </row>
    <row r="1444" spans="1:5" x14ac:dyDescent="0.5">
      <c r="A1444"/>
      <c r="B1444"/>
      <c r="C1444"/>
      <c r="D1444"/>
      <c r="E1444"/>
    </row>
    <row r="1445" spans="1:5" x14ac:dyDescent="0.5">
      <c r="A1445"/>
      <c r="B1445"/>
      <c r="C1445"/>
      <c r="D1445"/>
      <c r="E1445"/>
    </row>
    <row r="1446" spans="1:5" x14ac:dyDescent="0.5">
      <c r="A1446"/>
      <c r="B1446"/>
      <c r="C1446"/>
      <c r="D1446"/>
      <c r="E1446"/>
    </row>
    <row r="1447" spans="1:5" x14ac:dyDescent="0.5">
      <c r="A1447"/>
      <c r="B1447"/>
      <c r="C1447"/>
      <c r="D1447"/>
      <c r="E1447"/>
    </row>
    <row r="1448" spans="1:5" x14ac:dyDescent="0.5">
      <c r="A1448"/>
      <c r="B1448"/>
      <c r="C1448"/>
      <c r="D1448"/>
      <c r="E1448"/>
    </row>
    <row r="1449" spans="1:5" x14ac:dyDescent="0.5">
      <c r="A1449"/>
      <c r="B1449"/>
      <c r="C1449"/>
      <c r="D1449"/>
      <c r="E1449"/>
    </row>
    <row r="1450" spans="1:5" x14ac:dyDescent="0.5">
      <c r="A1450"/>
      <c r="B1450"/>
      <c r="C1450"/>
      <c r="D1450"/>
      <c r="E1450"/>
    </row>
    <row r="1451" spans="1:5" x14ac:dyDescent="0.5">
      <c r="A1451"/>
      <c r="B1451"/>
      <c r="C1451"/>
      <c r="D1451"/>
      <c r="E1451"/>
    </row>
    <row r="1452" spans="1:5" x14ac:dyDescent="0.5">
      <c r="A1452"/>
      <c r="B1452"/>
      <c r="C1452"/>
      <c r="D1452"/>
      <c r="E1452"/>
    </row>
    <row r="1453" spans="1:5" x14ac:dyDescent="0.5">
      <c r="A1453"/>
      <c r="B1453"/>
      <c r="C1453"/>
      <c r="D1453"/>
      <c r="E1453"/>
    </row>
    <row r="1454" spans="1:5" x14ac:dyDescent="0.5">
      <c r="A1454"/>
      <c r="B1454"/>
      <c r="C1454"/>
      <c r="D1454"/>
      <c r="E1454"/>
    </row>
    <row r="1455" spans="1:5" x14ac:dyDescent="0.5">
      <c r="A1455"/>
      <c r="B1455"/>
      <c r="C1455"/>
      <c r="D1455"/>
      <c r="E1455"/>
    </row>
    <row r="1456" spans="1:5" x14ac:dyDescent="0.5">
      <c r="A1456"/>
      <c r="B1456"/>
      <c r="C1456"/>
      <c r="D1456"/>
      <c r="E1456"/>
    </row>
    <row r="1457" spans="1:5" x14ac:dyDescent="0.5">
      <c r="A1457"/>
      <c r="B1457"/>
      <c r="C1457"/>
      <c r="D1457"/>
      <c r="E1457"/>
    </row>
    <row r="1458" spans="1:5" x14ac:dyDescent="0.5">
      <c r="A1458"/>
      <c r="B1458"/>
      <c r="C1458"/>
      <c r="D1458"/>
      <c r="E1458"/>
    </row>
    <row r="1459" spans="1:5" x14ac:dyDescent="0.5">
      <c r="A1459"/>
      <c r="B1459"/>
      <c r="C1459"/>
      <c r="D1459"/>
      <c r="E1459"/>
    </row>
    <row r="1460" spans="1:5" x14ac:dyDescent="0.5">
      <c r="A1460"/>
      <c r="B1460"/>
      <c r="C1460"/>
      <c r="D1460"/>
      <c r="E1460"/>
    </row>
    <row r="1461" spans="1:5" x14ac:dyDescent="0.5">
      <c r="A1461"/>
      <c r="B1461"/>
      <c r="C1461"/>
      <c r="D1461"/>
      <c r="E1461"/>
    </row>
    <row r="1462" spans="1:5" x14ac:dyDescent="0.5">
      <c r="A1462"/>
      <c r="B1462"/>
      <c r="C1462"/>
      <c r="D1462"/>
      <c r="E1462"/>
    </row>
    <row r="1463" spans="1:5" x14ac:dyDescent="0.5">
      <c r="A1463"/>
      <c r="B1463"/>
      <c r="C1463"/>
      <c r="D1463"/>
      <c r="E1463"/>
    </row>
    <row r="1464" spans="1:5" x14ac:dyDescent="0.5">
      <c r="A1464"/>
      <c r="B1464"/>
      <c r="C1464"/>
      <c r="D1464"/>
      <c r="E1464"/>
    </row>
    <row r="1465" spans="1:5" x14ac:dyDescent="0.5">
      <c r="A1465"/>
      <c r="B1465"/>
      <c r="C1465"/>
      <c r="D1465"/>
      <c r="E1465"/>
    </row>
    <row r="1466" spans="1:5" x14ac:dyDescent="0.5">
      <c r="A1466"/>
      <c r="B1466"/>
      <c r="C1466"/>
      <c r="D1466"/>
      <c r="E1466"/>
    </row>
    <row r="1467" spans="1:5" x14ac:dyDescent="0.5">
      <c r="A1467"/>
      <c r="B1467"/>
      <c r="C1467"/>
      <c r="D1467"/>
      <c r="E1467"/>
    </row>
    <row r="1468" spans="1:5" x14ac:dyDescent="0.5">
      <c r="A1468"/>
      <c r="B1468"/>
      <c r="C1468"/>
      <c r="D1468"/>
      <c r="E1468"/>
    </row>
    <row r="1469" spans="1:5" x14ac:dyDescent="0.5">
      <c r="A1469"/>
      <c r="B1469"/>
      <c r="C1469"/>
      <c r="D1469"/>
      <c r="E1469"/>
    </row>
    <row r="1470" spans="1:5" x14ac:dyDescent="0.5">
      <c r="A1470"/>
      <c r="B1470"/>
      <c r="C1470"/>
      <c r="D1470"/>
      <c r="E1470"/>
    </row>
    <row r="1471" spans="1:5" x14ac:dyDescent="0.5">
      <c r="A1471"/>
      <c r="B1471"/>
      <c r="C1471"/>
      <c r="D1471"/>
      <c r="E1471"/>
    </row>
    <row r="1472" spans="1:5" x14ac:dyDescent="0.5">
      <c r="A1472"/>
      <c r="B1472"/>
      <c r="C1472"/>
      <c r="D1472"/>
      <c r="E1472"/>
    </row>
    <row r="1473" spans="1:5" x14ac:dyDescent="0.5">
      <c r="A1473"/>
      <c r="B1473"/>
      <c r="C1473"/>
      <c r="D1473"/>
      <c r="E1473"/>
    </row>
    <row r="1474" spans="1:5" x14ac:dyDescent="0.5">
      <c r="A1474"/>
      <c r="B1474"/>
      <c r="C1474"/>
      <c r="D1474"/>
      <c r="E1474"/>
    </row>
    <row r="1475" spans="1:5" x14ac:dyDescent="0.5">
      <c r="A1475"/>
      <c r="B1475"/>
      <c r="C1475"/>
      <c r="D1475"/>
      <c r="E1475"/>
    </row>
    <row r="1476" spans="1:5" x14ac:dyDescent="0.5">
      <c r="A1476"/>
      <c r="B1476"/>
      <c r="C1476"/>
      <c r="D1476"/>
      <c r="E1476"/>
    </row>
    <row r="1477" spans="1:5" x14ac:dyDescent="0.5">
      <c r="A1477"/>
      <c r="B1477"/>
      <c r="C1477"/>
      <c r="D1477"/>
      <c r="E1477"/>
    </row>
    <row r="1478" spans="1:5" x14ac:dyDescent="0.5">
      <c r="A1478"/>
      <c r="B1478"/>
      <c r="C1478"/>
      <c r="D1478"/>
      <c r="E1478"/>
    </row>
    <row r="1479" spans="1:5" x14ac:dyDescent="0.5">
      <c r="A1479"/>
      <c r="B1479"/>
      <c r="C1479"/>
      <c r="D1479"/>
      <c r="E1479"/>
    </row>
    <row r="1480" spans="1:5" x14ac:dyDescent="0.5">
      <c r="A1480"/>
      <c r="B1480"/>
      <c r="C1480"/>
      <c r="D1480"/>
      <c r="E1480"/>
    </row>
    <row r="1481" spans="1:5" x14ac:dyDescent="0.5">
      <c r="A1481"/>
      <c r="B1481"/>
      <c r="C1481"/>
      <c r="D1481"/>
      <c r="E1481"/>
    </row>
    <row r="1482" spans="1:5" x14ac:dyDescent="0.5">
      <c r="A1482"/>
      <c r="B1482"/>
      <c r="C1482"/>
      <c r="D1482"/>
      <c r="E1482"/>
    </row>
    <row r="1483" spans="1:5" x14ac:dyDescent="0.5">
      <c r="A1483"/>
      <c r="B1483"/>
      <c r="C1483"/>
      <c r="D1483"/>
      <c r="E1483"/>
    </row>
    <row r="1484" spans="1:5" x14ac:dyDescent="0.5">
      <c r="A1484"/>
      <c r="B1484"/>
      <c r="C1484"/>
      <c r="D1484"/>
      <c r="E1484"/>
    </row>
    <row r="1485" spans="1:5" x14ac:dyDescent="0.5">
      <c r="A1485"/>
      <c r="B1485"/>
      <c r="C1485"/>
      <c r="D1485"/>
      <c r="E1485"/>
    </row>
    <row r="1486" spans="1:5" x14ac:dyDescent="0.5">
      <c r="A1486"/>
      <c r="B1486"/>
      <c r="C1486"/>
      <c r="D1486"/>
      <c r="E1486"/>
    </row>
    <row r="1487" spans="1:5" x14ac:dyDescent="0.5">
      <c r="A1487"/>
      <c r="B1487"/>
      <c r="C1487"/>
      <c r="D1487"/>
      <c r="E1487"/>
    </row>
    <row r="1488" spans="1:5" x14ac:dyDescent="0.5">
      <c r="A1488"/>
      <c r="B1488"/>
      <c r="C1488"/>
      <c r="D1488"/>
      <c r="E1488"/>
    </row>
    <row r="1489" spans="1:5" x14ac:dyDescent="0.5">
      <c r="A1489"/>
      <c r="B1489"/>
      <c r="C1489"/>
      <c r="D1489"/>
      <c r="E1489"/>
    </row>
    <row r="1490" spans="1:5" x14ac:dyDescent="0.5">
      <c r="A1490"/>
      <c r="B1490"/>
      <c r="C1490"/>
      <c r="D1490"/>
      <c r="E1490"/>
    </row>
    <row r="1491" spans="1:5" x14ac:dyDescent="0.5">
      <c r="A1491"/>
      <c r="B1491"/>
      <c r="C1491"/>
      <c r="D1491"/>
      <c r="E1491"/>
    </row>
    <row r="1492" spans="1:5" x14ac:dyDescent="0.5">
      <c r="A1492"/>
      <c r="B1492"/>
      <c r="C1492"/>
      <c r="D1492"/>
      <c r="E1492"/>
    </row>
    <row r="1493" spans="1:5" x14ac:dyDescent="0.5">
      <c r="A1493"/>
      <c r="B1493"/>
      <c r="C1493"/>
      <c r="D1493"/>
      <c r="E1493"/>
    </row>
    <row r="1494" spans="1:5" x14ac:dyDescent="0.5">
      <c r="A1494"/>
      <c r="B1494"/>
      <c r="C1494"/>
      <c r="D1494"/>
      <c r="E1494"/>
    </row>
    <row r="1495" spans="1:5" x14ac:dyDescent="0.5">
      <c r="A1495"/>
      <c r="B1495"/>
      <c r="C1495"/>
      <c r="D1495"/>
      <c r="E1495"/>
    </row>
    <row r="1496" spans="1:5" x14ac:dyDescent="0.5">
      <c r="A1496"/>
      <c r="B1496"/>
      <c r="C1496"/>
      <c r="D1496"/>
      <c r="E1496"/>
    </row>
    <row r="1497" spans="1:5" x14ac:dyDescent="0.5">
      <c r="A1497"/>
      <c r="B1497"/>
      <c r="C1497"/>
      <c r="D1497"/>
      <c r="E1497"/>
    </row>
    <row r="1498" spans="1:5" x14ac:dyDescent="0.5">
      <c r="A1498"/>
      <c r="B1498"/>
      <c r="C1498"/>
      <c r="D1498"/>
      <c r="E1498"/>
    </row>
    <row r="1499" spans="1:5" x14ac:dyDescent="0.5">
      <c r="A1499"/>
      <c r="B1499"/>
      <c r="C1499"/>
      <c r="D1499"/>
      <c r="E1499"/>
    </row>
    <row r="1500" spans="1:5" x14ac:dyDescent="0.5">
      <c r="A1500"/>
      <c r="B1500"/>
      <c r="C1500"/>
      <c r="D1500"/>
      <c r="E1500"/>
    </row>
    <row r="1501" spans="1:5" x14ac:dyDescent="0.5">
      <c r="A1501"/>
      <c r="B1501"/>
      <c r="C1501"/>
      <c r="D1501"/>
      <c r="E1501"/>
    </row>
    <row r="1502" spans="1:5" x14ac:dyDescent="0.5">
      <c r="A1502"/>
      <c r="B1502"/>
      <c r="C1502"/>
      <c r="D1502"/>
      <c r="E1502"/>
    </row>
    <row r="1503" spans="1:5" x14ac:dyDescent="0.5">
      <c r="A1503"/>
      <c r="B1503"/>
      <c r="C1503"/>
      <c r="D1503"/>
      <c r="E1503"/>
    </row>
    <row r="1504" spans="1:5" x14ac:dyDescent="0.5">
      <c r="A1504"/>
      <c r="B1504"/>
      <c r="C1504"/>
      <c r="D1504"/>
      <c r="E1504"/>
    </row>
    <row r="1505" spans="1:5" x14ac:dyDescent="0.5">
      <c r="A1505"/>
      <c r="B1505"/>
      <c r="C1505"/>
      <c r="D1505"/>
      <c r="E1505"/>
    </row>
    <row r="1506" spans="1:5" x14ac:dyDescent="0.5">
      <c r="A1506"/>
      <c r="B1506"/>
      <c r="C1506"/>
      <c r="D1506"/>
      <c r="E1506"/>
    </row>
    <row r="1507" spans="1:5" x14ac:dyDescent="0.5">
      <c r="A1507"/>
      <c r="B1507"/>
      <c r="C1507"/>
      <c r="D1507"/>
      <c r="E1507"/>
    </row>
    <row r="1508" spans="1:5" x14ac:dyDescent="0.5">
      <c r="A1508"/>
      <c r="B1508"/>
      <c r="C1508"/>
      <c r="D1508"/>
      <c r="E1508"/>
    </row>
    <row r="1509" spans="1:5" x14ac:dyDescent="0.5">
      <c r="A1509"/>
      <c r="B1509"/>
      <c r="C1509"/>
      <c r="D1509"/>
      <c r="E1509"/>
    </row>
    <row r="1510" spans="1:5" x14ac:dyDescent="0.5">
      <c r="A1510"/>
      <c r="B1510"/>
      <c r="C1510"/>
      <c r="D1510"/>
      <c r="E1510"/>
    </row>
    <row r="1511" spans="1:5" x14ac:dyDescent="0.5">
      <c r="A1511"/>
      <c r="B1511"/>
      <c r="C1511"/>
      <c r="D1511"/>
      <c r="E1511"/>
    </row>
    <row r="1512" spans="1:5" x14ac:dyDescent="0.5">
      <c r="A1512"/>
      <c r="B1512"/>
      <c r="C1512"/>
      <c r="D1512"/>
      <c r="E1512"/>
    </row>
    <row r="1513" spans="1:5" x14ac:dyDescent="0.5">
      <c r="A1513"/>
      <c r="B1513"/>
      <c r="C1513"/>
      <c r="D1513"/>
      <c r="E1513"/>
    </row>
    <row r="1514" spans="1:5" x14ac:dyDescent="0.5">
      <c r="A1514"/>
      <c r="B1514"/>
      <c r="C1514"/>
      <c r="D1514"/>
      <c r="E1514"/>
    </row>
    <row r="1515" spans="1:5" x14ac:dyDescent="0.5">
      <c r="A1515"/>
      <c r="B1515"/>
      <c r="C1515"/>
      <c r="D1515"/>
      <c r="E1515"/>
    </row>
    <row r="1516" spans="1:5" x14ac:dyDescent="0.5">
      <c r="A1516"/>
      <c r="B1516"/>
      <c r="C1516"/>
      <c r="D1516"/>
      <c r="E1516"/>
    </row>
    <row r="1517" spans="1:5" x14ac:dyDescent="0.5">
      <c r="A1517"/>
      <c r="B1517"/>
      <c r="C1517"/>
      <c r="D1517"/>
      <c r="E1517"/>
    </row>
    <row r="1518" spans="1:5" x14ac:dyDescent="0.5">
      <c r="A1518"/>
      <c r="B1518"/>
      <c r="C1518"/>
      <c r="D1518"/>
      <c r="E1518"/>
    </row>
    <row r="1519" spans="1:5" x14ac:dyDescent="0.5">
      <c r="A1519"/>
      <c r="B1519"/>
      <c r="C1519"/>
      <c r="D1519"/>
      <c r="E1519"/>
    </row>
    <row r="1520" spans="1:5" x14ac:dyDescent="0.5">
      <c r="A1520"/>
      <c r="B1520"/>
      <c r="C1520"/>
      <c r="D1520"/>
      <c r="E1520"/>
    </row>
    <row r="1521" spans="1:5" x14ac:dyDescent="0.5">
      <c r="A1521"/>
      <c r="B1521"/>
      <c r="C1521"/>
      <c r="D1521"/>
      <c r="E1521"/>
    </row>
    <row r="1522" spans="1:5" x14ac:dyDescent="0.5">
      <c r="A1522"/>
      <c r="B1522"/>
      <c r="C1522"/>
      <c r="D1522"/>
      <c r="E1522"/>
    </row>
    <row r="1523" spans="1:5" x14ac:dyDescent="0.5">
      <c r="A1523"/>
      <c r="B1523"/>
      <c r="C1523"/>
      <c r="D1523"/>
      <c r="E1523"/>
    </row>
    <row r="1524" spans="1:5" x14ac:dyDescent="0.5">
      <c r="A1524"/>
      <c r="B1524"/>
      <c r="C1524"/>
      <c r="D1524"/>
      <c r="E1524"/>
    </row>
    <row r="1525" spans="1:5" x14ac:dyDescent="0.5">
      <c r="A1525"/>
      <c r="B1525"/>
      <c r="C1525"/>
      <c r="D1525"/>
      <c r="E1525"/>
    </row>
    <row r="1526" spans="1:5" x14ac:dyDescent="0.5">
      <c r="A1526"/>
      <c r="B1526"/>
      <c r="C1526"/>
      <c r="D1526"/>
      <c r="E1526"/>
    </row>
    <row r="1527" spans="1:5" x14ac:dyDescent="0.5">
      <c r="A1527"/>
      <c r="B1527"/>
      <c r="C1527"/>
      <c r="D1527"/>
      <c r="E1527"/>
    </row>
    <row r="1528" spans="1:5" x14ac:dyDescent="0.5">
      <c r="A1528"/>
      <c r="B1528"/>
      <c r="C1528"/>
      <c r="D1528"/>
      <c r="E1528"/>
    </row>
    <row r="1529" spans="1:5" x14ac:dyDescent="0.5">
      <c r="A1529"/>
      <c r="B1529"/>
      <c r="C1529"/>
      <c r="D1529"/>
      <c r="E1529"/>
    </row>
    <row r="1530" spans="1:5" x14ac:dyDescent="0.5">
      <c r="A1530"/>
      <c r="B1530"/>
      <c r="C1530"/>
      <c r="D1530"/>
      <c r="E1530"/>
    </row>
    <row r="1531" spans="1:5" x14ac:dyDescent="0.5">
      <c r="A1531"/>
      <c r="B1531"/>
      <c r="C1531"/>
      <c r="D1531"/>
      <c r="E1531"/>
    </row>
    <row r="1532" spans="1:5" x14ac:dyDescent="0.5">
      <c r="A1532"/>
      <c r="B1532"/>
      <c r="C1532"/>
      <c r="D1532"/>
      <c r="E1532"/>
    </row>
    <row r="1533" spans="1:5" x14ac:dyDescent="0.5">
      <c r="A1533"/>
      <c r="B1533"/>
      <c r="C1533"/>
      <c r="D1533"/>
      <c r="E1533"/>
    </row>
    <row r="1534" spans="1:5" x14ac:dyDescent="0.5">
      <c r="A1534"/>
      <c r="B1534"/>
      <c r="C1534"/>
      <c r="D1534"/>
      <c r="E1534"/>
    </row>
    <row r="1535" spans="1:5" x14ac:dyDescent="0.5">
      <c r="A1535"/>
      <c r="B1535"/>
      <c r="C1535"/>
      <c r="D1535"/>
      <c r="E1535"/>
    </row>
    <row r="1536" spans="1:5" x14ac:dyDescent="0.5">
      <c r="A1536"/>
      <c r="B1536"/>
      <c r="C1536"/>
      <c r="D1536"/>
      <c r="E1536"/>
    </row>
    <row r="1537" spans="1:5" x14ac:dyDescent="0.5">
      <c r="A1537"/>
      <c r="B1537"/>
      <c r="C1537"/>
      <c r="D1537"/>
      <c r="E1537"/>
    </row>
    <row r="1538" spans="1:5" x14ac:dyDescent="0.5">
      <c r="A1538"/>
      <c r="B1538"/>
      <c r="C1538"/>
      <c r="D1538"/>
      <c r="E1538"/>
    </row>
    <row r="1539" spans="1:5" x14ac:dyDescent="0.5">
      <c r="A1539"/>
      <c r="B1539"/>
      <c r="C1539"/>
      <c r="D1539"/>
      <c r="E1539"/>
    </row>
    <row r="1540" spans="1:5" x14ac:dyDescent="0.5">
      <c r="A1540"/>
      <c r="B1540"/>
      <c r="C1540"/>
      <c r="D1540"/>
      <c r="E1540"/>
    </row>
    <row r="1541" spans="1:5" x14ac:dyDescent="0.5">
      <c r="A1541"/>
      <c r="B1541"/>
      <c r="C1541"/>
      <c r="D1541"/>
      <c r="E1541"/>
    </row>
    <row r="1542" spans="1:5" x14ac:dyDescent="0.5">
      <c r="A1542"/>
      <c r="B1542"/>
      <c r="C1542"/>
      <c r="D1542"/>
      <c r="E1542"/>
    </row>
    <row r="1543" spans="1:5" x14ac:dyDescent="0.5">
      <c r="A1543"/>
      <c r="B1543"/>
      <c r="C1543"/>
      <c r="D1543"/>
      <c r="E1543"/>
    </row>
    <row r="1544" spans="1:5" x14ac:dyDescent="0.5">
      <c r="A1544"/>
      <c r="B1544"/>
      <c r="C1544"/>
      <c r="D1544"/>
      <c r="E1544"/>
    </row>
    <row r="1545" spans="1:5" x14ac:dyDescent="0.5">
      <c r="A1545"/>
      <c r="B1545"/>
      <c r="C1545"/>
      <c r="D1545"/>
      <c r="E1545"/>
    </row>
    <row r="1546" spans="1:5" x14ac:dyDescent="0.5">
      <c r="A1546"/>
      <c r="B1546"/>
      <c r="C1546"/>
      <c r="D1546"/>
      <c r="E1546"/>
    </row>
    <row r="1547" spans="1:5" x14ac:dyDescent="0.5">
      <c r="A1547"/>
      <c r="B1547"/>
      <c r="C1547"/>
      <c r="D1547"/>
      <c r="E1547"/>
    </row>
    <row r="1548" spans="1:5" x14ac:dyDescent="0.5">
      <c r="A1548"/>
      <c r="B1548"/>
      <c r="C1548"/>
      <c r="D1548"/>
      <c r="E1548"/>
    </row>
    <row r="1549" spans="1:5" x14ac:dyDescent="0.5">
      <c r="A1549"/>
      <c r="B1549"/>
      <c r="C1549"/>
      <c r="D1549"/>
      <c r="E1549"/>
    </row>
    <row r="1550" spans="1:5" x14ac:dyDescent="0.5">
      <c r="A1550"/>
      <c r="B1550"/>
      <c r="C1550"/>
      <c r="D1550"/>
      <c r="E1550"/>
    </row>
    <row r="1551" spans="1:5" x14ac:dyDescent="0.5">
      <c r="A1551"/>
      <c r="B1551"/>
      <c r="C1551"/>
      <c r="D1551"/>
      <c r="E1551"/>
    </row>
    <row r="1552" spans="1:5" x14ac:dyDescent="0.5">
      <c r="A1552"/>
      <c r="B1552"/>
      <c r="C1552"/>
      <c r="D1552"/>
      <c r="E1552"/>
    </row>
    <row r="1553" spans="1:5" x14ac:dyDescent="0.5">
      <c r="A1553"/>
      <c r="B1553"/>
      <c r="C1553"/>
      <c r="D1553"/>
      <c r="E1553"/>
    </row>
    <row r="1554" spans="1:5" x14ac:dyDescent="0.5">
      <c r="A1554"/>
      <c r="B1554"/>
      <c r="C1554"/>
      <c r="D1554"/>
      <c r="E1554"/>
    </row>
    <row r="1555" spans="1:5" x14ac:dyDescent="0.5">
      <c r="A1555"/>
      <c r="B1555"/>
      <c r="C1555"/>
      <c r="D1555"/>
      <c r="E1555"/>
    </row>
    <row r="1556" spans="1:5" x14ac:dyDescent="0.5">
      <c r="A1556"/>
      <c r="B1556"/>
      <c r="C1556"/>
      <c r="D1556"/>
      <c r="E1556"/>
    </row>
    <row r="1557" spans="1:5" x14ac:dyDescent="0.5">
      <c r="A1557"/>
      <c r="B1557"/>
      <c r="C1557"/>
      <c r="D1557"/>
      <c r="E1557"/>
    </row>
    <row r="1558" spans="1:5" x14ac:dyDescent="0.5">
      <c r="A1558"/>
      <c r="B1558"/>
      <c r="C1558"/>
      <c r="D1558"/>
      <c r="E1558"/>
    </row>
    <row r="1559" spans="1:5" x14ac:dyDescent="0.5">
      <c r="A1559"/>
      <c r="B1559"/>
      <c r="C1559"/>
      <c r="D1559"/>
      <c r="E1559"/>
    </row>
    <row r="1560" spans="1:5" x14ac:dyDescent="0.5">
      <c r="A1560"/>
      <c r="B1560"/>
      <c r="C1560"/>
      <c r="D1560"/>
      <c r="E1560"/>
    </row>
    <row r="1561" spans="1:5" x14ac:dyDescent="0.5">
      <c r="A1561"/>
      <c r="B1561"/>
      <c r="C1561"/>
      <c r="D1561"/>
      <c r="E1561"/>
    </row>
    <row r="1562" spans="1:5" x14ac:dyDescent="0.5">
      <c r="A1562"/>
      <c r="B1562"/>
      <c r="C1562"/>
      <c r="D1562"/>
      <c r="E1562"/>
    </row>
    <row r="1563" spans="1:5" x14ac:dyDescent="0.5">
      <c r="A1563"/>
      <c r="B1563"/>
      <c r="C1563"/>
      <c r="D1563"/>
      <c r="E1563"/>
    </row>
    <row r="1564" spans="1:5" x14ac:dyDescent="0.5">
      <c r="A1564"/>
      <c r="B1564"/>
      <c r="C1564"/>
      <c r="D1564"/>
      <c r="E1564"/>
    </row>
    <row r="1565" spans="1:5" x14ac:dyDescent="0.5">
      <c r="A1565"/>
      <c r="B1565"/>
      <c r="C1565"/>
      <c r="D1565"/>
      <c r="E1565"/>
    </row>
    <row r="1566" spans="1:5" x14ac:dyDescent="0.5">
      <c r="A1566"/>
      <c r="B1566"/>
      <c r="C1566"/>
      <c r="D1566"/>
      <c r="E1566"/>
    </row>
    <row r="1567" spans="1:5" x14ac:dyDescent="0.5">
      <c r="A1567"/>
      <c r="B1567"/>
      <c r="C1567"/>
      <c r="D1567"/>
      <c r="E1567"/>
    </row>
    <row r="1568" spans="1:5" x14ac:dyDescent="0.5">
      <c r="A1568"/>
      <c r="B1568"/>
      <c r="C1568"/>
      <c r="D1568"/>
      <c r="E1568"/>
    </row>
    <row r="1569" spans="1:5" x14ac:dyDescent="0.5">
      <c r="A1569"/>
      <c r="B1569"/>
      <c r="C1569"/>
      <c r="D1569"/>
      <c r="E1569"/>
    </row>
    <row r="1570" spans="1:5" x14ac:dyDescent="0.5">
      <c r="A1570"/>
      <c r="B1570"/>
      <c r="C1570"/>
      <c r="D1570"/>
      <c r="E1570"/>
    </row>
    <row r="1571" spans="1:5" x14ac:dyDescent="0.5">
      <c r="A1571"/>
      <c r="B1571"/>
      <c r="C1571"/>
      <c r="D1571"/>
      <c r="E1571"/>
    </row>
    <row r="1572" spans="1:5" x14ac:dyDescent="0.5">
      <c r="A1572"/>
      <c r="B1572"/>
      <c r="C1572"/>
      <c r="D1572"/>
      <c r="E1572"/>
    </row>
    <row r="1573" spans="1:5" x14ac:dyDescent="0.5">
      <c r="A1573"/>
      <c r="B1573"/>
      <c r="C1573"/>
      <c r="D1573"/>
      <c r="E1573"/>
    </row>
    <row r="1574" spans="1:5" x14ac:dyDescent="0.5">
      <c r="A1574"/>
      <c r="B1574"/>
      <c r="C1574"/>
      <c r="D1574"/>
      <c r="E1574"/>
    </row>
    <row r="1575" spans="1:5" x14ac:dyDescent="0.5">
      <c r="A1575"/>
      <c r="B1575"/>
      <c r="C1575"/>
      <c r="D1575"/>
      <c r="E1575"/>
    </row>
    <row r="1576" spans="1:5" x14ac:dyDescent="0.5">
      <c r="A1576"/>
      <c r="B1576"/>
      <c r="C1576"/>
      <c r="D1576"/>
      <c r="E1576"/>
    </row>
    <row r="1577" spans="1:5" x14ac:dyDescent="0.5">
      <c r="A1577"/>
      <c r="B1577"/>
      <c r="C1577"/>
      <c r="D1577"/>
      <c r="E1577"/>
    </row>
    <row r="1578" spans="1:5" x14ac:dyDescent="0.5">
      <c r="A1578"/>
      <c r="B1578"/>
      <c r="C1578"/>
      <c r="D1578"/>
      <c r="E1578"/>
    </row>
    <row r="1579" spans="1:5" x14ac:dyDescent="0.5">
      <c r="A1579"/>
      <c r="B1579"/>
      <c r="C1579"/>
      <c r="D1579"/>
      <c r="E1579"/>
    </row>
    <row r="1580" spans="1:5" x14ac:dyDescent="0.5">
      <c r="A1580"/>
      <c r="B1580"/>
      <c r="C1580"/>
      <c r="D1580"/>
      <c r="E1580"/>
    </row>
    <row r="1581" spans="1:5" x14ac:dyDescent="0.5">
      <c r="A1581"/>
      <c r="B1581"/>
      <c r="C1581"/>
      <c r="D1581"/>
      <c r="E1581"/>
    </row>
    <row r="1582" spans="1:5" x14ac:dyDescent="0.5">
      <c r="A1582"/>
      <c r="B1582"/>
      <c r="C1582"/>
      <c r="D1582"/>
      <c r="E1582"/>
    </row>
    <row r="1583" spans="1:5" x14ac:dyDescent="0.5">
      <c r="A1583"/>
      <c r="B1583"/>
      <c r="C1583"/>
      <c r="D1583"/>
      <c r="E1583"/>
    </row>
    <row r="1584" spans="1:5" x14ac:dyDescent="0.5">
      <c r="A1584"/>
      <c r="B1584"/>
      <c r="C1584"/>
      <c r="D1584"/>
      <c r="E1584"/>
    </row>
    <row r="1585" spans="1:5" x14ac:dyDescent="0.5">
      <c r="A1585"/>
      <c r="B1585"/>
      <c r="C1585"/>
      <c r="D1585"/>
      <c r="E1585"/>
    </row>
    <row r="1586" spans="1:5" x14ac:dyDescent="0.5">
      <c r="A1586"/>
      <c r="B1586"/>
      <c r="C1586"/>
      <c r="D1586"/>
      <c r="E1586"/>
    </row>
    <row r="1587" spans="1:5" x14ac:dyDescent="0.5">
      <c r="A1587"/>
      <c r="B1587"/>
      <c r="C1587"/>
      <c r="D1587"/>
      <c r="E1587"/>
    </row>
    <row r="1588" spans="1:5" x14ac:dyDescent="0.5">
      <c r="A1588"/>
      <c r="B1588"/>
      <c r="C1588"/>
      <c r="D1588"/>
      <c r="E1588"/>
    </row>
    <row r="1589" spans="1:5" x14ac:dyDescent="0.5">
      <c r="A1589"/>
      <c r="B1589"/>
      <c r="C1589"/>
      <c r="D1589"/>
      <c r="E1589"/>
    </row>
    <row r="1590" spans="1:5" x14ac:dyDescent="0.5">
      <c r="A1590"/>
      <c r="B1590"/>
      <c r="C1590"/>
      <c r="D1590"/>
      <c r="E1590"/>
    </row>
    <row r="1591" spans="1:5" x14ac:dyDescent="0.5">
      <c r="A1591"/>
      <c r="B1591"/>
      <c r="C1591"/>
      <c r="D1591"/>
      <c r="E1591"/>
    </row>
    <row r="1592" spans="1:5" x14ac:dyDescent="0.5">
      <c r="A1592"/>
      <c r="B1592"/>
      <c r="C1592"/>
      <c r="D1592"/>
      <c r="E1592"/>
    </row>
    <row r="1593" spans="1:5" x14ac:dyDescent="0.5">
      <c r="A1593"/>
      <c r="B1593"/>
      <c r="C1593"/>
      <c r="D1593"/>
      <c r="E1593"/>
    </row>
    <row r="1594" spans="1:5" x14ac:dyDescent="0.5">
      <c r="A1594"/>
      <c r="B1594"/>
      <c r="C1594"/>
      <c r="D1594"/>
      <c r="E1594"/>
    </row>
    <row r="1595" spans="1:5" x14ac:dyDescent="0.5">
      <c r="A1595"/>
      <c r="B1595"/>
      <c r="C1595"/>
      <c r="D1595"/>
      <c r="E1595"/>
    </row>
    <row r="1596" spans="1:5" x14ac:dyDescent="0.5">
      <c r="A1596"/>
      <c r="B1596"/>
      <c r="C1596"/>
      <c r="D1596"/>
      <c r="E1596"/>
    </row>
    <row r="1597" spans="1:5" x14ac:dyDescent="0.5">
      <c r="A1597"/>
      <c r="B1597"/>
      <c r="C1597"/>
      <c r="D1597"/>
      <c r="E1597"/>
    </row>
    <row r="1598" spans="1:5" x14ac:dyDescent="0.5">
      <c r="A1598"/>
      <c r="B1598"/>
      <c r="C1598"/>
      <c r="D1598"/>
      <c r="E1598"/>
    </row>
    <row r="1599" spans="1:5" x14ac:dyDescent="0.5">
      <c r="A1599"/>
      <c r="B1599"/>
      <c r="C1599"/>
      <c r="D1599"/>
      <c r="E1599"/>
    </row>
    <row r="1600" spans="1:5" x14ac:dyDescent="0.5">
      <c r="A1600"/>
      <c r="B1600"/>
      <c r="C1600"/>
      <c r="D1600"/>
      <c r="E1600"/>
    </row>
    <row r="1601" spans="1:5" x14ac:dyDescent="0.5">
      <c r="A1601"/>
      <c r="B1601"/>
      <c r="C1601"/>
      <c r="D1601"/>
      <c r="E1601"/>
    </row>
    <row r="1602" spans="1:5" x14ac:dyDescent="0.5">
      <c r="A1602"/>
      <c r="B1602"/>
      <c r="C1602"/>
      <c r="D1602"/>
      <c r="E1602"/>
    </row>
    <row r="1603" spans="1:5" x14ac:dyDescent="0.5">
      <c r="A1603"/>
      <c r="B1603"/>
      <c r="C1603"/>
      <c r="D1603"/>
      <c r="E1603"/>
    </row>
    <row r="1604" spans="1:5" x14ac:dyDescent="0.5">
      <c r="A1604"/>
      <c r="B1604"/>
      <c r="C1604"/>
      <c r="D1604"/>
      <c r="E1604"/>
    </row>
    <row r="1605" spans="1:5" x14ac:dyDescent="0.5">
      <c r="A1605"/>
      <c r="B1605"/>
      <c r="C1605"/>
      <c r="D1605"/>
      <c r="E1605"/>
    </row>
    <row r="1606" spans="1:5" x14ac:dyDescent="0.5">
      <c r="A1606"/>
      <c r="B1606"/>
      <c r="C1606"/>
      <c r="D1606"/>
      <c r="E1606"/>
    </row>
    <row r="1607" spans="1:5" x14ac:dyDescent="0.5">
      <c r="A1607"/>
      <c r="B1607"/>
      <c r="C1607"/>
      <c r="D1607"/>
      <c r="E1607"/>
    </row>
    <row r="1608" spans="1:5" x14ac:dyDescent="0.5">
      <c r="A1608"/>
      <c r="B1608"/>
      <c r="C1608"/>
      <c r="D1608"/>
      <c r="E1608"/>
    </row>
    <row r="1609" spans="1:5" x14ac:dyDescent="0.5">
      <c r="A1609"/>
      <c r="B1609"/>
      <c r="C1609"/>
      <c r="D1609"/>
      <c r="E1609"/>
    </row>
    <row r="1610" spans="1:5" x14ac:dyDescent="0.5">
      <c r="A1610"/>
      <c r="B1610"/>
      <c r="C1610"/>
      <c r="D1610"/>
      <c r="E1610"/>
    </row>
    <row r="1611" spans="1:5" x14ac:dyDescent="0.5">
      <c r="A1611"/>
      <c r="B1611"/>
      <c r="C1611"/>
      <c r="D1611"/>
      <c r="E1611"/>
    </row>
    <row r="1612" spans="1:5" x14ac:dyDescent="0.5">
      <c r="A1612"/>
      <c r="B1612"/>
      <c r="C1612"/>
      <c r="D1612"/>
      <c r="E1612"/>
    </row>
    <row r="1613" spans="1:5" x14ac:dyDescent="0.5">
      <c r="A1613"/>
      <c r="B1613"/>
      <c r="C1613"/>
      <c r="D1613"/>
      <c r="E1613"/>
    </row>
    <row r="1614" spans="1:5" x14ac:dyDescent="0.5">
      <c r="A1614"/>
      <c r="B1614"/>
      <c r="C1614"/>
      <c r="D1614"/>
      <c r="E1614"/>
    </row>
    <row r="1615" spans="1:5" x14ac:dyDescent="0.5">
      <c r="A1615"/>
      <c r="B1615"/>
      <c r="C1615"/>
      <c r="D1615"/>
      <c r="E1615"/>
    </row>
    <row r="1616" spans="1:5" x14ac:dyDescent="0.5">
      <c r="A1616"/>
      <c r="B1616"/>
      <c r="C1616"/>
      <c r="D1616"/>
      <c r="E1616"/>
    </row>
    <row r="1617" spans="1:5" x14ac:dyDescent="0.5">
      <c r="A1617"/>
      <c r="B1617"/>
      <c r="C1617"/>
      <c r="D1617"/>
      <c r="E1617"/>
    </row>
    <row r="1618" spans="1:5" x14ac:dyDescent="0.5">
      <c r="A1618"/>
      <c r="B1618"/>
      <c r="C1618"/>
      <c r="D1618"/>
      <c r="E1618"/>
    </row>
    <row r="1619" spans="1:5" x14ac:dyDescent="0.5">
      <c r="A1619"/>
      <c r="B1619"/>
      <c r="C1619"/>
      <c r="D1619"/>
      <c r="E1619"/>
    </row>
    <row r="1620" spans="1:5" x14ac:dyDescent="0.5">
      <c r="A1620"/>
      <c r="B1620"/>
      <c r="C1620"/>
      <c r="D1620"/>
      <c r="E1620"/>
    </row>
    <row r="1621" spans="1:5" x14ac:dyDescent="0.5">
      <c r="A1621"/>
      <c r="B1621"/>
      <c r="C1621"/>
      <c r="D1621"/>
      <c r="E1621"/>
    </row>
    <row r="1622" spans="1:5" x14ac:dyDescent="0.5">
      <c r="A1622"/>
      <c r="B1622"/>
      <c r="C1622"/>
      <c r="D1622"/>
      <c r="E1622"/>
    </row>
    <row r="1623" spans="1:5" x14ac:dyDescent="0.5">
      <c r="A1623"/>
      <c r="B1623"/>
      <c r="C1623"/>
      <c r="D1623"/>
      <c r="E1623"/>
    </row>
    <row r="1624" spans="1:5" x14ac:dyDescent="0.5">
      <c r="A1624"/>
      <c r="B1624"/>
      <c r="C1624"/>
      <c r="D1624"/>
      <c r="E1624"/>
    </row>
    <row r="1625" spans="1:5" x14ac:dyDescent="0.5">
      <c r="A1625"/>
      <c r="B1625"/>
      <c r="C1625"/>
      <c r="D1625"/>
      <c r="E1625"/>
    </row>
    <row r="1626" spans="1:5" x14ac:dyDescent="0.5">
      <c r="A1626"/>
      <c r="B1626"/>
      <c r="C1626"/>
      <c r="D1626"/>
      <c r="E1626"/>
    </row>
    <row r="1627" spans="1:5" x14ac:dyDescent="0.5">
      <c r="A1627"/>
      <c r="B1627"/>
      <c r="C1627"/>
      <c r="D1627"/>
      <c r="E1627"/>
    </row>
    <row r="1628" spans="1:5" x14ac:dyDescent="0.5">
      <c r="A1628"/>
      <c r="B1628"/>
      <c r="C1628"/>
      <c r="D1628"/>
      <c r="E1628"/>
    </row>
    <row r="1629" spans="1:5" x14ac:dyDescent="0.5">
      <c r="A1629"/>
      <c r="B1629"/>
      <c r="C1629"/>
      <c r="D1629"/>
      <c r="E1629"/>
    </row>
    <row r="1630" spans="1:5" x14ac:dyDescent="0.5">
      <c r="A1630"/>
      <c r="B1630"/>
      <c r="C1630"/>
      <c r="D1630"/>
      <c r="E1630"/>
    </row>
    <row r="1631" spans="1:5" x14ac:dyDescent="0.5">
      <c r="A1631"/>
      <c r="B1631"/>
      <c r="C1631"/>
      <c r="D1631"/>
      <c r="E1631"/>
    </row>
    <row r="1632" spans="1:5" x14ac:dyDescent="0.5">
      <c r="A1632"/>
      <c r="B1632"/>
      <c r="C1632"/>
      <c r="D1632"/>
      <c r="E1632"/>
    </row>
    <row r="1633" spans="1:5" x14ac:dyDescent="0.5">
      <c r="A1633"/>
      <c r="B1633"/>
      <c r="C1633"/>
      <c r="D1633"/>
      <c r="E1633"/>
    </row>
    <row r="1634" spans="1:5" x14ac:dyDescent="0.5">
      <c r="A1634"/>
      <c r="B1634"/>
      <c r="C1634"/>
      <c r="D1634"/>
      <c r="E1634"/>
    </row>
    <row r="1635" spans="1:5" x14ac:dyDescent="0.5">
      <c r="A1635"/>
      <c r="B1635"/>
      <c r="C1635"/>
      <c r="D1635"/>
      <c r="E1635"/>
    </row>
    <row r="1636" spans="1:5" x14ac:dyDescent="0.5">
      <c r="A1636"/>
      <c r="B1636"/>
      <c r="C1636"/>
      <c r="D1636"/>
      <c r="E1636"/>
    </row>
    <row r="1637" spans="1:5" x14ac:dyDescent="0.5">
      <c r="A1637"/>
      <c r="B1637"/>
      <c r="C1637"/>
      <c r="D1637"/>
      <c r="E1637"/>
    </row>
    <row r="1638" spans="1:5" x14ac:dyDescent="0.5">
      <c r="A1638"/>
      <c r="B1638"/>
      <c r="C1638"/>
      <c r="D1638"/>
      <c r="E1638"/>
    </row>
    <row r="1639" spans="1:5" x14ac:dyDescent="0.5">
      <c r="A1639"/>
      <c r="B1639"/>
      <c r="C1639"/>
      <c r="D1639"/>
      <c r="E1639"/>
    </row>
    <row r="1640" spans="1:5" x14ac:dyDescent="0.5">
      <c r="A1640"/>
      <c r="B1640"/>
      <c r="C1640"/>
      <c r="D1640"/>
      <c r="E1640"/>
    </row>
    <row r="1641" spans="1:5" x14ac:dyDescent="0.5">
      <c r="A1641"/>
      <c r="B1641"/>
      <c r="C1641"/>
      <c r="D1641"/>
      <c r="E1641"/>
    </row>
    <row r="1642" spans="1:5" x14ac:dyDescent="0.5">
      <c r="A1642"/>
      <c r="B1642"/>
      <c r="C1642"/>
      <c r="D1642"/>
      <c r="E1642"/>
    </row>
    <row r="1643" spans="1:5" x14ac:dyDescent="0.5">
      <c r="A1643"/>
      <c r="B1643"/>
      <c r="C1643"/>
      <c r="D1643"/>
      <c r="E1643"/>
    </row>
    <row r="1644" spans="1:5" x14ac:dyDescent="0.5">
      <c r="A1644"/>
      <c r="B1644"/>
      <c r="C1644"/>
      <c r="D1644"/>
      <c r="E1644"/>
    </row>
    <row r="1645" spans="1:5" x14ac:dyDescent="0.5">
      <c r="A1645"/>
      <c r="B1645"/>
      <c r="C1645"/>
      <c r="D1645"/>
      <c r="E1645"/>
    </row>
    <row r="1646" spans="1:5" x14ac:dyDescent="0.5">
      <c r="A1646"/>
      <c r="B1646"/>
      <c r="C1646"/>
      <c r="D1646"/>
      <c r="E1646"/>
    </row>
    <row r="1647" spans="1:5" x14ac:dyDescent="0.5">
      <c r="A1647"/>
      <c r="B1647"/>
      <c r="C1647"/>
      <c r="D1647"/>
      <c r="E1647"/>
    </row>
    <row r="1648" spans="1:5" x14ac:dyDescent="0.5">
      <c r="A1648"/>
      <c r="B1648"/>
      <c r="C1648"/>
      <c r="D1648"/>
      <c r="E1648"/>
    </row>
    <row r="1649" spans="1:5" x14ac:dyDescent="0.5">
      <c r="A1649"/>
      <c r="B1649"/>
      <c r="C1649"/>
      <c r="D1649"/>
      <c r="E1649"/>
    </row>
    <row r="1650" spans="1:5" x14ac:dyDescent="0.5">
      <c r="A1650"/>
      <c r="B1650"/>
      <c r="C1650"/>
      <c r="D1650"/>
      <c r="E1650"/>
    </row>
    <row r="1651" spans="1:5" x14ac:dyDescent="0.5">
      <c r="A1651"/>
      <c r="B1651"/>
      <c r="C1651"/>
      <c r="D1651"/>
      <c r="E1651"/>
    </row>
    <row r="1652" spans="1:5" x14ac:dyDescent="0.5">
      <c r="A1652"/>
      <c r="B1652"/>
      <c r="C1652"/>
      <c r="D1652"/>
      <c r="E1652"/>
    </row>
    <row r="1653" spans="1:5" x14ac:dyDescent="0.5">
      <c r="A1653"/>
      <c r="B1653"/>
      <c r="C1653"/>
      <c r="D1653"/>
      <c r="E1653"/>
    </row>
    <row r="1654" spans="1:5" x14ac:dyDescent="0.5">
      <c r="A1654"/>
      <c r="B1654"/>
      <c r="C1654"/>
      <c r="D1654"/>
      <c r="E1654"/>
    </row>
    <row r="1655" spans="1:5" x14ac:dyDescent="0.5">
      <c r="A1655"/>
      <c r="B1655"/>
      <c r="C1655"/>
      <c r="D1655"/>
      <c r="E1655"/>
    </row>
    <row r="1656" spans="1:5" x14ac:dyDescent="0.5">
      <c r="A1656"/>
      <c r="B1656"/>
      <c r="C1656"/>
      <c r="D1656"/>
      <c r="E1656"/>
    </row>
    <row r="1657" spans="1:5" x14ac:dyDescent="0.5">
      <c r="A1657"/>
      <c r="B1657"/>
      <c r="C1657"/>
      <c r="D1657"/>
      <c r="E1657"/>
    </row>
    <row r="1658" spans="1:5" x14ac:dyDescent="0.5">
      <c r="A1658"/>
      <c r="B1658"/>
      <c r="C1658"/>
      <c r="D1658"/>
      <c r="E1658"/>
    </row>
    <row r="1659" spans="1:5" x14ac:dyDescent="0.5">
      <c r="A1659"/>
      <c r="B1659"/>
      <c r="C1659"/>
      <c r="D1659"/>
      <c r="E1659"/>
    </row>
    <row r="1660" spans="1:5" x14ac:dyDescent="0.5">
      <c r="A1660"/>
      <c r="B1660"/>
      <c r="C1660"/>
      <c r="D1660"/>
      <c r="E1660"/>
    </row>
    <row r="1661" spans="1:5" x14ac:dyDescent="0.5">
      <c r="A1661"/>
      <c r="B1661"/>
      <c r="C1661"/>
      <c r="D1661"/>
      <c r="E1661"/>
    </row>
    <row r="1662" spans="1:5" x14ac:dyDescent="0.5">
      <c r="A1662"/>
      <c r="B1662"/>
      <c r="C1662"/>
      <c r="D1662"/>
      <c r="E1662"/>
    </row>
    <row r="1663" spans="1:5" x14ac:dyDescent="0.5">
      <c r="A1663"/>
      <c r="B1663"/>
      <c r="C1663"/>
      <c r="D1663"/>
      <c r="E1663"/>
    </row>
    <row r="1664" spans="1:5" x14ac:dyDescent="0.5">
      <c r="A1664"/>
      <c r="B1664"/>
      <c r="C1664"/>
      <c r="D1664"/>
      <c r="E1664"/>
    </row>
    <row r="1665" spans="1:5" x14ac:dyDescent="0.5">
      <c r="A1665"/>
      <c r="B1665"/>
      <c r="C1665"/>
      <c r="D1665"/>
      <c r="E1665"/>
    </row>
    <row r="1666" spans="1:5" x14ac:dyDescent="0.5">
      <c r="A1666"/>
      <c r="B1666"/>
      <c r="C1666"/>
      <c r="D1666"/>
      <c r="E1666"/>
    </row>
    <row r="1667" spans="1:5" x14ac:dyDescent="0.5">
      <c r="A1667"/>
      <c r="B1667"/>
      <c r="C1667"/>
      <c r="D1667"/>
      <c r="E1667"/>
    </row>
    <row r="1668" spans="1:5" x14ac:dyDescent="0.5">
      <c r="A1668"/>
      <c r="B1668"/>
      <c r="C1668"/>
      <c r="D1668"/>
      <c r="E1668"/>
    </row>
    <row r="1669" spans="1:5" x14ac:dyDescent="0.5">
      <c r="A1669"/>
      <c r="B1669"/>
      <c r="C1669"/>
      <c r="D1669"/>
      <c r="E1669"/>
    </row>
    <row r="1670" spans="1:5" x14ac:dyDescent="0.5">
      <c r="A1670"/>
      <c r="B1670"/>
      <c r="C1670"/>
      <c r="D1670"/>
      <c r="E1670"/>
    </row>
    <row r="1671" spans="1:5" x14ac:dyDescent="0.5">
      <c r="A1671"/>
      <c r="B1671"/>
      <c r="C1671"/>
      <c r="D1671"/>
      <c r="E1671"/>
    </row>
    <row r="1672" spans="1:5" x14ac:dyDescent="0.5">
      <c r="A1672"/>
      <c r="B1672"/>
      <c r="C1672"/>
      <c r="D1672"/>
      <c r="E1672"/>
    </row>
    <row r="1673" spans="1:5" x14ac:dyDescent="0.5">
      <c r="A1673"/>
      <c r="B1673"/>
      <c r="C1673"/>
      <c r="D1673"/>
      <c r="E1673"/>
    </row>
    <row r="1674" spans="1:5" x14ac:dyDescent="0.5">
      <c r="A1674"/>
      <c r="B1674"/>
      <c r="C1674"/>
      <c r="D1674"/>
      <c r="E1674"/>
    </row>
    <row r="1675" spans="1:5" x14ac:dyDescent="0.5">
      <c r="A1675"/>
      <c r="B1675"/>
      <c r="C1675"/>
      <c r="D1675"/>
      <c r="E1675"/>
    </row>
    <row r="1676" spans="1:5" x14ac:dyDescent="0.5">
      <c r="A1676"/>
      <c r="B1676"/>
      <c r="C1676"/>
      <c r="D1676"/>
      <c r="E1676"/>
    </row>
    <row r="1677" spans="1:5" x14ac:dyDescent="0.5">
      <c r="A1677"/>
      <c r="B1677"/>
      <c r="C1677"/>
      <c r="D1677"/>
      <c r="E1677"/>
    </row>
    <row r="1678" spans="1:5" x14ac:dyDescent="0.5">
      <c r="A1678"/>
      <c r="B1678"/>
      <c r="C1678"/>
      <c r="D1678"/>
      <c r="E1678"/>
    </row>
    <row r="1679" spans="1:5" x14ac:dyDescent="0.5">
      <c r="A1679"/>
      <c r="B1679"/>
      <c r="C1679"/>
      <c r="D1679"/>
      <c r="E1679"/>
    </row>
    <row r="1680" spans="1:5" x14ac:dyDescent="0.5">
      <c r="A1680"/>
      <c r="B1680"/>
      <c r="C1680"/>
      <c r="D1680"/>
      <c r="E1680"/>
    </row>
    <row r="1681" spans="1:5" x14ac:dyDescent="0.5">
      <c r="A1681"/>
      <c r="B1681"/>
      <c r="C1681"/>
      <c r="D1681"/>
      <c r="E1681"/>
    </row>
    <row r="1682" spans="1:5" x14ac:dyDescent="0.5">
      <c r="A1682"/>
      <c r="B1682"/>
      <c r="C1682"/>
      <c r="D1682"/>
      <c r="E1682"/>
    </row>
    <row r="1683" spans="1:5" x14ac:dyDescent="0.5">
      <c r="A1683"/>
      <c r="B1683"/>
      <c r="C1683"/>
      <c r="D1683"/>
      <c r="E1683"/>
    </row>
    <row r="1684" spans="1:5" x14ac:dyDescent="0.5">
      <c r="A1684"/>
      <c r="B1684"/>
      <c r="C1684"/>
      <c r="D1684"/>
      <c r="E1684"/>
    </row>
    <row r="1685" spans="1:5" x14ac:dyDescent="0.5">
      <c r="A1685"/>
      <c r="B1685"/>
      <c r="C1685"/>
      <c r="D1685"/>
      <c r="E1685"/>
    </row>
    <row r="1686" spans="1:5" x14ac:dyDescent="0.5">
      <c r="A1686"/>
      <c r="B1686"/>
      <c r="C1686"/>
      <c r="D1686"/>
      <c r="E1686"/>
    </row>
    <row r="1687" spans="1:5" x14ac:dyDescent="0.5">
      <c r="A1687"/>
      <c r="B1687"/>
      <c r="C1687"/>
      <c r="D1687"/>
      <c r="E1687"/>
    </row>
    <row r="1688" spans="1:5" x14ac:dyDescent="0.5">
      <c r="A1688"/>
      <c r="B1688"/>
      <c r="C1688"/>
      <c r="D1688"/>
      <c r="E1688"/>
    </row>
    <row r="1689" spans="1:5" x14ac:dyDescent="0.5">
      <c r="A1689"/>
      <c r="B1689"/>
      <c r="C1689"/>
      <c r="D1689"/>
      <c r="E1689"/>
    </row>
    <row r="1690" spans="1:5" x14ac:dyDescent="0.5">
      <c r="A1690"/>
      <c r="B1690"/>
      <c r="C1690"/>
      <c r="D1690"/>
      <c r="E1690"/>
    </row>
    <row r="1691" spans="1:5" x14ac:dyDescent="0.5">
      <c r="A1691"/>
      <c r="B1691"/>
      <c r="C1691"/>
      <c r="D1691"/>
      <c r="E1691"/>
    </row>
    <row r="1692" spans="1:5" x14ac:dyDescent="0.5">
      <c r="A1692"/>
      <c r="B1692"/>
      <c r="C1692"/>
      <c r="D1692"/>
      <c r="E1692"/>
    </row>
    <row r="1693" spans="1:5" x14ac:dyDescent="0.5">
      <c r="A1693"/>
      <c r="B1693"/>
      <c r="C1693"/>
      <c r="D1693"/>
      <c r="E1693"/>
    </row>
    <row r="1694" spans="1:5" x14ac:dyDescent="0.5">
      <c r="A1694"/>
      <c r="B1694"/>
      <c r="C1694"/>
      <c r="D1694"/>
      <c r="E1694"/>
    </row>
    <row r="1695" spans="1:5" x14ac:dyDescent="0.5">
      <c r="A1695"/>
      <c r="B1695"/>
      <c r="C1695"/>
      <c r="D1695"/>
      <c r="E1695"/>
    </row>
    <row r="1696" spans="1:5" x14ac:dyDescent="0.5">
      <c r="A1696"/>
      <c r="B1696"/>
      <c r="C1696"/>
      <c r="D1696"/>
      <c r="E1696"/>
    </row>
    <row r="1697" spans="1:5" x14ac:dyDescent="0.5">
      <c r="A1697"/>
      <c r="B1697"/>
      <c r="C1697"/>
      <c r="D1697"/>
      <c r="E1697"/>
    </row>
    <row r="1698" spans="1:5" x14ac:dyDescent="0.5">
      <c r="A1698"/>
      <c r="B1698"/>
      <c r="C1698"/>
      <c r="D1698"/>
      <c r="E1698"/>
    </row>
    <row r="1699" spans="1:5" x14ac:dyDescent="0.5">
      <c r="A1699"/>
      <c r="B1699"/>
      <c r="C1699"/>
      <c r="D1699"/>
      <c r="E1699"/>
    </row>
    <row r="1700" spans="1:5" x14ac:dyDescent="0.5">
      <c r="A1700"/>
      <c r="B1700"/>
      <c r="C1700"/>
      <c r="D1700"/>
      <c r="E1700"/>
    </row>
    <row r="1701" spans="1:5" x14ac:dyDescent="0.5">
      <c r="A1701"/>
      <c r="B1701"/>
      <c r="C1701"/>
      <c r="D1701"/>
      <c r="E1701"/>
    </row>
    <row r="1702" spans="1:5" x14ac:dyDescent="0.5">
      <c r="A1702"/>
      <c r="B1702"/>
      <c r="C1702"/>
      <c r="D1702"/>
      <c r="E1702"/>
    </row>
    <row r="1703" spans="1:5" x14ac:dyDescent="0.5">
      <c r="A1703"/>
      <c r="B1703"/>
      <c r="C1703"/>
      <c r="D1703"/>
      <c r="E1703"/>
    </row>
    <row r="1704" spans="1:5" x14ac:dyDescent="0.5">
      <c r="A1704"/>
      <c r="B1704"/>
      <c r="C1704"/>
      <c r="D1704"/>
      <c r="E1704"/>
    </row>
    <row r="1705" spans="1:5" x14ac:dyDescent="0.5">
      <c r="A1705"/>
      <c r="B1705"/>
      <c r="C1705"/>
      <c r="D1705"/>
      <c r="E1705"/>
    </row>
    <row r="1706" spans="1:5" x14ac:dyDescent="0.5">
      <c r="A1706"/>
      <c r="B1706"/>
      <c r="C1706"/>
      <c r="D1706"/>
      <c r="E1706"/>
    </row>
    <row r="1707" spans="1:5" x14ac:dyDescent="0.5">
      <c r="A1707"/>
      <c r="B1707"/>
      <c r="C1707"/>
      <c r="D1707"/>
      <c r="E1707"/>
    </row>
    <row r="1708" spans="1:5" x14ac:dyDescent="0.5">
      <c r="A1708"/>
      <c r="B1708"/>
      <c r="C1708"/>
      <c r="D1708"/>
      <c r="E1708"/>
    </row>
    <row r="1709" spans="1:5" x14ac:dyDescent="0.5">
      <c r="A1709"/>
      <c r="B1709"/>
      <c r="C1709"/>
      <c r="D1709"/>
      <c r="E1709"/>
    </row>
    <row r="1710" spans="1:5" x14ac:dyDescent="0.5">
      <c r="A1710"/>
      <c r="B1710"/>
      <c r="C1710"/>
      <c r="D1710"/>
      <c r="E1710"/>
    </row>
    <row r="1711" spans="1:5" x14ac:dyDescent="0.5">
      <c r="A1711"/>
      <c r="B1711"/>
      <c r="C1711"/>
      <c r="D1711"/>
      <c r="E1711"/>
    </row>
    <row r="1712" spans="1:5" x14ac:dyDescent="0.5">
      <c r="A1712"/>
      <c r="B1712"/>
      <c r="C1712"/>
      <c r="D1712"/>
      <c r="E1712"/>
    </row>
    <row r="1713" spans="1:5" x14ac:dyDescent="0.5">
      <c r="A1713"/>
      <c r="B1713"/>
      <c r="C1713"/>
      <c r="D1713"/>
      <c r="E1713"/>
    </row>
    <row r="1714" spans="1:5" x14ac:dyDescent="0.5">
      <c r="A1714"/>
      <c r="B1714"/>
      <c r="C1714"/>
      <c r="D1714"/>
      <c r="E1714"/>
    </row>
    <row r="1715" spans="1:5" x14ac:dyDescent="0.5">
      <c r="A1715"/>
      <c r="B1715"/>
      <c r="C1715"/>
      <c r="D1715"/>
      <c r="E1715"/>
    </row>
    <row r="1716" spans="1:5" x14ac:dyDescent="0.5">
      <c r="A1716"/>
      <c r="B1716"/>
      <c r="C1716"/>
      <c r="D1716"/>
      <c r="E1716"/>
    </row>
    <row r="1717" spans="1:5" x14ac:dyDescent="0.5">
      <c r="A1717"/>
      <c r="B1717"/>
      <c r="C1717"/>
      <c r="D1717"/>
      <c r="E1717"/>
    </row>
    <row r="1718" spans="1:5" x14ac:dyDescent="0.5">
      <c r="A1718"/>
      <c r="B1718"/>
      <c r="C1718"/>
      <c r="D1718"/>
      <c r="E1718"/>
    </row>
    <row r="1719" spans="1:5" x14ac:dyDescent="0.5">
      <c r="A1719"/>
      <c r="B1719"/>
      <c r="C1719"/>
      <c r="D1719"/>
      <c r="E1719"/>
    </row>
    <row r="1720" spans="1:5" x14ac:dyDescent="0.5">
      <c r="A1720"/>
      <c r="B1720"/>
      <c r="C1720"/>
      <c r="D1720"/>
      <c r="E1720"/>
    </row>
    <row r="1721" spans="1:5" x14ac:dyDescent="0.5">
      <c r="A1721"/>
      <c r="B1721"/>
      <c r="C1721"/>
      <c r="D1721"/>
      <c r="E1721"/>
    </row>
    <row r="1722" spans="1:5" x14ac:dyDescent="0.5">
      <c r="A1722"/>
      <c r="B1722"/>
      <c r="C1722"/>
      <c r="D1722"/>
      <c r="E1722"/>
    </row>
    <row r="1723" spans="1:5" x14ac:dyDescent="0.5">
      <c r="A1723"/>
      <c r="B1723"/>
      <c r="C1723"/>
      <c r="D1723"/>
      <c r="E1723"/>
    </row>
    <row r="1724" spans="1:5" x14ac:dyDescent="0.5">
      <c r="A1724"/>
      <c r="B1724"/>
      <c r="C1724"/>
      <c r="D1724"/>
      <c r="E1724"/>
    </row>
    <row r="1725" spans="1:5" x14ac:dyDescent="0.5">
      <c r="A1725"/>
      <c r="B1725"/>
      <c r="C1725"/>
      <c r="D1725"/>
      <c r="E1725"/>
    </row>
    <row r="1726" spans="1:5" x14ac:dyDescent="0.5">
      <c r="A1726"/>
      <c r="B1726"/>
      <c r="C1726"/>
      <c r="D1726"/>
      <c r="E1726"/>
    </row>
    <row r="1727" spans="1:5" x14ac:dyDescent="0.5">
      <c r="A1727"/>
      <c r="B1727"/>
      <c r="C1727"/>
      <c r="D1727"/>
      <c r="E1727"/>
    </row>
    <row r="1728" spans="1:5" x14ac:dyDescent="0.5">
      <c r="A1728"/>
      <c r="B1728"/>
      <c r="C1728"/>
      <c r="D1728"/>
      <c r="E1728"/>
    </row>
    <row r="1729" spans="1:5" x14ac:dyDescent="0.5">
      <c r="A1729"/>
      <c r="B1729"/>
      <c r="C1729"/>
      <c r="D1729"/>
      <c r="E1729"/>
    </row>
    <row r="1730" spans="1:5" x14ac:dyDescent="0.5">
      <c r="A1730"/>
      <c r="B1730"/>
      <c r="C1730"/>
      <c r="D1730"/>
      <c r="E1730"/>
    </row>
    <row r="1731" spans="1:5" x14ac:dyDescent="0.5">
      <c r="A1731"/>
      <c r="B1731"/>
      <c r="C1731"/>
      <c r="D1731"/>
      <c r="E1731"/>
    </row>
    <row r="1732" spans="1:5" x14ac:dyDescent="0.5">
      <c r="A1732"/>
      <c r="B1732"/>
      <c r="C1732"/>
      <c r="D1732"/>
      <c r="E1732"/>
    </row>
    <row r="1733" spans="1:5" x14ac:dyDescent="0.5">
      <c r="A1733"/>
      <c r="B1733"/>
      <c r="C1733"/>
      <c r="D1733"/>
      <c r="E1733"/>
    </row>
    <row r="1734" spans="1:5" x14ac:dyDescent="0.5">
      <c r="A1734"/>
      <c r="B1734"/>
      <c r="C1734"/>
      <c r="D1734"/>
      <c r="E1734"/>
    </row>
    <row r="1735" spans="1:5" x14ac:dyDescent="0.5">
      <c r="A1735"/>
      <c r="B1735"/>
      <c r="C1735"/>
      <c r="D1735"/>
      <c r="E1735"/>
    </row>
    <row r="1736" spans="1:5" x14ac:dyDescent="0.5">
      <c r="A1736"/>
      <c r="B1736"/>
      <c r="C1736"/>
      <c r="D1736"/>
      <c r="E1736"/>
    </row>
    <row r="1737" spans="1:5" x14ac:dyDescent="0.5">
      <c r="A1737"/>
      <c r="B1737"/>
      <c r="C1737"/>
      <c r="D1737"/>
      <c r="E1737"/>
    </row>
    <row r="1738" spans="1:5" x14ac:dyDescent="0.5">
      <c r="A1738"/>
      <c r="B1738"/>
      <c r="C1738"/>
      <c r="D1738"/>
      <c r="E1738"/>
    </row>
    <row r="1739" spans="1:5" x14ac:dyDescent="0.5">
      <c r="A1739"/>
      <c r="B1739"/>
      <c r="C1739"/>
      <c r="D1739"/>
      <c r="E1739"/>
    </row>
    <row r="1740" spans="1:5" x14ac:dyDescent="0.5">
      <c r="A1740"/>
      <c r="B1740"/>
      <c r="C1740"/>
      <c r="D1740"/>
      <c r="E1740"/>
    </row>
    <row r="1741" spans="1:5" x14ac:dyDescent="0.5">
      <c r="A1741"/>
      <c r="B1741"/>
      <c r="C1741"/>
      <c r="D1741"/>
      <c r="E1741"/>
    </row>
    <row r="1742" spans="1:5" x14ac:dyDescent="0.5">
      <c r="A1742"/>
      <c r="B1742"/>
      <c r="C1742"/>
      <c r="D1742"/>
      <c r="E1742"/>
    </row>
    <row r="1743" spans="1:5" x14ac:dyDescent="0.5">
      <c r="A1743"/>
      <c r="B1743"/>
      <c r="C1743"/>
      <c r="D1743"/>
      <c r="E1743"/>
    </row>
    <row r="1744" spans="1:5" x14ac:dyDescent="0.5">
      <c r="A1744"/>
      <c r="B1744"/>
      <c r="C1744"/>
      <c r="D1744"/>
      <c r="E1744"/>
    </row>
    <row r="1745" spans="1:5" x14ac:dyDescent="0.5">
      <c r="A1745"/>
      <c r="B1745"/>
      <c r="C1745"/>
      <c r="D1745"/>
      <c r="E1745"/>
    </row>
    <row r="1746" spans="1:5" x14ac:dyDescent="0.5">
      <c r="A1746"/>
      <c r="B1746"/>
      <c r="C1746"/>
      <c r="D1746"/>
      <c r="E1746"/>
    </row>
    <row r="1747" spans="1:5" x14ac:dyDescent="0.5">
      <c r="A1747"/>
      <c r="B1747"/>
      <c r="C1747"/>
      <c r="D1747"/>
      <c r="E1747"/>
    </row>
    <row r="1748" spans="1:5" x14ac:dyDescent="0.5">
      <c r="A1748"/>
      <c r="B1748"/>
      <c r="C1748"/>
      <c r="D1748"/>
      <c r="E1748"/>
    </row>
    <row r="1749" spans="1:5" x14ac:dyDescent="0.5">
      <c r="A1749"/>
      <c r="B1749"/>
      <c r="C1749"/>
      <c r="D1749"/>
      <c r="E1749"/>
    </row>
    <row r="1750" spans="1:5" x14ac:dyDescent="0.5">
      <c r="A1750"/>
      <c r="B1750"/>
      <c r="C1750"/>
      <c r="D1750"/>
      <c r="E1750"/>
    </row>
    <row r="1751" spans="1:5" x14ac:dyDescent="0.5">
      <c r="A1751"/>
      <c r="B1751"/>
      <c r="C1751"/>
      <c r="D1751"/>
      <c r="E1751"/>
    </row>
    <row r="1752" spans="1:5" x14ac:dyDescent="0.5">
      <c r="A1752"/>
      <c r="B1752"/>
      <c r="C1752"/>
      <c r="D1752"/>
      <c r="E1752"/>
    </row>
    <row r="1753" spans="1:5" x14ac:dyDescent="0.5">
      <c r="A1753"/>
      <c r="B1753"/>
      <c r="C1753"/>
      <c r="D1753"/>
      <c r="E1753"/>
    </row>
    <row r="1754" spans="1:5" x14ac:dyDescent="0.5">
      <c r="A1754"/>
      <c r="B1754"/>
      <c r="C1754"/>
      <c r="D1754"/>
      <c r="E1754"/>
    </row>
    <row r="1755" spans="1:5" x14ac:dyDescent="0.5">
      <c r="A1755"/>
      <c r="B1755"/>
      <c r="C1755"/>
      <c r="D1755"/>
      <c r="E1755"/>
    </row>
    <row r="1756" spans="1:5" x14ac:dyDescent="0.5">
      <c r="A1756"/>
      <c r="B1756"/>
      <c r="C1756"/>
      <c r="D1756"/>
      <c r="E1756"/>
    </row>
    <row r="1757" spans="1:5" x14ac:dyDescent="0.5">
      <c r="A1757"/>
      <c r="B1757"/>
      <c r="C1757"/>
      <c r="D1757"/>
      <c r="E1757"/>
    </row>
    <row r="1758" spans="1:5" x14ac:dyDescent="0.5">
      <c r="A1758"/>
      <c r="B1758"/>
      <c r="C1758"/>
      <c r="D1758"/>
      <c r="E1758"/>
    </row>
    <row r="1759" spans="1:5" x14ac:dyDescent="0.5">
      <c r="A1759"/>
      <c r="B1759"/>
      <c r="C1759"/>
      <c r="D1759"/>
      <c r="E1759"/>
    </row>
    <row r="1760" spans="1:5" x14ac:dyDescent="0.5">
      <c r="A1760"/>
      <c r="B1760"/>
      <c r="C1760"/>
      <c r="D1760"/>
      <c r="E1760"/>
    </row>
    <row r="1761" spans="1:5" x14ac:dyDescent="0.5">
      <c r="A1761"/>
      <c r="B1761"/>
      <c r="C1761"/>
      <c r="D1761"/>
      <c r="E1761"/>
    </row>
    <row r="1762" spans="1:5" x14ac:dyDescent="0.5">
      <c r="A1762"/>
      <c r="B1762"/>
      <c r="C1762"/>
      <c r="D1762"/>
      <c r="E1762"/>
    </row>
    <row r="1763" spans="1:5" x14ac:dyDescent="0.5">
      <c r="A1763"/>
      <c r="B1763"/>
      <c r="C1763"/>
      <c r="D1763"/>
      <c r="E1763"/>
    </row>
    <row r="1764" spans="1:5" x14ac:dyDescent="0.5">
      <c r="D1764" s="14"/>
    </row>
    <row r="1765" spans="1:5" x14ac:dyDescent="0.5">
      <c r="D1765" s="14"/>
    </row>
    <row r="1766" spans="1:5" x14ac:dyDescent="0.5">
      <c r="D1766" s="14"/>
    </row>
    <row r="1767" spans="1:5" x14ac:dyDescent="0.5">
      <c r="D1767" s="14"/>
    </row>
    <row r="1768" spans="1:5" x14ac:dyDescent="0.5">
      <c r="D1768" s="14"/>
    </row>
    <row r="1769" spans="1:5" x14ac:dyDescent="0.5">
      <c r="D1769" s="14"/>
    </row>
    <row r="1770" spans="1:5" x14ac:dyDescent="0.5">
      <c r="D1770" s="14"/>
    </row>
    <row r="1771" spans="1:5" x14ac:dyDescent="0.5">
      <c r="D1771" s="14"/>
    </row>
    <row r="1772" spans="1:5" x14ac:dyDescent="0.5">
      <c r="D1772" s="14"/>
    </row>
    <row r="1773" spans="1:5" x14ac:dyDescent="0.5">
      <c r="D1773" s="14"/>
    </row>
    <row r="1774" spans="1:5" x14ac:dyDescent="0.5">
      <c r="D1774" s="14"/>
    </row>
    <row r="1775" spans="1:5" x14ac:dyDescent="0.5">
      <c r="D1775" s="14"/>
    </row>
    <row r="1776" spans="1:5" x14ac:dyDescent="0.5">
      <c r="D1776" s="14"/>
    </row>
    <row r="1777" spans="4:4" x14ac:dyDescent="0.5">
      <c r="D1777" s="14"/>
    </row>
    <row r="1778" spans="4:4" x14ac:dyDescent="0.5">
      <c r="D1778" s="14"/>
    </row>
    <row r="1779" spans="4:4" x14ac:dyDescent="0.5">
      <c r="D1779" s="14"/>
    </row>
    <row r="1780" spans="4:4" x14ac:dyDescent="0.5">
      <c r="D1780" s="14"/>
    </row>
    <row r="1781" spans="4:4" x14ac:dyDescent="0.5">
      <c r="D1781" s="14"/>
    </row>
    <row r="1782" spans="4:4" x14ac:dyDescent="0.5">
      <c r="D1782" s="14"/>
    </row>
    <row r="1783" spans="4:4" x14ac:dyDescent="0.5">
      <c r="D1783" s="14"/>
    </row>
    <row r="1784" spans="4:4" x14ac:dyDescent="0.5">
      <c r="D1784" s="14"/>
    </row>
    <row r="1785" spans="4:4" x14ac:dyDescent="0.5">
      <c r="D1785" s="14"/>
    </row>
    <row r="1786" spans="4:4" x14ac:dyDescent="0.5">
      <c r="D1786" s="14"/>
    </row>
    <row r="1787" spans="4:4" x14ac:dyDescent="0.5">
      <c r="D1787" s="14"/>
    </row>
    <row r="1788" spans="4:4" x14ac:dyDescent="0.5">
      <c r="D1788" s="14"/>
    </row>
    <row r="1789" spans="4:4" x14ac:dyDescent="0.5">
      <c r="D1789" s="14"/>
    </row>
    <row r="1790" spans="4:4" x14ac:dyDescent="0.5">
      <c r="D1790" s="14"/>
    </row>
    <row r="1791" spans="4:4" x14ac:dyDescent="0.5">
      <c r="D1791" s="14"/>
    </row>
    <row r="1792" spans="4:4" x14ac:dyDescent="0.5">
      <c r="D1792" s="14"/>
    </row>
    <row r="1793" spans="4:4" x14ac:dyDescent="0.5">
      <c r="D1793" s="14"/>
    </row>
    <row r="1794" spans="4:4" x14ac:dyDescent="0.5">
      <c r="D1794" s="14"/>
    </row>
    <row r="1795" spans="4:4" x14ac:dyDescent="0.5">
      <c r="D1795" s="14"/>
    </row>
    <row r="1796" spans="4:4" x14ac:dyDescent="0.5">
      <c r="D1796" s="14"/>
    </row>
    <row r="1797" spans="4:4" x14ac:dyDescent="0.5">
      <c r="D1797" s="14"/>
    </row>
    <row r="1798" spans="4:4" x14ac:dyDescent="0.5">
      <c r="D1798" s="14"/>
    </row>
    <row r="1799" spans="4:4" x14ac:dyDescent="0.5">
      <c r="D1799" s="14"/>
    </row>
    <row r="1800" spans="4:4" x14ac:dyDescent="0.5">
      <c r="D1800" s="14"/>
    </row>
    <row r="1801" spans="4:4" x14ac:dyDescent="0.5">
      <c r="D1801" s="14"/>
    </row>
    <row r="1802" spans="4:4" x14ac:dyDescent="0.5">
      <c r="D1802" s="14"/>
    </row>
    <row r="1803" spans="4:4" x14ac:dyDescent="0.5">
      <c r="D1803" s="14"/>
    </row>
    <row r="1804" spans="4:4" x14ac:dyDescent="0.5">
      <c r="D1804" s="14"/>
    </row>
    <row r="1805" spans="4:4" x14ac:dyDescent="0.5">
      <c r="D1805" s="14"/>
    </row>
    <row r="1806" spans="4:4" x14ac:dyDescent="0.5">
      <c r="D1806" s="14"/>
    </row>
    <row r="1807" spans="4:4" x14ac:dyDescent="0.5">
      <c r="D1807" s="14"/>
    </row>
    <row r="1808" spans="4:4" x14ac:dyDescent="0.5">
      <c r="D1808" s="14"/>
    </row>
    <row r="1809" spans="4:4" x14ac:dyDescent="0.5">
      <c r="D1809" s="14"/>
    </row>
    <row r="1810" spans="4:4" x14ac:dyDescent="0.5">
      <c r="D1810" s="14"/>
    </row>
    <row r="1811" spans="4:4" x14ac:dyDescent="0.5">
      <c r="D1811" s="14"/>
    </row>
    <row r="1812" spans="4:4" x14ac:dyDescent="0.5">
      <c r="D1812" s="14"/>
    </row>
    <row r="1813" spans="4:4" x14ac:dyDescent="0.5">
      <c r="D1813" s="14"/>
    </row>
    <row r="1814" spans="4:4" x14ac:dyDescent="0.5">
      <c r="D1814" s="14"/>
    </row>
    <row r="1815" spans="4:4" x14ac:dyDescent="0.5">
      <c r="D1815" s="14"/>
    </row>
    <row r="1816" spans="4:4" x14ac:dyDescent="0.5">
      <c r="D1816" s="14"/>
    </row>
    <row r="1817" spans="4:4" x14ac:dyDescent="0.5">
      <c r="D1817" s="14"/>
    </row>
    <row r="1818" spans="4:4" x14ac:dyDescent="0.5">
      <c r="D1818" s="14"/>
    </row>
    <row r="1819" spans="4:4" x14ac:dyDescent="0.5">
      <c r="D1819" s="14"/>
    </row>
    <row r="1820" spans="4:4" x14ac:dyDescent="0.5">
      <c r="D1820" s="14"/>
    </row>
    <row r="1821" spans="4:4" x14ac:dyDescent="0.5">
      <c r="D1821" s="14"/>
    </row>
    <row r="1822" spans="4:4" x14ac:dyDescent="0.5">
      <c r="D1822" s="14"/>
    </row>
    <row r="1823" spans="4:4" x14ac:dyDescent="0.5">
      <c r="D1823" s="14"/>
    </row>
    <row r="1824" spans="4:4" x14ac:dyDescent="0.5">
      <c r="D1824" s="14"/>
    </row>
    <row r="1825" spans="4:4" x14ac:dyDescent="0.5">
      <c r="D1825" s="14"/>
    </row>
    <row r="1826" spans="4:4" x14ac:dyDescent="0.5">
      <c r="D1826" s="14"/>
    </row>
    <row r="1827" spans="4:4" x14ac:dyDescent="0.5">
      <c r="D1827" s="14"/>
    </row>
    <row r="1828" spans="4:4" x14ac:dyDescent="0.5">
      <c r="D1828" s="14"/>
    </row>
    <row r="1829" spans="4:4" x14ac:dyDescent="0.5">
      <c r="D1829" s="14"/>
    </row>
    <row r="1830" spans="4:4" x14ac:dyDescent="0.5">
      <c r="D1830" s="14"/>
    </row>
    <row r="1831" spans="4:4" x14ac:dyDescent="0.5">
      <c r="D1831" s="14"/>
    </row>
    <row r="1832" spans="4:4" x14ac:dyDescent="0.5">
      <c r="D1832" s="14"/>
    </row>
    <row r="1833" spans="4:4" x14ac:dyDescent="0.5">
      <c r="D1833" s="14"/>
    </row>
    <row r="1834" spans="4:4" x14ac:dyDescent="0.5">
      <c r="D1834" s="14"/>
    </row>
    <row r="1835" spans="4:4" x14ac:dyDescent="0.5">
      <c r="D1835" s="14"/>
    </row>
    <row r="1836" spans="4:4" x14ac:dyDescent="0.5">
      <c r="D1836" s="14"/>
    </row>
    <row r="1837" spans="4:4" x14ac:dyDescent="0.5">
      <c r="D1837" s="14"/>
    </row>
    <row r="1838" spans="4:4" x14ac:dyDescent="0.5">
      <c r="D1838" s="14"/>
    </row>
    <row r="1839" spans="4:4" x14ac:dyDescent="0.5">
      <c r="D1839" s="14"/>
    </row>
    <row r="1840" spans="4:4" x14ac:dyDescent="0.5">
      <c r="D1840" s="14"/>
    </row>
    <row r="1841" spans="4:4" x14ac:dyDescent="0.5">
      <c r="D1841" s="14"/>
    </row>
    <row r="1842" spans="4:4" x14ac:dyDescent="0.5">
      <c r="D1842" s="14"/>
    </row>
    <row r="1843" spans="4:4" x14ac:dyDescent="0.5">
      <c r="D1843" s="14"/>
    </row>
    <row r="1844" spans="4:4" x14ac:dyDescent="0.5">
      <c r="D1844" s="14"/>
    </row>
    <row r="1845" spans="4:4" x14ac:dyDescent="0.5">
      <c r="D1845" s="14"/>
    </row>
    <row r="1846" spans="4:4" x14ac:dyDescent="0.5">
      <c r="D1846" s="14"/>
    </row>
    <row r="1847" spans="4:4" x14ac:dyDescent="0.5">
      <c r="D1847" s="14"/>
    </row>
    <row r="1848" spans="4:4" x14ac:dyDescent="0.5">
      <c r="D1848" s="14"/>
    </row>
    <row r="1849" spans="4:4" x14ac:dyDescent="0.5">
      <c r="D1849" s="14"/>
    </row>
    <row r="1850" spans="4:4" x14ac:dyDescent="0.5">
      <c r="D1850" s="14"/>
    </row>
    <row r="1851" spans="4:4" x14ac:dyDescent="0.5">
      <c r="D1851" s="14"/>
    </row>
    <row r="1852" spans="4:4" x14ac:dyDescent="0.5">
      <c r="D1852" s="14"/>
    </row>
    <row r="1853" spans="4:4" x14ac:dyDescent="0.5">
      <c r="D1853" s="14"/>
    </row>
    <row r="1854" spans="4:4" x14ac:dyDescent="0.5">
      <c r="D1854" s="14"/>
    </row>
    <row r="1855" spans="4:4" x14ac:dyDescent="0.5">
      <c r="D1855" s="14"/>
    </row>
    <row r="1856" spans="4:4" x14ac:dyDescent="0.5">
      <c r="D1856" s="14"/>
    </row>
    <row r="1857" spans="4:4" x14ac:dyDescent="0.5">
      <c r="D1857" s="14"/>
    </row>
    <row r="1858" spans="4:4" x14ac:dyDescent="0.5">
      <c r="D1858" s="14"/>
    </row>
    <row r="1859" spans="4:4" x14ac:dyDescent="0.5">
      <c r="D1859" s="14"/>
    </row>
    <row r="1860" spans="4:4" x14ac:dyDescent="0.5">
      <c r="D1860" s="14"/>
    </row>
    <row r="1861" spans="4:4" x14ac:dyDescent="0.5">
      <c r="D1861" s="14"/>
    </row>
    <row r="1862" spans="4:4" x14ac:dyDescent="0.5">
      <c r="D1862" s="14"/>
    </row>
    <row r="1863" spans="4:4" x14ac:dyDescent="0.5">
      <c r="D1863" s="14"/>
    </row>
    <row r="1864" spans="4:4" x14ac:dyDescent="0.5">
      <c r="D1864" s="14"/>
    </row>
    <row r="1865" spans="4:4" x14ac:dyDescent="0.5">
      <c r="D1865" s="14"/>
    </row>
    <row r="1866" spans="4:4" x14ac:dyDescent="0.5">
      <c r="D1866" s="14"/>
    </row>
    <row r="1867" spans="4:4" x14ac:dyDescent="0.5">
      <c r="D1867" s="14"/>
    </row>
    <row r="1868" spans="4:4" x14ac:dyDescent="0.5">
      <c r="D1868" s="14"/>
    </row>
    <row r="1869" spans="4:4" x14ac:dyDescent="0.5">
      <c r="D1869" s="14"/>
    </row>
    <row r="1870" spans="4:4" x14ac:dyDescent="0.5">
      <c r="D1870" s="14"/>
    </row>
    <row r="1871" spans="4:4" x14ac:dyDescent="0.5">
      <c r="D1871" s="14"/>
    </row>
    <row r="1872" spans="4:4" x14ac:dyDescent="0.5">
      <c r="D1872" s="14"/>
    </row>
    <row r="1873" spans="4:4" x14ac:dyDescent="0.5">
      <c r="D1873" s="14"/>
    </row>
    <row r="1874" spans="4:4" x14ac:dyDescent="0.5">
      <c r="D1874" s="14"/>
    </row>
    <row r="1875" spans="4:4" x14ac:dyDescent="0.5">
      <c r="D1875" s="14"/>
    </row>
    <row r="1876" spans="4:4" x14ac:dyDescent="0.5">
      <c r="D1876" s="14"/>
    </row>
    <row r="1877" spans="4:4" x14ac:dyDescent="0.5">
      <c r="D1877" s="14"/>
    </row>
    <row r="1878" spans="4:4" x14ac:dyDescent="0.5">
      <c r="D1878" s="14"/>
    </row>
    <row r="1879" spans="4:4" x14ac:dyDescent="0.5">
      <c r="D1879" s="14"/>
    </row>
    <row r="1880" spans="4:4" x14ac:dyDescent="0.5">
      <c r="D1880" s="14"/>
    </row>
    <row r="1881" spans="4:4" x14ac:dyDescent="0.5">
      <c r="D1881" s="14"/>
    </row>
    <row r="1882" spans="4:4" x14ac:dyDescent="0.5">
      <c r="D1882" s="14"/>
    </row>
    <row r="1883" spans="4:4" x14ac:dyDescent="0.5">
      <c r="D1883" s="14"/>
    </row>
    <row r="1884" spans="4:4" x14ac:dyDescent="0.5">
      <c r="D1884" s="14"/>
    </row>
    <row r="1885" spans="4:4" x14ac:dyDescent="0.5">
      <c r="D1885" s="14"/>
    </row>
  </sheetData>
  <mergeCells count="2">
    <mergeCell ref="C13:E13"/>
    <mergeCell ref="A9:A12"/>
  </mergeCells>
  <pageMargins left="0" right="0" top="0" bottom="0" header="0" footer="0"/>
  <pageSetup scale="46" fitToHeight="0" orientation="portrait" r:id="rId2"/>
  <headerFooter>
    <oddFooter>Page &amp;P of &amp;N</oddFooter>
  </headerFooter>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A8110-581B-4D56-98EA-D7A30BA98C4B}">
  <dimension ref="A1:B4"/>
  <sheetViews>
    <sheetView workbookViewId="0">
      <selection activeCell="C29" sqref="C29"/>
    </sheetView>
  </sheetViews>
  <sheetFormatPr baseColWidth="10" defaultColWidth="11.44140625" defaultRowHeight="14.4" x14ac:dyDescent="0.3"/>
  <cols>
    <col min="1" max="1" width="13.5546875" bestFit="1" customWidth="1"/>
    <col min="2" max="2" width="19.6640625" bestFit="1" customWidth="1"/>
    <col min="3" max="3" width="13.5546875" bestFit="1" customWidth="1"/>
    <col min="4" max="4" width="11.88671875" bestFit="1" customWidth="1"/>
    <col min="5" max="5" width="21.6640625" bestFit="1" customWidth="1"/>
    <col min="6" max="6" width="51.5546875" bestFit="1" customWidth="1"/>
    <col min="7" max="7" width="54.33203125" bestFit="1" customWidth="1"/>
    <col min="8" max="8" width="15.6640625" bestFit="1" customWidth="1"/>
    <col min="9" max="9" width="18.44140625" bestFit="1" customWidth="1"/>
    <col min="10" max="10" width="32.88671875" bestFit="1" customWidth="1"/>
    <col min="11" max="11" width="35.6640625" bestFit="1" customWidth="1"/>
    <col min="12" max="12" width="14.6640625" bestFit="1" customWidth="1"/>
    <col min="13" max="13" width="17.5546875" bestFit="1" customWidth="1"/>
    <col min="14" max="14" width="102.44140625" bestFit="1" customWidth="1"/>
    <col min="15" max="15" width="105.33203125" bestFit="1" customWidth="1"/>
    <col min="16" max="16" width="36.5546875" bestFit="1" customWidth="1"/>
    <col min="17" max="17" width="39.33203125" bestFit="1" customWidth="1"/>
    <col min="18" max="18" width="29.109375" bestFit="1" customWidth="1"/>
    <col min="19" max="19" width="31.88671875" bestFit="1" customWidth="1"/>
    <col min="20" max="20" width="46.5546875" bestFit="1" customWidth="1"/>
    <col min="21" max="21" width="49.33203125" bestFit="1" customWidth="1"/>
    <col min="22" max="22" width="35.6640625" bestFit="1" customWidth="1"/>
    <col min="23" max="23" width="38.5546875" bestFit="1" customWidth="1"/>
    <col min="24" max="24" width="30.109375" bestFit="1" customWidth="1"/>
    <col min="25" max="25" width="32.88671875" bestFit="1" customWidth="1"/>
    <col min="26" max="26" width="37.33203125" bestFit="1" customWidth="1"/>
    <col min="27" max="27" width="40.109375" bestFit="1" customWidth="1"/>
    <col min="28" max="28" width="20.88671875" bestFit="1" customWidth="1"/>
    <col min="29" max="29" width="23.6640625" bestFit="1" customWidth="1"/>
    <col min="30" max="30" width="25" bestFit="1" customWidth="1"/>
    <col min="31" max="31" width="27.6640625" bestFit="1" customWidth="1"/>
    <col min="32" max="32" width="24.33203125" bestFit="1" customWidth="1"/>
    <col min="33" max="33" width="27" bestFit="1" customWidth="1"/>
    <col min="34" max="34" width="59.44140625" bestFit="1" customWidth="1"/>
    <col min="35" max="35" width="62.33203125" bestFit="1" customWidth="1"/>
    <col min="36" max="36" width="14.6640625" bestFit="1" customWidth="1"/>
    <col min="37" max="37" width="17.5546875" bestFit="1" customWidth="1"/>
    <col min="38" max="38" width="45.33203125" bestFit="1" customWidth="1"/>
    <col min="39" max="39" width="48.109375" bestFit="1" customWidth="1"/>
    <col min="40" max="40" width="41.44140625" bestFit="1" customWidth="1"/>
    <col min="41" max="41" width="44.33203125" bestFit="1" customWidth="1"/>
    <col min="42" max="42" width="81.6640625" bestFit="1" customWidth="1"/>
    <col min="43" max="43" width="84.44140625" bestFit="1" customWidth="1"/>
    <col min="44" max="44" width="82.33203125" bestFit="1" customWidth="1"/>
    <col min="45" max="45" width="85" bestFit="1" customWidth="1"/>
    <col min="46" max="46" width="51.6640625" bestFit="1" customWidth="1"/>
    <col min="47" max="47" width="54.5546875" bestFit="1" customWidth="1"/>
    <col min="48" max="48" width="98.33203125" bestFit="1" customWidth="1"/>
    <col min="49" max="49" width="101" bestFit="1" customWidth="1"/>
    <col min="50" max="50" width="14.6640625" bestFit="1" customWidth="1"/>
    <col min="51" max="51" width="17.44140625" bestFit="1" customWidth="1"/>
    <col min="52" max="52" width="20.88671875" bestFit="1" customWidth="1"/>
    <col min="53" max="53" width="23.6640625" bestFit="1" customWidth="1"/>
    <col min="54" max="54" width="55.109375" bestFit="1" customWidth="1"/>
    <col min="55" max="55" width="57.88671875" bestFit="1" customWidth="1"/>
    <col min="56" max="56" width="55.6640625" bestFit="1" customWidth="1"/>
    <col min="57" max="57" width="58.44140625" bestFit="1" customWidth="1"/>
    <col min="58" max="58" width="72.6640625" bestFit="1" customWidth="1"/>
    <col min="59" max="59" width="75.5546875" bestFit="1" customWidth="1"/>
    <col min="60" max="60" width="61.6640625" bestFit="1" customWidth="1"/>
    <col min="61" max="61" width="64.44140625" bestFit="1" customWidth="1"/>
    <col min="62" max="62" width="215.5546875" bestFit="1" customWidth="1"/>
    <col min="63" max="63" width="218.33203125" bestFit="1" customWidth="1"/>
    <col min="64" max="64" width="42.6640625" bestFit="1" customWidth="1"/>
    <col min="65" max="65" width="45.5546875" bestFit="1" customWidth="1"/>
    <col min="66" max="66" width="46.88671875" bestFit="1" customWidth="1"/>
    <col min="67" max="67" width="49.6640625" bestFit="1" customWidth="1"/>
    <col min="68" max="68" width="52.88671875" bestFit="1" customWidth="1"/>
    <col min="69" max="69" width="55.6640625" bestFit="1" customWidth="1"/>
    <col min="70" max="70" width="61.44140625" bestFit="1" customWidth="1"/>
    <col min="71" max="71" width="64.33203125" bestFit="1" customWidth="1"/>
    <col min="72" max="72" width="75.33203125" bestFit="1" customWidth="1"/>
    <col min="73" max="73" width="78" bestFit="1" customWidth="1"/>
    <col min="74" max="74" width="41.88671875" bestFit="1" customWidth="1"/>
    <col min="75" max="75" width="44.6640625" bestFit="1" customWidth="1"/>
    <col min="76" max="76" width="76.44140625" bestFit="1" customWidth="1"/>
    <col min="77" max="77" width="79.33203125" bestFit="1" customWidth="1"/>
    <col min="78" max="78" width="28" bestFit="1" customWidth="1"/>
    <col min="79" max="79" width="30.6640625" bestFit="1" customWidth="1"/>
    <col min="80" max="80" width="43.88671875" bestFit="1" customWidth="1"/>
    <col min="81" max="81" width="46.5546875" bestFit="1" customWidth="1"/>
    <col min="82" max="82" width="59.5546875" bestFit="1" customWidth="1"/>
    <col min="83" max="83" width="62.33203125" bestFit="1" customWidth="1"/>
    <col min="84" max="84" width="173.88671875" bestFit="1" customWidth="1"/>
    <col min="85" max="85" width="176.6640625" bestFit="1" customWidth="1"/>
    <col min="86" max="86" width="65.88671875" bestFit="1" customWidth="1"/>
    <col min="87" max="87" width="68.6640625" bestFit="1" customWidth="1"/>
    <col min="88" max="88" width="67.88671875" bestFit="1" customWidth="1"/>
    <col min="89" max="89" width="70.6640625" bestFit="1" customWidth="1"/>
    <col min="90" max="90" width="42.6640625" bestFit="1" customWidth="1"/>
    <col min="91" max="91" width="45.44140625" bestFit="1" customWidth="1"/>
    <col min="92" max="92" width="30.6640625" bestFit="1" customWidth="1"/>
    <col min="93" max="93" width="33.5546875" bestFit="1" customWidth="1"/>
    <col min="94" max="94" width="19.44140625" bestFit="1" customWidth="1"/>
    <col min="95" max="95" width="22.33203125" bestFit="1" customWidth="1"/>
    <col min="96" max="96" width="25.5546875" bestFit="1" customWidth="1"/>
    <col min="97" max="97" width="28.33203125" bestFit="1" customWidth="1"/>
    <col min="98" max="98" width="20.44140625" bestFit="1" customWidth="1"/>
    <col min="99" max="99" width="23.33203125" bestFit="1" customWidth="1"/>
    <col min="100" max="100" width="28.6640625" bestFit="1" customWidth="1"/>
    <col min="101" max="101" width="31.5546875" bestFit="1" customWidth="1"/>
    <col min="102" max="102" width="17" bestFit="1" customWidth="1"/>
    <col min="103" max="103" width="19.6640625" bestFit="1" customWidth="1"/>
    <col min="104" max="104" width="50.5546875" bestFit="1" customWidth="1"/>
    <col min="105" max="105" width="53.33203125" bestFit="1" customWidth="1"/>
    <col min="106" max="106" width="64.88671875" bestFit="1" customWidth="1"/>
    <col min="107" max="107" width="67.6640625" bestFit="1" customWidth="1"/>
    <col min="108" max="108" width="55.6640625" bestFit="1" customWidth="1"/>
    <col min="109" max="109" width="58.44140625" bestFit="1" customWidth="1"/>
    <col min="110" max="110" width="73" bestFit="1" customWidth="1"/>
    <col min="111" max="111" width="75.6640625" bestFit="1" customWidth="1"/>
    <col min="112" max="112" width="23.33203125" bestFit="1" customWidth="1"/>
    <col min="113" max="113" width="25.88671875" bestFit="1" customWidth="1"/>
    <col min="114" max="114" width="30" bestFit="1" customWidth="1"/>
    <col min="115" max="115" width="32.6640625" bestFit="1" customWidth="1"/>
    <col min="116" max="116" width="27.109375" bestFit="1" customWidth="1"/>
    <col min="117" max="117" width="29.88671875" bestFit="1" customWidth="1"/>
    <col min="118" max="118" width="25.6640625" bestFit="1" customWidth="1"/>
    <col min="119" max="119" width="28.5546875" bestFit="1" customWidth="1"/>
    <col min="120" max="120" width="24.6640625" bestFit="1" customWidth="1"/>
    <col min="121" max="121" width="27.5546875" bestFit="1" customWidth="1"/>
    <col min="122" max="122" width="79.5546875" bestFit="1" customWidth="1"/>
    <col min="123" max="123" width="82.33203125" bestFit="1" customWidth="1"/>
    <col min="124" max="124" width="72.44140625" bestFit="1" customWidth="1"/>
    <col min="125" max="125" width="75.33203125" bestFit="1" customWidth="1"/>
    <col min="126" max="126" width="64.33203125" bestFit="1" customWidth="1"/>
    <col min="127" max="127" width="66.88671875" bestFit="1" customWidth="1"/>
    <col min="128" max="128" width="227.33203125" bestFit="1" customWidth="1"/>
    <col min="129" max="129" width="230.109375" bestFit="1" customWidth="1"/>
    <col min="130" max="130" width="225.109375" bestFit="1" customWidth="1"/>
    <col min="131" max="131" width="227.88671875" bestFit="1" customWidth="1"/>
    <col min="132" max="132" width="73.109375" bestFit="1" customWidth="1"/>
    <col min="133" max="133" width="75.88671875" bestFit="1" customWidth="1"/>
    <col min="134" max="134" width="87.88671875" bestFit="1" customWidth="1"/>
    <col min="135" max="135" width="90.6640625" bestFit="1" customWidth="1"/>
    <col min="136" max="136" width="16.6640625" bestFit="1" customWidth="1"/>
    <col min="137" max="137" width="19.5546875" bestFit="1" customWidth="1"/>
    <col min="138" max="138" width="30.44140625" bestFit="1" customWidth="1"/>
    <col min="139" max="139" width="33.33203125" bestFit="1" customWidth="1"/>
    <col min="140" max="140" width="31.6640625" bestFit="1" customWidth="1"/>
    <col min="141" max="141" width="34.44140625" bestFit="1" customWidth="1"/>
    <col min="142" max="142" width="112.109375" bestFit="1" customWidth="1"/>
    <col min="143" max="143" width="114.88671875" bestFit="1" customWidth="1"/>
    <col min="144" max="144" width="56.44140625" bestFit="1" customWidth="1"/>
    <col min="145" max="145" width="59.33203125" bestFit="1" customWidth="1"/>
    <col min="146" max="146" width="99" bestFit="1" customWidth="1"/>
    <col min="147" max="147" width="101.6640625" bestFit="1" customWidth="1"/>
    <col min="148" max="148" width="39.6640625" bestFit="1" customWidth="1"/>
    <col min="149" max="149" width="42.5546875" bestFit="1" customWidth="1"/>
    <col min="150" max="150" width="40.109375" bestFit="1" customWidth="1"/>
    <col min="151" max="151" width="42.88671875" bestFit="1" customWidth="1"/>
    <col min="152" max="152" width="73.6640625" bestFit="1" customWidth="1"/>
    <col min="153" max="153" width="76.44140625" bestFit="1" customWidth="1"/>
    <col min="154" max="154" width="42.88671875" bestFit="1" customWidth="1"/>
    <col min="155" max="155" width="45.6640625" bestFit="1" customWidth="1"/>
    <col min="156" max="156" width="56.44140625" bestFit="1" customWidth="1"/>
    <col min="157" max="157" width="59.33203125" bestFit="1" customWidth="1"/>
    <col min="158" max="158" width="32.5546875" bestFit="1" customWidth="1"/>
    <col min="159" max="159" width="35.33203125" bestFit="1" customWidth="1"/>
    <col min="160" max="160" width="78.6640625" bestFit="1" customWidth="1"/>
    <col min="161" max="161" width="81.44140625" bestFit="1" customWidth="1"/>
    <col min="162" max="162" width="39.88671875" bestFit="1" customWidth="1"/>
    <col min="163" max="163" width="42.6640625" bestFit="1" customWidth="1"/>
    <col min="164" max="164" width="17.6640625" bestFit="1" customWidth="1"/>
    <col min="165" max="165" width="20.5546875" bestFit="1" customWidth="1"/>
    <col min="166" max="166" width="57.5546875" bestFit="1" customWidth="1"/>
    <col min="167" max="167" width="60.33203125" bestFit="1" customWidth="1"/>
    <col min="168" max="168" width="23.6640625" bestFit="1" customWidth="1"/>
    <col min="169" max="169" width="26.5546875" bestFit="1" customWidth="1"/>
    <col min="170" max="170" width="40" bestFit="1" customWidth="1"/>
    <col min="171" max="171" width="42.6640625" bestFit="1" customWidth="1"/>
    <col min="172" max="172" width="49.33203125" bestFit="1" customWidth="1"/>
    <col min="173" max="173" width="52.109375" bestFit="1" customWidth="1"/>
    <col min="174" max="174" width="27.44140625" bestFit="1" customWidth="1"/>
    <col min="175" max="175" width="30.33203125" bestFit="1" customWidth="1"/>
    <col min="176" max="176" width="43.33203125" bestFit="1" customWidth="1"/>
    <col min="177" max="177" width="46" bestFit="1" customWidth="1"/>
    <col min="178" max="178" width="42.33203125" bestFit="1" customWidth="1"/>
    <col min="179" max="179" width="45" bestFit="1" customWidth="1"/>
    <col min="180" max="180" width="47.5546875" bestFit="1" customWidth="1"/>
    <col min="181" max="181" width="50.33203125" bestFit="1" customWidth="1"/>
    <col min="182" max="182" width="35.33203125" bestFit="1" customWidth="1"/>
    <col min="183" max="183" width="38.109375" bestFit="1" customWidth="1"/>
    <col min="184" max="184" width="26" bestFit="1" customWidth="1"/>
    <col min="185" max="185" width="28.6640625" bestFit="1" customWidth="1"/>
    <col min="186" max="186" width="49.33203125" bestFit="1" customWidth="1"/>
    <col min="187" max="187" width="52.109375" bestFit="1" customWidth="1"/>
    <col min="188" max="188" width="67" bestFit="1" customWidth="1"/>
    <col min="189" max="189" width="69.6640625" bestFit="1" customWidth="1"/>
    <col min="190" max="190" width="73.5546875" bestFit="1" customWidth="1"/>
    <col min="191" max="191" width="76.33203125" bestFit="1" customWidth="1"/>
    <col min="192" max="192" width="64.6640625" bestFit="1" customWidth="1"/>
    <col min="193" max="193" width="67.44140625" bestFit="1" customWidth="1"/>
    <col min="194" max="194" width="51.33203125" bestFit="1" customWidth="1"/>
    <col min="195" max="195" width="54.109375" bestFit="1" customWidth="1"/>
    <col min="196" max="196" width="49.109375" bestFit="1" customWidth="1"/>
    <col min="197" max="197" width="51.88671875" bestFit="1" customWidth="1"/>
    <col min="198" max="198" width="26.88671875" bestFit="1" customWidth="1"/>
    <col min="199" max="199" width="29.6640625" bestFit="1" customWidth="1"/>
    <col min="200" max="200" width="64.33203125" bestFit="1" customWidth="1"/>
    <col min="201" max="201" width="66.88671875" bestFit="1" customWidth="1"/>
    <col min="202" max="202" width="24.33203125" bestFit="1" customWidth="1"/>
    <col min="203" max="203" width="27.109375" bestFit="1" customWidth="1"/>
    <col min="204" max="204" width="55.33203125" bestFit="1" customWidth="1"/>
    <col min="205" max="205" width="58.109375" bestFit="1" customWidth="1"/>
    <col min="206" max="206" width="42.5546875" bestFit="1" customWidth="1"/>
    <col min="207" max="207" width="45.33203125" bestFit="1" customWidth="1"/>
    <col min="208" max="208" width="85.6640625" bestFit="1" customWidth="1"/>
    <col min="209" max="209" width="88.5546875" bestFit="1" customWidth="1"/>
    <col min="210" max="210" width="61.44140625" bestFit="1" customWidth="1"/>
    <col min="211" max="211" width="64.33203125" bestFit="1" customWidth="1"/>
    <col min="212" max="212" width="62" bestFit="1" customWidth="1"/>
    <col min="213" max="213" width="64.6640625" bestFit="1" customWidth="1"/>
    <col min="214" max="214" width="62.5546875" bestFit="1" customWidth="1"/>
    <col min="215" max="215" width="65.33203125" bestFit="1" customWidth="1"/>
    <col min="216" max="216" width="124.6640625" bestFit="1" customWidth="1"/>
    <col min="217" max="217" width="127.44140625" bestFit="1" customWidth="1"/>
    <col min="218" max="218" width="125.33203125" bestFit="1" customWidth="1"/>
    <col min="219" max="219" width="128" bestFit="1" customWidth="1"/>
    <col min="220" max="220" width="71.33203125" bestFit="1" customWidth="1"/>
    <col min="221" max="221" width="74" bestFit="1" customWidth="1"/>
    <col min="222" max="222" width="54.5546875" bestFit="1" customWidth="1"/>
    <col min="223" max="223" width="57.33203125" bestFit="1" customWidth="1"/>
    <col min="224" max="224" width="91.88671875" bestFit="1" customWidth="1"/>
    <col min="225" max="225" width="94.6640625" bestFit="1" customWidth="1"/>
    <col min="226" max="226" width="35.6640625" bestFit="1" customWidth="1"/>
    <col min="227" max="227" width="38.5546875" bestFit="1" customWidth="1"/>
    <col min="228" max="228" width="44.5546875" bestFit="1" customWidth="1"/>
    <col min="229" max="229" width="47.33203125" bestFit="1" customWidth="1"/>
    <col min="230" max="230" width="44.88671875" bestFit="1" customWidth="1"/>
    <col min="231" max="231" width="47.6640625" bestFit="1" customWidth="1"/>
    <col min="232" max="232" width="66.33203125" bestFit="1" customWidth="1"/>
    <col min="233" max="233" width="69" bestFit="1" customWidth="1"/>
    <col min="234" max="234" width="35.44140625" bestFit="1" customWidth="1"/>
    <col min="235" max="235" width="38.33203125" bestFit="1" customWidth="1"/>
    <col min="236" max="236" width="35.109375" bestFit="1" customWidth="1"/>
    <col min="237" max="237" width="37.88671875" bestFit="1" customWidth="1"/>
    <col min="238" max="238" width="41.109375" bestFit="1" customWidth="1"/>
    <col min="239" max="239" width="43.88671875" bestFit="1" customWidth="1"/>
    <col min="240" max="240" width="43.109375" bestFit="1" customWidth="1"/>
    <col min="241" max="241" width="45.88671875" bestFit="1" customWidth="1"/>
    <col min="242" max="242" width="48.5546875" bestFit="1" customWidth="1"/>
    <col min="243" max="243" width="51.33203125" bestFit="1" customWidth="1"/>
    <col min="244" max="244" width="33.6640625" bestFit="1" customWidth="1"/>
    <col min="245" max="245" width="36.33203125" bestFit="1" customWidth="1"/>
    <col min="246" max="246" width="26.5546875" bestFit="1" customWidth="1"/>
    <col min="247" max="247" width="29.33203125" bestFit="1" customWidth="1"/>
    <col min="248" max="248" width="94.44140625" bestFit="1" customWidth="1"/>
    <col min="249" max="249" width="97.33203125" bestFit="1" customWidth="1"/>
    <col min="250" max="250" width="63.6640625" bestFit="1" customWidth="1"/>
    <col min="251" max="251" width="66.5546875" bestFit="1" customWidth="1"/>
    <col min="252" max="252" width="50" bestFit="1" customWidth="1"/>
    <col min="253" max="253" width="52.6640625" bestFit="1" customWidth="1"/>
    <col min="254" max="254" width="24.33203125" bestFit="1" customWidth="1"/>
    <col min="255" max="255" width="27" bestFit="1" customWidth="1"/>
    <col min="256" max="256" width="44.5546875" bestFit="1" customWidth="1"/>
    <col min="257" max="257" width="47.33203125" bestFit="1" customWidth="1"/>
    <col min="258" max="258" width="51" bestFit="1" customWidth="1"/>
    <col min="259" max="259" width="53.6640625" bestFit="1" customWidth="1"/>
    <col min="260" max="260" width="42.109375" bestFit="1" customWidth="1"/>
    <col min="261" max="261" width="44.88671875" bestFit="1" customWidth="1"/>
    <col min="262" max="262" width="46.33203125" bestFit="1" customWidth="1"/>
    <col min="263" max="263" width="49.109375" bestFit="1" customWidth="1"/>
    <col min="264" max="264" width="138" bestFit="1" customWidth="1"/>
    <col min="265" max="265" width="140.6640625" bestFit="1" customWidth="1"/>
    <col min="266" max="266" width="41" bestFit="1" customWidth="1"/>
    <col min="267" max="267" width="43.6640625" bestFit="1" customWidth="1"/>
    <col min="268" max="268" width="39.5546875" bestFit="1" customWidth="1"/>
    <col min="269" max="269" width="42.33203125" bestFit="1" customWidth="1"/>
    <col min="270" max="270" width="50" bestFit="1" customWidth="1"/>
    <col min="271" max="271" width="52.6640625" bestFit="1" customWidth="1"/>
    <col min="272" max="272" width="100.6640625" bestFit="1" customWidth="1"/>
    <col min="273" max="273" width="103.5546875" bestFit="1" customWidth="1"/>
    <col min="274" max="274" width="31.6640625" bestFit="1" customWidth="1"/>
    <col min="275" max="275" width="34.5546875" bestFit="1" customWidth="1"/>
    <col min="276" max="276" width="34.88671875" bestFit="1" customWidth="1"/>
    <col min="277" max="277" width="37.6640625" bestFit="1" customWidth="1"/>
    <col min="278" max="278" width="50.6640625" bestFit="1" customWidth="1"/>
    <col min="279" max="279" width="53.5546875" bestFit="1" customWidth="1"/>
    <col min="280" max="280" width="133" bestFit="1" customWidth="1"/>
    <col min="281" max="281" width="135.6640625" bestFit="1" customWidth="1"/>
    <col min="282" max="282" width="133.5546875" bestFit="1" customWidth="1"/>
    <col min="283" max="283" width="136.33203125" bestFit="1" customWidth="1"/>
    <col min="284" max="284" width="171.5546875" bestFit="1" customWidth="1"/>
    <col min="285" max="285" width="174.33203125" bestFit="1" customWidth="1"/>
    <col min="286" max="286" width="172.109375" bestFit="1" customWidth="1"/>
    <col min="287" max="287" width="174.88671875" bestFit="1" customWidth="1"/>
    <col min="288" max="288" width="35.5546875" bestFit="1" customWidth="1"/>
    <col min="289" max="289" width="38.33203125" bestFit="1" customWidth="1"/>
    <col min="290" max="290" width="35.88671875" bestFit="1" customWidth="1"/>
    <col min="291" max="291" width="38.6640625" bestFit="1" customWidth="1"/>
    <col min="292" max="292" width="56.88671875" bestFit="1" customWidth="1"/>
    <col min="293" max="293" width="59.6640625" bestFit="1" customWidth="1"/>
    <col min="294" max="294" width="68.109375" bestFit="1" customWidth="1"/>
    <col min="295" max="295" width="70.88671875" bestFit="1" customWidth="1"/>
    <col min="296" max="296" width="39.33203125" bestFit="1" customWidth="1"/>
    <col min="297" max="297" width="42" bestFit="1" customWidth="1"/>
    <col min="298" max="298" width="38.6640625" bestFit="1" customWidth="1"/>
    <col min="299" max="299" width="41.33203125" bestFit="1" customWidth="1"/>
    <col min="300" max="300" width="25.6640625" bestFit="1" customWidth="1"/>
    <col min="301" max="301" width="28.44140625" bestFit="1" customWidth="1"/>
    <col min="302" max="302" width="96" bestFit="1" customWidth="1"/>
    <col min="303" max="303" width="98.6640625" bestFit="1" customWidth="1"/>
    <col min="304" max="304" width="42.109375" bestFit="1" customWidth="1"/>
    <col min="305" max="305" width="44.88671875" bestFit="1" customWidth="1"/>
    <col min="306" max="306" width="32.6640625" bestFit="1" customWidth="1"/>
    <col min="307" max="307" width="35.5546875" bestFit="1" customWidth="1"/>
    <col min="308" max="308" width="55.6640625" bestFit="1" customWidth="1"/>
    <col min="309" max="309" width="58.44140625" bestFit="1" customWidth="1"/>
    <col min="310" max="310" width="64.44140625" bestFit="1" customWidth="1"/>
    <col min="311" max="311" width="67.33203125" bestFit="1" customWidth="1"/>
    <col min="312" max="312" width="40.88671875" bestFit="1" customWidth="1"/>
    <col min="313" max="313" width="43.6640625" bestFit="1" customWidth="1"/>
    <col min="314" max="315" width="25.5546875" bestFit="1" customWidth="1"/>
    <col min="316" max="316" width="28.33203125" bestFit="1" customWidth="1"/>
    <col min="317" max="317" width="52.88671875" bestFit="1" customWidth="1"/>
    <col min="318" max="318" width="55.6640625" bestFit="1" customWidth="1"/>
    <col min="319" max="319" width="25.6640625" bestFit="1" customWidth="1"/>
    <col min="320" max="320" width="28.44140625" bestFit="1" customWidth="1"/>
    <col min="321" max="322" width="255.6640625" bestFit="1" customWidth="1"/>
    <col min="323" max="323" width="54.6640625" bestFit="1" customWidth="1"/>
    <col min="324" max="324" width="57.5546875" bestFit="1" customWidth="1"/>
    <col min="325" max="325" width="59.109375" bestFit="1" customWidth="1"/>
    <col min="326" max="326" width="61.6640625" bestFit="1" customWidth="1"/>
    <col min="327" max="327" width="114.88671875" bestFit="1" customWidth="1"/>
    <col min="328" max="328" width="117.6640625" bestFit="1" customWidth="1"/>
    <col min="329" max="329" width="45.33203125" bestFit="1" customWidth="1"/>
    <col min="330" max="330" width="48.109375" bestFit="1" customWidth="1"/>
    <col min="331" max="331" width="51.5546875" bestFit="1" customWidth="1"/>
    <col min="332" max="332" width="54.33203125" bestFit="1" customWidth="1"/>
    <col min="333" max="333" width="75.6640625" bestFit="1" customWidth="1"/>
    <col min="334" max="334" width="78.44140625" bestFit="1" customWidth="1"/>
    <col min="335" max="335" width="69.6640625" bestFit="1" customWidth="1"/>
    <col min="336" max="336" width="72.44140625" bestFit="1" customWidth="1"/>
    <col min="337" max="337" width="42.6640625" bestFit="1" customWidth="1"/>
    <col min="338" max="338" width="45.5546875" bestFit="1" customWidth="1"/>
    <col min="339" max="339" width="103.44140625" bestFit="1" customWidth="1"/>
    <col min="340" max="340" width="106.33203125" bestFit="1" customWidth="1"/>
    <col min="341" max="341" width="40.33203125" bestFit="1" customWidth="1"/>
    <col min="342" max="342" width="43" bestFit="1" customWidth="1"/>
    <col min="343" max="343" width="58.5546875" bestFit="1" customWidth="1"/>
    <col min="344" max="344" width="61.33203125" bestFit="1" customWidth="1"/>
    <col min="345" max="345" width="188.6640625" bestFit="1" customWidth="1"/>
    <col min="346" max="346" width="191.5546875" bestFit="1" customWidth="1"/>
    <col min="347" max="347" width="65.44140625" bestFit="1" customWidth="1"/>
    <col min="348" max="348" width="68.33203125" bestFit="1" customWidth="1"/>
    <col min="349" max="349" width="51.44140625" bestFit="1" customWidth="1"/>
    <col min="350" max="350" width="54.33203125" bestFit="1" customWidth="1"/>
    <col min="351" max="351" width="32.88671875" bestFit="1" customWidth="1"/>
    <col min="352" max="352" width="35.6640625" bestFit="1" customWidth="1"/>
    <col min="353" max="353" width="49.6640625" bestFit="1" customWidth="1"/>
    <col min="354" max="354" width="52.5546875" bestFit="1" customWidth="1"/>
    <col min="355" max="355" width="30.6640625" bestFit="1" customWidth="1"/>
    <col min="356" max="356" width="33.44140625" bestFit="1" customWidth="1"/>
    <col min="357" max="357" width="55.33203125" bestFit="1" customWidth="1"/>
    <col min="358" max="358" width="58" bestFit="1" customWidth="1"/>
    <col min="359" max="359" width="89.109375" bestFit="1" customWidth="1"/>
    <col min="360" max="360" width="91.88671875" bestFit="1" customWidth="1"/>
    <col min="361" max="361" width="36.5546875" bestFit="1" customWidth="1"/>
    <col min="362" max="362" width="39.33203125" bestFit="1" customWidth="1"/>
    <col min="363" max="363" width="63.33203125" bestFit="1" customWidth="1"/>
    <col min="364" max="364" width="66.109375" bestFit="1" customWidth="1"/>
    <col min="365" max="365" width="26.88671875" bestFit="1" customWidth="1"/>
    <col min="366" max="366" width="29.6640625" bestFit="1" customWidth="1"/>
    <col min="367" max="367" width="36.88671875" bestFit="1" customWidth="1"/>
    <col min="368" max="368" width="39.6640625" bestFit="1" customWidth="1"/>
    <col min="369" max="369" width="47.33203125" bestFit="1" customWidth="1"/>
    <col min="370" max="370" width="50" bestFit="1" customWidth="1"/>
    <col min="371" max="371" width="25.44140625" bestFit="1" customWidth="1"/>
    <col min="372" max="372" width="28.33203125" bestFit="1" customWidth="1"/>
    <col min="373" max="373" width="70.5546875" bestFit="1" customWidth="1"/>
    <col min="374" max="374" width="73.33203125" bestFit="1" customWidth="1"/>
    <col min="375" max="375" width="59" bestFit="1" customWidth="1"/>
    <col min="376" max="376" width="61.6640625" bestFit="1" customWidth="1"/>
    <col min="377" max="377" width="27.44140625" bestFit="1" customWidth="1"/>
    <col min="378" max="378" width="30.33203125" bestFit="1" customWidth="1"/>
    <col min="379" max="379" width="60.44140625" bestFit="1" customWidth="1"/>
    <col min="380" max="380" width="63.33203125" bestFit="1" customWidth="1"/>
    <col min="381" max="381" width="59.6640625" bestFit="1" customWidth="1"/>
    <col min="382" max="382" width="62.5546875" bestFit="1" customWidth="1"/>
    <col min="383" max="383" width="22.5546875" bestFit="1" customWidth="1"/>
    <col min="384" max="384" width="25.33203125" bestFit="1" customWidth="1"/>
    <col min="385" max="385" width="80.44140625" bestFit="1" customWidth="1"/>
    <col min="386" max="386" width="83.33203125" bestFit="1" customWidth="1"/>
    <col min="387" max="387" width="50.33203125" bestFit="1" customWidth="1"/>
    <col min="388" max="388" width="53" bestFit="1" customWidth="1"/>
    <col min="389" max="389" width="46.109375" bestFit="1" customWidth="1"/>
    <col min="390" max="390" width="48.88671875" bestFit="1" customWidth="1"/>
    <col min="391" max="391" width="50.33203125" bestFit="1" customWidth="1"/>
    <col min="392" max="392" width="53.109375" bestFit="1" customWidth="1"/>
    <col min="393" max="393" width="89.33203125" bestFit="1" customWidth="1"/>
    <col min="394" max="394" width="92" bestFit="1" customWidth="1"/>
    <col min="395" max="395" width="49.33203125" bestFit="1" customWidth="1"/>
    <col min="396" max="396" width="52" bestFit="1" customWidth="1"/>
    <col min="397" max="397" width="127.88671875" bestFit="1" customWidth="1"/>
    <col min="398" max="398" width="130.6640625" bestFit="1" customWidth="1"/>
    <col min="399" max="399" width="100" bestFit="1" customWidth="1"/>
    <col min="400" max="400" width="102.6640625" bestFit="1" customWidth="1"/>
    <col min="401" max="401" width="116.6640625" bestFit="1" customWidth="1"/>
    <col min="402" max="402" width="119.5546875" bestFit="1" customWidth="1"/>
    <col min="403" max="403" width="51.44140625" bestFit="1" customWidth="1"/>
    <col min="404" max="404" width="54.33203125" bestFit="1" customWidth="1"/>
    <col min="405" max="405" width="25.6640625" bestFit="1" customWidth="1"/>
    <col min="406" max="406" width="28.5546875" bestFit="1" customWidth="1"/>
    <col min="407" max="407" width="11.88671875" bestFit="1" customWidth="1"/>
  </cols>
  <sheetData>
    <row r="1" spans="1:2" x14ac:dyDescent="0.3">
      <c r="A1" s="10" t="s">
        <v>22</v>
      </c>
      <c r="B1" t="s">
        <v>1466</v>
      </c>
    </row>
    <row r="2" spans="1:2" x14ac:dyDescent="0.3">
      <c r="A2" t="s">
        <v>1462</v>
      </c>
      <c r="B2">
        <v>251</v>
      </c>
    </row>
    <row r="3" spans="1:2" x14ac:dyDescent="0.3">
      <c r="A3" t="s">
        <v>1467</v>
      </c>
      <c r="B3">
        <v>159</v>
      </c>
    </row>
    <row r="4" spans="1:2" x14ac:dyDescent="0.3">
      <c r="A4" t="s">
        <v>1465</v>
      </c>
      <c r="B4">
        <v>410</v>
      </c>
    </row>
  </sheetData>
  <pageMargins left="0.7" right="0.7" top="0.75" bottom="0.75" header="0.3" footer="0.3"/>
  <pageSetup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22FE4DF75B4514B8B18CB12D2A87C7B" ma:contentTypeVersion="2" ma:contentTypeDescription="Create a new document." ma:contentTypeScope="" ma:versionID="87048ffb3506750279748458ddc48c2c">
  <xsd:schema xmlns:xsd="http://www.w3.org/2001/XMLSchema" xmlns:xs="http://www.w3.org/2001/XMLSchema" xmlns:p="http://schemas.microsoft.com/office/2006/metadata/properties" xmlns:ns2="bf922917-f4ea-4a41-987d-62dcffdc3b8b" targetNamespace="http://schemas.microsoft.com/office/2006/metadata/properties" ma:root="true" ma:fieldsID="530b8890081bf8670801ccd0b444338f" ns2:_="">
    <xsd:import namespace="bf922917-f4ea-4a41-987d-62dcffdc3b8b"/>
    <xsd:element name="properties">
      <xsd:complexType>
        <xsd:sequence>
          <xsd:element name="documentManagement">
            <xsd:complexType>
              <xsd:all>
                <xsd:element ref="ns2:MediaServiceMetadata" minOccurs="0"/>
                <xsd:element ref="ns2:MediaServiceFast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922917-f4ea-4a41-987d-62dcffdc3b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FD1C166-BFA1-4882-B52F-1B042915BB17}">
  <ds:schemaRefs>
    <ds:schemaRef ds:uri="http://schemas.microsoft.com/sharepoint/v3/contenttype/forms"/>
  </ds:schemaRefs>
</ds:datastoreItem>
</file>

<file path=customXml/itemProps2.xml><?xml version="1.0" encoding="utf-8"?>
<ds:datastoreItem xmlns:ds="http://schemas.openxmlformats.org/officeDocument/2006/customXml" ds:itemID="{78E5E3F7-C4D0-4C55-A171-9CAE7233EB07}">
  <ds:schemaRefs>
    <ds:schemaRef ds:uri="http://purl.org/dc/dcmitype/"/>
    <ds:schemaRef ds:uri="http://schemas.microsoft.com/office/2006/documentManagement/types"/>
    <ds:schemaRef ds:uri="http://schemas.openxmlformats.org/package/2006/metadata/core-properties"/>
    <ds:schemaRef ds:uri="http://schemas.microsoft.com/office/infopath/2007/PartnerControls"/>
    <ds:schemaRef ds:uri="bf922917-f4ea-4a41-987d-62dcffdc3b8b"/>
    <ds:schemaRef ds:uri="http://schemas.microsoft.com/office/2006/metadata/properties"/>
    <ds:schemaRef ds:uri="http://purl.org/dc/terms/"/>
    <ds:schemaRef ds:uri="http://www.w3.org/XML/1998/namespace"/>
    <ds:schemaRef ds:uri="http://purl.org/dc/elements/1.1/"/>
  </ds:schemaRefs>
</ds:datastoreItem>
</file>

<file path=customXml/itemProps3.xml><?xml version="1.0" encoding="utf-8"?>
<ds:datastoreItem xmlns:ds="http://schemas.openxmlformats.org/officeDocument/2006/customXml" ds:itemID="{E8170313-AEF3-46A6-BA6B-38FD96698D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922917-f4ea-4a41-987d-62dcffdc3b8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Inicial</vt:lpstr>
      <vt:lpstr>TABLA MAQUINAS</vt:lpstr>
      <vt:lpstr>A imprimir</vt:lpstr>
      <vt:lpstr>Hoja2</vt:lpstr>
      <vt:lpstr>'A imprimir'!Área_de_impresión</vt:lpstr>
      <vt:lpstr>'A imprimir'!Títulos_a_imprimir</vt:lpstr>
    </vt:vector>
  </TitlesOfParts>
  <Manager/>
  <Company>Ajover</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Johann Herney Avendano Gomez</dc:creator>
  <cp:keywords/>
  <dc:description/>
  <cp:lastModifiedBy>MANTENIMIENTO</cp:lastModifiedBy>
  <cp:revision/>
  <dcterms:created xsi:type="dcterms:W3CDTF">2020-01-28T14:00:17Z</dcterms:created>
  <dcterms:modified xsi:type="dcterms:W3CDTF">2026-07-08T20:12:53Z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0x010100622FE4DF75B4514B8B18CB12D2A87C7B</vt:lpwstr>
  </property>
</Properties>
</file>